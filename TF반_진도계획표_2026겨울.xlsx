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반 구성" sheetId="1" state="visible" r:id="rId3"/>
    <sheet name="단원별 진도표" sheetId="2" state="visible" r:id="rId4"/>
    <sheet name="월·금반 일정" sheetId="3" state="visible" r:id="rId5"/>
    <sheet name="화·목반 일정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<sst xmlns="http://schemas.openxmlformats.org/spreadsheetml/2006/main" count="368" uniqueCount="158">
  <si>
    <r>
      <rPr>
        <b val="true"/>
        <sz val="15"/>
        <color rgb="FF17233B"/>
        <rFont val="맑은 고딕"/>
        <family val="0"/>
        <charset val="1"/>
      </rPr>
      <t xml:space="preserve">2026-27 </t>
    </r>
    <r>
      <rPr>
        <b val="true"/>
        <sz val="15"/>
        <color rgb="FF17233B"/>
        <rFont val="WenQuanYi Zen Hei"/>
        <family val="2"/>
      </rPr>
      <t xml:space="preserve">예비고</t>
    </r>
    <r>
      <rPr>
        <b val="true"/>
        <sz val="15"/>
        <color rgb="FF17233B"/>
        <rFont val="맑은 고딕"/>
        <family val="0"/>
        <charset val="1"/>
      </rPr>
      <t xml:space="preserve">1 </t>
    </r>
    <r>
      <rPr>
        <b val="true"/>
        <sz val="15"/>
        <color rgb="FF17233B"/>
        <rFont val="WenQuanYi Zen Hei"/>
        <family val="2"/>
      </rPr>
      <t xml:space="preserve">겨울학기 </t>
    </r>
    <r>
      <rPr>
        <b val="true"/>
        <sz val="15"/>
        <color rgb="FF17233B"/>
        <rFont val="맑은 고딕"/>
        <family val="0"/>
        <charset val="1"/>
      </rPr>
      <t xml:space="preserve">TF</t>
    </r>
    <r>
      <rPr>
        <b val="true"/>
        <sz val="15"/>
        <color rgb="FF17233B"/>
        <rFont val="WenQuanYi Zen Hei"/>
        <family val="2"/>
      </rPr>
      <t xml:space="preserve">반 </t>
    </r>
    <r>
      <rPr>
        <b val="true"/>
        <sz val="15"/>
        <color rgb="FF17233B"/>
        <rFont val="맑은 고딕"/>
        <family val="0"/>
        <charset val="1"/>
      </rPr>
      <t xml:space="preserve">(</t>
    </r>
    <r>
      <rPr>
        <b val="true"/>
        <sz val="15"/>
        <color rgb="FF17233B"/>
        <rFont val="WenQuanYi Zen Hei"/>
        <family val="2"/>
      </rPr>
      <t xml:space="preserve">공통수학</t>
    </r>
    <r>
      <rPr>
        <b val="true"/>
        <sz val="15"/>
        <color rgb="FF17233B"/>
        <rFont val="맑은 고딕"/>
        <family val="0"/>
        <charset val="1"/>
      </rPr>
      <t xml:space="preserve">1·2)</t>
    </r>
  </si>
  <si>
    <r>
      <rPr>
        <sz val="10"/>
        <color rgb="FF46505F"/>
        <rFont val="WenQuanYi Zen Hei"/>
        <family val="2"/>
      </rPr>
      <t xml:space="preserve">개념은 같은 요일 그룹의 </t>
    </r>
    <r>
      <rPr>
        <sz val="10"/>
        <color rgb="FF46505F"/>
        <rFont val="맑은 고딕"/>
        <family val="0"/>
        <charset val="1"/>
      </rPr>
      <t xml:space="preserve">TF1·TF2 </t>
    </r>
    <r>
      <rPr>
        <sz val="10"/>
        <color rgb="FF46505F"/>
        <rFont val="WenQuanYi Zen Hei"/>
        <family val="2"/>
      </rPr>
      <t xml:space="preserve">합반</t>
    </r>
    <r>
      <rPr>
        <sz val="10"/>
        <color rgb="FF46505F"/>
        <rFont val="맑은 고딕"/>
        <family val="0"/>
        <charset val="1"/>
      </rPr>
      <t xml:space="preserve">, </t>
    </r>
    <r>
      <rPr>
        <sz val="10"/>
        <color rgb="FF46505F"/>
        <rFont val="WenQuanYi Zen Hei"/>
        <family val="2"/>
      </rPr>
      <t xml:space="preserve">유형은 트랙별 분반 </t>
    </r>
    <r>
      <rPr>
        <sz val="10"/>
        <color rgb="FF46505F"/>
        <rFont val="맑은 고딕"/>
        <family val="0"/>
        <charset val="1"/>
      </rPr>
      <t xml:space="preserve">· </t>
    </r>
    <r>
      <rPr>
        <sz val="10"/>
        <color rgb="FF46505F"/>
        <rFont val="WenQuanYi Zen Hei"/>
        <family val="2"/>
      </rPr>
      <t xml:space="preserve">수업시간 오후 </t>
    </r>
    <r>
      <rPr>
        <sz val="10"/>
        <color rgb="FF46505F"/>
        <rFont val="맑은 고딕"/>
        <family val="0"/>
        <charset val="1"/>
      </rPr>
      <t xml:space="preserve">5:40~10:00</t>
    </r>
  </si>
  <si>
    <t xml:space="preserve">반</t>
  </si>
  <si>
    <t xml:space="preserve">요일</t>
  </si>
  <si>
    <r>
      <rPr>
        <b val="true"/>
        <sz val="10"/>
        <color rgb="FFFFFFFF"/>
        <rFont val="WenQuanYi Zen Hei"/>
        <family val="2"/>
      </rPr>
      <t xml:space="preserve">개념 수업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합반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</si>
  <si>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유형 수업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분반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</si>
  <si>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기본서</t>
  </si>
  <si>
    <t xml:space="preserve">유형서</t>
  </si>
  <si>
    <r>
      <rPr>
        <b val="true"/>
        <sz val="10"/>
        <color rgb="FF000000"/>
        <rFont val="맑은 고딕"/>
        <family val="0"/>
        <charset val="1"/>
      </rPr>
      <t xml:space="preserve">TF1 </t>
    </r>
    <r>
      <rPr>
        <b val="true"/>
        <sz val="10"/>
        <color rgb="FF000000"/>
        <rFont val="WenQuanYi Zen Hei"/>
        <family val="2"/>
      </rPr>
      <t xml:space="preserve">월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금</t>
    </r>
  </si>
  <si>
    <r>
      <rPr>
        <sz val="10"/>
        <color rgb="FF000000"/>
        <rFont val="WenQuanYi Zen Hei"/>
        <family val="2"/>
      </rPr>
      <t xml:space="preserve">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금</t>
    </r>
  </si>
  <si>
    <t xml:space="preserve">금</t>
  </si>
  <si>
    <t xml:space="preserve">월</t>
  </si>
  <si>
    <r>
      <rPr>
        <sz val="10"/>
        <color rgb="FF000000"/>
        <rFont val="맑은 고딕"/>
        <family val="0"/>
        <charset val="1"/>
      </rPr>
      <t xml:space="preserve">CLIMATH(m) </t>
    </r>
    <r>
      <rPr>
        <sz val="10"/>
        <color rgb="FF000000"/>
        <rFont val="WenQuanYi Zen Hei"/>
        <family val="2"/>
      </rPr>
      <t xml:space="preserve">공통수학</t>
    </r>
    <r>
      <rPr>
        <sz val="10"/>
        <color rgb="FF000000"/>
        <rFont val="맑은 고딕"/>
        <family val="0"/>
        <charset val="1"/>
      </rPr>
      <t xml:space="preserve">1·2</t>
    </r>
  </si>
  <si>
    <t xml:space="preserve">CMStory</t>
  </si>
  <si>
    <r>
      <rPr>
        <b val="true"/>
        <sz val="10"/>
        <color rgb="FF000000"/>
        <rFont val="맑은 고딕"/>
        <family val="0"/>
        <charset val="1"/>
      </rPr>
      <t xml:space="preserve">TF2 </t>
    </r>
    <r>
      <rPr>
        <b val="true"/>
        <sz val="10"/>
        <color rgb="FF000000"/>
        <rFont val="WenQuanYi Zen Hei"/>
        <family val="2"/>
      </rPr>
      <t xml:space="preserve">월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금</t>
    </r>
  </si>
  <si>
    <r>
      <rPr>
        <sz val="10"/>
        <color rgb="FF000000"/>
        <rFont val="WenQuanYi Zen Hei"/>
        <family val="2"/>
      </rPr>
      <t xml:space="preserve">금 </t>
    </r>
    <r>
      <rPr>
        <sz val="10"/>
        <color rgb="FF000000"/>
        <rFont val="맑은 고딕"/>
        <family val="0"/>
        <charset val="1"/>
      </rPr>
      <t xml:space="preserve">(TF1</t>
    </r>
    <r>
      <rPr>
        <sz val="10"/>
        <color rgb="FF000000"/>
        <rFont val="WenQuanYi Zen Hei"/>
        <family val="2"/>
      </rPr>
      <t xml:space="preserve">과 합반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</si>
  <si>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CMStory lite</t>
  </si>
  <si>
    <r>
      <rPr>
        <b val="true"/>
        <sz val="10"/>
        <color rgb="FF000000"/>
        <rFont val="맑은 고딕"/>
        <family val="0"/>
        <charset val="1"/>
      </rPr>
      <t xml:space="preserve">TF1 </t>
    </r>
    <r>
      <rPr>
        <b val="true"/>
        <sz val="10"/>
        <color rgb="FF000000"/>
        <rFont val="WenQuanYi Zen Hei"/>
        <family val="2"/>
      </rPr>
      <t xml:space="preserve">화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목</t>
    </r>
  </si>
  <si>
    <r>
      <rPr>
        <sz val="10"/>
        <color rgb="FF000000"/>
        <rFont val="WenQuanYi Zen Hei"/>
        <family val="2"/>
      </rPr>
      <t xml:space="preserve">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목</t>
    </r>
  </si>
  <si>
    <t xml:space="preserve">목</t>
  </si>
  <si>
    <t xml:space="preserve">화</t>
  </si>
  <si>
    <r>
      <rPr>
        <b val="true"/>
        <sz val="10"/>
        <color rgb="FF000000"/>
        <rFont val="맑은 고딕"/>
        <family val="0"/>
        <charset val="1"/>
      </rPr>
      <t xml:space="preserve">TF2 </t>
    </r>
    <r>
      <rPr>
        <b val="true"/>
        <sz val="10"/>
        <color rgb="FF000000"/>
        <rFont val="WenQuanYi Zen Hei"/>
        <family val="2"/>
      </rPr>
      <t xml:space="preserve">화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목</t>
    </r>
  </si>
  <si>
    <r>
      <rPr>
        <sz val="10"/>
        <color rgb="FF000000"/>
        <rFont val="WenQuanYi Zen Hei"/>
        <family val="2"/>
      </rPr>
      <t xml:space="preserve">목 </t>
    </r>
    <r>
      <rPr>
        <sz val="10"/>
        <color rgb="FF000000"/>
        <rFont val="맑은 고딕"/>
        <family val="0"/>
        <charset val="1"/>
      </rPr>
      <t xml:space="preserve">(TF1</t>
    </r>
    <r>
      <rPr>
        <sz val="10"/>
        <color rgb="FF000000"/>
        <rFont val="WenQuanYi Zen Hei"/>
        <family val="2"/>
      </rPr>
      <t xml:space="preserve">과 합반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</si>
  <si>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수업</t>
  </si>
  <si>
    <t xml:space="preserve">형태</t>
  </si>
  <si>
    <t xml:space="preserve">강의실</t>
  </si>
  <si>
    <r>
      <rPr>
        <sz val="10"/>
        <color rgb="FF000000"/>
        <rFont val="맑은 고딕"/>
        <family val="0"/>
        <charset val="1"/>
      </rPr>
      <t xml:space="preserve">TF1 </t>
    </r>
    <r>
      <rPr>
        <sz val="10"/>
        <color rgb="FF000000"/>
        <rFont val="WenQuanYi Zen Hei"/>
        <family val="2"/>
      </rPr>
      <t xml:space="preserve">월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금 </t>
    </r>
    <r>
      <rPr>
        <sz val="10"/>
        <color rgb="FF000000"/>
        <rFont val="맑은 고딕"/>
        <family val="0"/>
        <charset val="1"/>
      </rPr>
      <t xml:space="preserve">CMStory / TF2 </t>
    </r>
    <r>
      <rPr>
        <sz val="10"/>
        <color rgb="FF000000"/>
        <rFont val="WenQuanYi Zen Hei"/>
        <family val="2"/>
      </rPr>
      <t xml:space="preserve">월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금 </t>
    </r>
    <r>
      <rPr>
        <sz val="10"/>
        <color rgb="FF000000"/>
        <rFont val="맑은 고딕"/>
        <family val="0"/>
        <charset val="1"/>
      </rPr>
      <t xml:space="preserve">CMStory lite</t>
    </r>
  </si>
  <si>
    <t xml:space="preserve">분반</t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</si>
  <si>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실</t>
    </r>
  </si>
  <si>
    <r>
      <rPr>
        <sz val="10"/>
        <color rgb="FF000000"/>
        <rFont val="맑은 고딕"/>
        <family val="0"/>
        <charset val="1"/>
      </rPr>
      <t xml:space="preserve">TF1 </t>
    </r>
    <r>
      <rPr>
        <sz val="10"/>
        <color rgb="FF000000"/>
        <rFont val="WenQuanYi Zen Hei"/>
        <family val="2"/>
      </rPr>
      <t xml:space="preserve">화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목 </t>
    </r>
    <r>
      <rPr>
        <sz val="10"/>
        <color rgb="FF000000"/>
        <rFont val="맑은 고딕"/>
        <family val="0"/>
        <charset val="1"/>
      </rPr>
      <t xml:space="preserve">CMStory / TF2 </t>
    </r>
    <r>
      <rPr>
        <sz val="10"/>
        <color rgb="FF000000"/>
        <rFont val="WenQuanYi Zen Hei"/>
        <family val="2"/>
      </rPr>
      <t xml:space="preserve">화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목 </t>
    </r>
    <r>
      <rPr>
        <sz val="10"/>
        <color rgb="FF000000"/>
        <rFont val="맑은 고딕"/>
        <family val="0"/>
        <charset val="1"/>
      </rPr>
      <t xml:space="preserve">CMStory lite</t>
    </r>
  </si>
  <si>
    <r>
      <rPr>
        <sz val="10"/>
        <color rgb="FF000000"/>
        <rFont val="WenQuanYi Zen Hei"/>
        <family val="2"/>
      </rPr>
      <t xml:space="preserve">화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목반 개념 </t>
    </r>
    <r>
      <rPr>
        <sz val="10"/>
        <color rgb="FF000000"/>
        <rFont val="맑은 고딕"/>
        <family val="0"/>
        <charset val="1"/>
      </rPr>
      <t xml:space="preserve">(CLIMATH(m))</t>
    </r>
  </si>
  <si>
    <t xml:space="preserve">합반</t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</si>
  <si>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실</t>
    </r>
  </si>
  <si>
    <r>
      <rPr>
        <sz val="10"/>
        <color rgb="FF000000"/>
        <rFont val="WenQuanYi Zen Hei"/>
        <family val="2"/>
      </rPr>
      <t xml:space="preserve">월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금반 개념 </t>
    </r>
    <r>
      <rPr>
        <sz val="10"/>
        <color rgb="FF000000"/>
        <rFont val="맑은 고딕"/>
        <family val="0"/>
        <charset val="1"/>
      </rPr>
      <t xml:space="preserve">(CLIMATH(m))</t>
    </r>
  </si>
  <si>
    <t xml:space="preserve">운영 원칙</t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</si>
  <si>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교재는 </t>
    </r>
    <r>
      <rPr>
        <sz val="10"/>
        <color rgb="FF000000"/>
        <rFont val="맑은 고딕"/>
        <family val="0"/>
        <charset val="1"/>
      </rPr>
      <t xml:space="preserve">CLIMATH(m)(</t>
    </r>
    <r>
      <rPr>
        <sz val="10"/>
        <color rgb="FF000000"/>
        <rFont val="WenQuanYi Zen Hei"/>
        <family val="2"/>
      </rPr>
      <t xml:space="preserve">기본서</t>
    </r>
    <r>
      <rPr>
        <sz val="10"/>
        <color rgb="FF000000"/>
        <rFont val="맑은 고딕"/>
        <family val="0"/>
        <charset val="1"/>
      </rPr>
      <t xml:space="preserve">), CMStory·CMStory lite(</t>
    </r>
    <r>
      <rPr>
        <sz val="10"/>
        <color rgb="FF000000"/>
        <rFont val="WenQuanYi Zen Hei"/>
        <family val="2"/>
      </rPr>
      <t xml:space="preserve">유형서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모두 공통수학</t>
    </r>
    <r>
      <rPr>
        <sz val="10"/>
        <color rgb="FF000000"/>
        <rFont val="맑은 고딕"/>
        <family val="0"/>
        <charset val="1"/>
      </rPr>
      <t xml:space="preserve">1·2 </t>
    </r>
    <r>
      <rPr>
        <sz val="10"/>
        <color rgb="FF000000"/>
        <rFont val="WenQuanYi Zen Hei"/>
        <family val="2"/>
      </rPr>
      <t xml:space="preserve">각 </t>
    </r>
    <r>
      <rPr>
        <sz val="10"/>
        <color rgb="FF000000"/>
        <rFont val="맑은 고딕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단원</t>
    </r>
  </si>
  <si>
    <r>
      <rPr>
        <sz val="10"/>
        <color rgb="FF000000"/>
        <rFont val="맑은 고딕"/>
        <family val="0"/>
        <charset val="1"/>
      </rPr>
      <t xml:space="preserve">· CMStory</t>
    </r>
    <r>
      <rPr>
        <sz val="10"/>
        <color rgb="FF000000"/>
        <rFont val="WenQuanYi Zen Hei"/>
        <family val="2"/>
      </rPr>
      <t xml:space="preserve">와 </t>
    </r>
    <r>
      <rPr>
        <sz val="10"/>
        <color rgb="FF000000"/>
        <rFont val="맑은 고딕"/>
        <family val="0"/>
        <charset val="1"/>
      </rPr>
      <t xml:space="preserve">CMStory lite</t>
    </r>
    <r>
      <rPr>
        <sz val="10"/>
        <color rgb="FF000000"/>
        <rFont val="WenQuanYi Zen Hei"/>
        <family val="2"/>
      </rPr>
      <t xml:space="preserve">는 문항 수 동일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난이도만 조정 → 같은 단원 번호로 진행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</si>
  <si>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매주 개념 </t>
    </r>
    <r>
      <rPr>
        <sz val="10"/>
        <color rgb="FF000000"/>
        <rFont val="맑은 고딕"/>
        <family val="0"/>
        <charset val="1"/>
      </rPr>
      <t xml:space="preserve">n</t>
    </r>
    <r>
      <rPr>
        <sz val="10"/>
        <color rgb="FF000000"/>
        <rFont val="WenQuanYi Zen Hei"/>
        <family val="2"/>
      </rPr>
      <t xml:space="preserve">단원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목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금</t>
    </r>
    <r>
      <rPr>
        <sz val="10"/>
        <color rgb="FF000000"/>
        <rFont val="맑은 고딕"/>
        <family val="0"/>
        <charset val="1"/>
      </rPr>
      <t xml:space="preserve">) → </t>
    </r>
    <r>
      <rPr>
        <sz val="10"/>
        <color rgb="FF000000"/>
        <rFont val="WenQuanYi Zen Hei"/>
        <family val="2"/>
      </rPr>
      <t xml:space="preserve">유형 </t>
    </r>
    <r>
      <rPr>
        <sz val="10"/>
        <color rgb="FF000000"/>
        <rFont val="맑은 고딕"/>
        <family val="0"/>
        <charset val="1"/>
      </rPr>
      <t xml:space="preserve">n</t>
    </r>
    <r>
      <rPr>
        <sz val="10"/>
        <color rgb="FF000000"/>
        <rFont val="WenQuanYi Zen Hei"/>
        <family val="2"/>
      </rPr>
      <t xml:space="preserve">단원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월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화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순서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</si>
  <si>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휴강</t>
    </r>
    <r>
      <rPr>
        <sz val="10"/>
        <color rgb="FF000000"/>
        <rFont val="맑은 고딕"/>
        <family val="0"/>
        <charset val="1"/>
      </rPr>
      <t xml:space="preserve">: 1/1(</t>
    </r>
    <r>
      <rPr>
        <sz val="10"/>
        <color rgb="FF000000"/>
        <rFont val="WenQuanYi Zen Hei"/>
        <family val="2"/>
      </rPr>
      <t xml:space="preserve">금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신정 – 월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금반 </t>
    </r>
    <r>
      <rPr>
        <sz val="10"/>
        <color rgb="FF000000"/>
        <rFont val="맑은 고딕"/>
        <family val="0"/>
        <charset val="1"/>
      </rPr>
      <t xml:space="preserve">/ 2/8(</t>
    </r>
    <r>
      <rPr>
        <sz val="10"/>
        <color rgb="FF000000"/>
        <rFont val="WenQuanYi Zen Hei"/>
        <family val="2"/>
      </rPr>
      <t xml:space="preserve">월</t>
    </r>
    <r>
      <rPr>
        <sz val="10"/>
        <color rgb="FF000000"/>
        <rFont val="맑은 고딕"/>
        <family val="0"/>
        <charset val="1"/>
      </rPr>
      <t xml:space="preserve">)·2/9(</t>
    </r>
    <r>
      <rPr>
        <sz val="10"/>
        <color rgb="FF000000"/>
        <rFont val="WenQuanYi Zen Hei"/>
        <family val="2"/>
      </rPr>
      <t xml:space="preserve">화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설 연휴</t>
    </r>
  </si>
  <si>
    <r>
      <rPr>
        <sz val="10"/>
        <color rgb="FF000000"/>
        <rFont val="맑은 고딕"/>
        <family val="0"/>
        <charset val="1"/>
      </rPr>
      <t xml:space="preserve">· 12/25(</t>
    </r>
    <r>
      <rPr>
        <sz val="10"/>
        <color rgb="FF000000"/>
        <rFont val="WenQuanYi Zen Hei"/>
        <family val="2"/>
      </rPr>
      <t xml:space="preserve">금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수업</t>
    </r>
    <r>
      <rPr>
        <sz val="10"/>
        <color rgb="FF000000"/>
        <rFont val="맑은 고딕"/>
        <family val="0"/>
        <charset val="1"/>
      </rPr>
      <t xml:space="preserve">, 12/31(</t>
    </r>
    <r>
      <rPr>
        <sz val="10"/>
        <color rgb="FF000000"/>
        <rFont val="WenQuanYi Zen Hei"/>
        <family val="2"/>
      </rPr>
      <t xml:space="preserve">목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수업 </t>
    </r>
    <r>
      <rPr>
        <sz val="10"/>
        <color rgb="FF000000"/>
        <rFont val="맑은 고딕"/>
        <family val="0"/>
        <charset val="1"/>
      </rPr>
      <t xml:space="preserve">(6</t>
    </r>
    <r>
      <rPr>
        <sz val="10"/>
        <color rgb="FF000000"/>
        <rFont val="WenQuanYi Zen Hei"/>
        <family val="2"/>
      </rPr>
      <t xml:space="preserve">단원 개념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</si>
  <si>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종강일</t>
    </r>
    <r>
      <rPr>
        <sz val="10"/>
        <color rgb="FF000000"/>
        <rFont val="맑은 고딕"/>
        <family val="0"/>
        <charset val="1"/>
      </rPr>
      <t xml:space="preserve">(2/18 </t>
    </r>
    <r>
      <rPr>
        <sz val="10"/>
        <color rgb="FF000000"/>
        <rFont val="WenQuanYi Zen Hei"/>
        <family val="2"/>
      </rPr>
      <t xml:space="preserve">목</t>
    </r>
    <r>
      <rPr>
        <sz val="10"/>
        <color rgb="FF000000"/>
        <rFont val="맑은 고딕"/>
        <family val="0"/>
        <charset val="1"/>
      </rPr>
      <t xml:space="preserve">, 2/19 </t>
    </r>
    <r>
      <rPr>
        <sz val="10"/>
        <color rgb="FF000000"/>
        <rFont val="WenQuanYi Zen Hei"/>
        <family val="2"/>
      </rPr>
      <t xml:space="preserve">금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은 총정리</t>
    </r>
  </si>
  <si>
    <r>
      <rPr>
        <b val="true"/>
        <sz val="15"/>
        <color rgb="FF17233B"/>
        <rFont val="맑은 고딕"/>
        <family val="0"/>
        <charset val="1"/>
      </rPr>
      <t xml:space="preserve">TF</t>
    </r>
    <r>
      <rPr>
        <b val="true"/>
        <sz val="15"/>
        <color rgb="FF17233B"/>
        <rFont val="WenQuanYi Zen Hei"/>
        <family val="2"/>
      </rPr>
      <t xml:space="preserve">반 단원별 진도표</t>
    </r>
  </si>
  <si>
    <r>
      <rPr>
        <sz val="10"/>
        <color rgb="FF46505F"/>
        <rFont val="WenQuanYi Zen Hei"/>
        <family val="2"/>
      </rPr>
      <t xml:space="preserve">노란 칸은 입력칸입니다 </t>
    </r>
    <r>
      <rPr>
        <sz val="10"/>
        <color rgb="FF46505F"/>
        <rFont val="맑은 고딕"/>
        <family val="0"/>
        <charset val="1"/>
      </rPr>
      <t xml:space="preserve">(</t>
    </r>
    <r>
      <rPr>
        <sz val="10"/>
        <color rgb="FF46505F"/>
        <rFont val="WenQuanYi Zen Hei"/>
        <family val="2"/>
      </rPr>
      <t xml:space="preserve">단원명</t>
    </r>
    <r>
      <rPr>
        <sz val="10"/>
        <color rgb="FF46505F"/>
        <rFont val="맑은 고딕"/>
        <family val="0"/>
        <charset val="1"/>
      </rPr>
      <t xml:space="preserve">, </t>
    </r>
    <r>
      <rPr>
        <sz val="10"/>
        <color rgb="FF46505F"/>
        <rFont val="WenQuanYi Zen Hei"/>
        <family val="2"/>
      </rPr>
      <t xml:space="preserve">주간</t>
    </r>
    <r>
      <rPr>
        <sz val="10"/>
        <color rgb="FF46505F"/>
        <rFont val="맑은 고딕"/>
        <family val="0"/>
        <charset val="1"/>
      </rPr>
      <t xml:space="preserve">TEST). </t>
    </r>
    <r>
      <rPr>
        <sz val="10"/>
        <color rgb="FF46505F"/>
        <rFont val="WenQuanYi Zen Hei"/>
        <family val="2"/>
      </rPr>
      <t xml:space="preserve">주황 </t>
    </r>
    <r>
      <rPr>
        <sz val="10"/>
        <color rgb="FF46505F"/>
        <rFont val="맑은 고딕"/>
        <family val="0"/>
        <charset val="1"/>
      </rPr>
      <t xml:space="preserve">= </t>
    </r>
    <r>
      <rPr>
        <sz val="10"/>
        <color rgb="FF46505F"/>
        <rFont val="WenQuanYi Zen Hei"/>
        <family val="2"/>
      </rPr>
      <t xml:space="preserve">두 단원 진행 </t>
    </r>
    <r>
      <rPr>
        <sz val="10"/>
        <color rgb="FF46505F"/>
        <rFont val="맑은 고딕"/>
        <family val="0"/>
        <charset val="1"/>
      </rPr>
      <t xml:space="preserve">· </t>
    </r>
    <r>
      <rPr>
        <sz val="10"/>
        <color rgb="FF46505F"/>
        <rFont val="WenQuanYi Zen Hei"/>
        <family val="2"/>
      </rPr>
      <t xml:space="preserve">회색 </t>
    </r>
    <r>
      <rPr>
        <sz val="10"/>
        <color rgb="FF46505F"/>
        <rFont val="맑은 고딕"/>
        <family val="0"/>
        <charset val="1"/>
      </rPr>
      <t xml:space="preserve">= </t>
    </r>
    <r>
      <rPr>
        <sz val="10"/>
        <color rgb="FF46505F"/>
        <rFont val="WenQuanYi Zen Hei"/>
        <family val="2"/>
      </rPr>
      <t xml:space="preserve">휴강 </t>
    </r>
    <r>
      <rPr>
        <sz val="10"/>
        <color rgb="FF46505F"/>
        <rFont val="맑은 고딕"/>
        <family val="0"/>
        <charset val="1"/>
      </rPr>
      <t xml:space="preserve">· </t>
    </r>
    <r>
      <rPr>
        <sz val="10"/>
        <color rgb="FF46505F"/>
        <rFont val="WenQuanYi Zen Hei"/>
        <family val="2"/>
      </rPr>
      <t xml:space="preserve">파랑 </t>
    </r>
    <r>
      <rPr>
        <sz val="10"/>
        <color rgb="FF46505F"/>
        <rFont val="맑은 고딕"/>
        <family val="0"/>
        <charset val="1"/>
      </rPr>
      <t xml:space="preserve">= </t>
    </r>
    <r>
      <rPr>
        <sz val="10"/>
        <color rgb="FF46505F"/>
        <rFont val="WenQuanYi Zen Hei"/>
        <family val="2"/>
      </rPr>
      <t xml:space="preserve">종강 총정리</t>
    </r>
  </si>
  <si>
    <t xml:space="preserve">단원</t>
  </si>
  <si>
    <r>
      <rPr>
        <b val="true"/>
        <sz val="10"/>
        <color rgb="FFFFFFFF"/>
        <rFont val="WenQuanYi Zen Hei"/>
        <family val="2"/>
      </rPr>
      <t xml:space="preserve">단원명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입력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</si>
  <si>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개념 </t>
    </r>
    <r>
      <rPr>
        <b val="true"/>
        <sz val="10"/>
        <color rgb="FFFFFFFF"/>
        <rFont val="맑은 고딕"/>
        <family val="0"/>
        <charset val="1"/>
      </rPr>
      <t xml:space="preserve">· CLIMATH(m) · </t>
    </r>
    <r>
      <rPr>
        <b val="true"/>
        <sz val="10"/>
        <color rgb="FFFFFFFF"/>
        <rFont val="WenQuanYi Zen Hei"/>
        <family val="2"/>
      </rPr>
      <t xml:space="preserve">합반</t>
    </r>
  </si>
  <si>
    <r>
      <rPr>
        <b val="true"/>
        <sz val="10"/>
        <color rgb="FFFFFFFF"/>
        <rFont val="WenQuanYi Zen Hei"/>
        <family val="2"/>
      </rPr>
      <t xml:space="preserve">유형 </t>
    </r>
    <r>
      <rPr>
        <b val="true"/>
        <sz val="10"/>
        <color rgb="FFFFFFFF"/>
        <rFont val="맑은 고딕"/>
        <family val="0"/>
        <charset val="1"/>
      </rPr>
      <t xml:space="preserve">· CMStory / lite · </t>
    </r>
    <r>
      <rPr>
        <b val="true"/>
        <sz val="10"/>
        <color rgb="FFFFFFFF"/>
        <rFont val="WenQuanYi Zen Hei"/>
        <family val="2"/>
      </rPr>
      <t xml:space="preserve">분반</t>
    </r>
  </si>
  <si>
    <r>
      <rPr>
        <b val="true"/>
        <sz val="10"/>
        <color rgb="FFFFFFFF"/>
        <rFont val="WenQuanYi Zen Hei"/>
        <family val="2"/>
      </rPr>
      <t xml:space="preserve">주간</t>
    </r>
    <r>
      <rPr>
        <b val="true"/>
        <sz val="10"/>
        <color rgb="FFFFFFFF"/>
        <rFont val="맑은 고딕"/>
        <family val="0"/>
        <charset val="1"/>
      </rPr>
      <t xml:space="preserve">TEST (</t>
    </r>
    <r>
      <rPr>
        <b val="true"/>
        <sz val="10"/>
        <color rgb="FFFFFFFF"/>
        <rFont val="WenQuanYi Zen Hei"/>
        <family val="2"/>
      </rPr>
      <t xml:space="preserve">입력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</si>
  <si>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공통수학</t>
    </r>
    <r>
      <rPr>
        <b val="true"/>
        <sz val="10"/>
        <color rgb="FFFFFFFF"/>
        <rFont val="맑은 고딕"/>
        <family val="0"/>
        <charset val="1"/>
      </rPr>
      <t xml:space="preserve">1</t>
    </r>
  </si>
  <si>
    <r>
      <rPr>
        <b val="true"/>
        <sz val="10"/>
        <color rgb="FFFFFFFF"/>
        <rFont val="WenQuanYi Zen Hei"/>
        <family val="2"/>
      </rPr>
      <t xml:space="preserve">공통수학</t>
    </r>
    <r>
      <rPr>
        <b val="true"/>
        <sz val="10"/>
        <color rgb="FFFFFFFF"/>
        <rFont val="맑은 고딕"/>
        <family val="0"/>
        <charset val="1"/>
      </rPr>
      <t xml:space="preserve">2</t>
    </r>
  </si>
  <si>
    <r>
      <rPr>
        <b val="true"/>
        <sz val="10"/>
        <color rgb="FFFFFFFF"/>
        <rFont val="WenQuanYi Zen Hei"/>
        <family val="2"/>
      </rPr>
      <t xml:space="preserve">화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목반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목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</si>
  <si>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월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금반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금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</si>
  <si>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화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목반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화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</si>
  <si>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월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금반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월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</si>
  <si>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맑은 고딕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단원</t>
    </r>
  </si>
  <si>
    <r>
      <rPr>
        <sz val="10"/>
        <color rgb="FF000000"/>
        <rFont val="맑은 고딕"/>
        <family val="0"/>
        <charset val="1"/>
      </rPr>
      <t xml:space="preserve">11/26(</t>
    </r>
    <r>
      <rPr>
        <sz val="10"/>
        <color rgb="FF000000"/>
        <rFont val="WenQuanYi Zen Hei"/>
        <family val="2"/>
      </rPr>
      <t xml:space="preserve">목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</si>
  <si>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11/27(</t>
    </r>
    <r>
      <rPr>
        <sz val="10"/>
        <color rgb="FF000000"/>
        <rFont val="WenQuanYi Zen Hei"/>
        <family val="2"/>
      </rPr>
      <t xml:space="preserve">금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</si>
  <si>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12/1(</t>
    </r>
    <r>
      <rPr>
        <sz val="10"/>
        <color rgb="FF000000"/>
        <rFont val="WenQuanYi Zen Hei"/>
        <family val="2"/>
      </rPr>
      <t xml:space="preserve">화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</si>
  <si>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11/30(</t>
    </r>
    <r>
      <rPr>
        <sz val="10"/>
        <color rgb="FF000000"/>
        <rFont val="WenQuanYi Zen Hei"/>
        <family val="2"/>
      </rPr>
      <t xml:space="preserve">월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</si>
  <si>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맑은 고딕"/>
        <family val="0"/>
        <charset val="1"/>
      </rPr>
      <t xml:space="preserve">2</t>
    </r>
    <r>
      <rPr>
        <b val="true"/>
        <sz val="10"/>
        <color rgb="FF000000"/>
        <rFont val="WenQuanYi Zen Hei"/>
        <family val="2"/>
      </rPr>
      <t xml:space="preserve">단원</t>
    </r>
  </si>
  <si>
    <r>
      <rPr>
        <sz val="10"/>
        <color rgb="FF000000"/>
        <rFont val="맑은 고딕"/>
        <family val="0"/>
        <charset val="1"/>
      </rPr>
      <t xml:space="preserve">12/3(</t>
    </r>
    <r>
      <rPr>
        <sz val="10"/>
        <color rgb="FF000000"/>
        <rFont val="WenQuanYi Zen Hei"/>
        <family val="2"/>
      </rPr>
      <t xml:space="preserve">목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</si>
  <si>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12/4(</t>
    </r>
    <r>
      <rPr>
        <sz val="10"/>
        <color rgb="FF000000"/>
        <rFont val="WenQuanYi Zen Hei"/>
        <family val="2"/>
      </rPr>
      <t xml:space="preserve">금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</si>
  <si>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12/8(</t>
    </r>
    <r>
      <rPr>
        <sz val="10"/>
        <color rgb="FF000000"/>
        <rFont val="WenQuanYi Zen Hei"/>
        <family val="2"/>
      </rPr>
      <t xml:space="preserve">화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</si>
  <si>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12/7(</t>
    </r>
    <r>
      <rPr>
        <sz val="10"/>
        <color rgb="FF000000"/>
        <rFont val="WenQuanYi Zen Hei"/>
        <family val="2"/>
      </rPr>
      <t xml:space="preserve">월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</si>
  <si>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맑은 고딕"/>
        <family val="0"/>
        <charset val="1"/>
      </rPr>
      <t xml:space="preserve">3</t>
    </r>
    <r>
      <rPr>
        <b val="true"/>
        <sz val="10"/>
        <color rgb="FF000000"/>
        <rFont val="WenQuanYi Zen Hei"/>
        <family val="2"/>
      </rPr>
      <t xml:space="preserve">단원</t>
    </r>
  </si>
  <si>
    <r>
      <rPr>
        <sz val="10"/>
        <color rgb="FF000000"/>
        <rFont val="맑은 고딕"/>
        <family val="0"/>
        <charset val="1"/>
      </rPr>
      <t xml:space="preserve">12/10(</t>
    </r>
    <r>
      <rPr>
        <sz val="10"/>
        <color rgb="FF000000"/>
        <rFont val="WenQuanYi Zen Hei"/>
        <family val="2"/>
      </rPr>
      <t xml:space="preserve">목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</si>
  <si>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12/11(</t>
    </r>
    <r>
      <rPr>
        <sz val="10"/>
        <color rgb="FF000000"/>
        <rFont val="WenQuanYi Zen Hei"/>
        <family val="2"/>
      </rPr>
      <t xml:space="preserve">금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</si>
  <si>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12/15(</t>
    </r>
    <r>
      <rPr>
        <sz val="10"/>
        <color rgb="FF000000"/>
        <rFont val="WenQuanYi Zen Hei"/>
        <family val="2"/>
      </rPr>
      <t xml:space="preserve">화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</si>
  <si>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12/14(</t>
    </r>
    <r>
      <rPr>
        <sz val="10"/>
        <color rgb="FF000000"/>
        <rFont val="WenQuanYi Zen Hei"/>
        <family val="2"/>
      </rPr>
      <t xml:space="preserve">월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</si>
  <si>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맑은 고딕"/>
        <family val="0"/>
        <charset val="1"/>
      </rPr>
      <t xml:space="preserve">4</t>
    </r>
    <r>
      <rPr>
        <b val="true"/>
        <sz val="10"/>
        <color rgb="FF000000"/>
        <rFont val="WenQuanYi Zen Hei"/>
        <family val="2"/>
      </rPr>
      <t xml:space="preserve">단원</t>
    </r>
  </si>
  <si>
    <r>
      <rPr>
        <sz val="10"/>
        <color rgb="FF000000"/>
        <rFont val="맑은 고딕"/>
        <family val="0"/>
        <charset val="1"/>
      </rPr>
      <t xml:space="preserve">12/17(</t>
    </r>
    <r>
      <rPr>
        <sz val="10"/>
        <color rgb="FF000000"/>
        <rFont val="WenQuanYi Zen Hei"/>
        <family val="2"/>
      </rPr>
      <t xml:space="preserve">목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</si>
  <si>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12/18(</t>
    </r>
    <r>
      <rPr>
        <sz val="10"/>
        <color rgb="FF000000"/>
        <rFont val="WenQuanYi Zen Hei"/>
        <family val="2"/>
      </rPr>
      <t xml:space="preserve">금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</si>
  <si>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12/22(</t>
    </r>
    <r>
      <rPr>
        <sz val="10"/>
        <color rgb="FF000000"/>
        <rFont val="WenQuanYi Zen Hei"/>
        <family val="2"/>
      </rPr>
      <t xml:space="preserve">화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</si>
  <si>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12/21(</t>
    </r>
    <r>
      <rPr>
        <sz val="10"/>
        <color rgb="FF000000"/>
        <rFont val="WenQuanYi Zen Hei"/>
        <family val="2"/>
      </rPr>
      <t xml:space="preserve">월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</si>
  <si>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맑은 고딕"/>
        <family val="0"/>
        <charset val="1"/>
      </rPr>
      <t xml:space="preserve">5</t>
    </r>
    <r>
      <rPr>
        <b val="true"/>
        <sz val="10"/>
        <color rgb="FF000000"/>
        <rFont val="WenQuanYi Zen Hei"/>
        <family val="2"/>
      </rPr>
      <t xml:space="preserve">단원</t>
    </r>
  </si>
  <si>
    <r>
      <rPr>
        <sz val="10"/>
        <color rgb="FF000000"/>
        <rFont val="맑은 고딕"/>
        <family val="0"/>
        <charset val="1"/>
      </rPr>
      <t xml:space="preserve">12/24(</t>
    </r>
    <r>
      <rPr>
        <sz val="10"/>
        <color rgb="FF000000"/>
        <rFont val="WenQuanYi Zen Hei"/>
        <family val="2"/>
      </rPr>
      <t xml:space="preserve">목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</si>
  <si>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12/25(</t>
    </r>
    <r>
      <rPr>
        <sz val="10"/>
        <color rgb="FF000000"/>
        <rFont val="WenQuanYi Zen Hei"/>
        <family val="2"/>
      </rPr>
      <t xml:space="preserve">금</t>
    </r>
    <r>
      <rPr>
        <sz val="10"/>
        <color rgb="FF000000"/>
        <rFont val="맑은 고딕"/>
        <family val="0"/>
        <charset val="1"/>
      </rPr>
      <t xml:space="preserve">) 5·6</t>
    </r>
    <r>
      <rPr>
        <sz val="10"/>
        <color rgb="FF000000"/>
        <rFont val="WenQuanYi Zen Hei"/>
        <family val="2"/>
      </rPr>
      <t xml:space="preserve">단원</t>
    </r>
  </si>
  <si>
    <r>
      <rPr>
        <sz val="10"/>
        <color rgb="FF000000"/>
        <rFont val="맑은 고딕"/>
        <family val="0"/>
        <charset val="1"/>
      </rPr>
      <t xml:space="preserve">12/29(</t>
    </r>
    <r>
      <rPr>
        <sz val="10"/>
        <color rgb="FF000000"/>
        <rFont val="WenQuanYi Zen Hei"/>
        <family val="2"/>
      </rPr>
      <t xml:space="preserve">화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</si>
  <si>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12/28(</t>
    </r>
    <r>
      <rPr>
        <sz val="10"/>
        <color rgb="FF000000"/>
        <rFont val="WenQuanYi Zen Hei"/>
        <family val="2"/>
      </rPr>
      <t xml:space="preserve">월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</si>
  <si>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맑은 고딕"/>
        <family val="0"/>
        <charset val="1"/>
      </rPr>
      <t xml:space="preserve">6</t>
    </r>
    <r>
      <rPr>
        <b val="true"/>
        <sz val="10"/>
        <color rgb="FF000000"/>
        <rFont val="WenQuanYi Zen Hei"/>
        <family val="2"/>
      </rPr>
      <t xml:space="preserve">단원</t>
    </r>
  </si>
  <si>
    <r>
      <rPr>
        <sz val="10"/>
        <color rgb="FF000000"/>
        <rFont val="맑은 고딕"/>
        <family val="0"/>
        <charset val="1"/>
      </rPr>
      <t xml:space="preserve">12/31(</t>
    </r>
    <r>
      <rPr>
        <sz val="10"/>
        <color rgb="FF000000"/>
        <rFont val="WenQuanYi Zen Hei"/>
        <family val="2"/>
      </rPr>
      <t xml:space="preserve">목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</si>
  <si>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↑ 12/25(</t>
    </r>
    <r>
      <rPr>
        <sz val="10"/>
        <color rgb="FF000000"/>
        <rFont val="WenQuanYi Zen Hei"/>
        <family val="2"/>
      </rPr>
      <t xml:space="preserve">금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에 진행</t>
    </r>
  </si>
  <si>
    <r>
      <rPr>
        <sz val="10"/>
        <color rgb="FF000000"/>
        <rFont val="맑은 고딕"/>
        <family val="0"/>
        <charset val="1"/>
      </rPr>
      <t xml:space="preserve">1/5(</t>
    </r>
    <r>
      <rPr>
        <sz val="10"/>
        <color rgb="FF000000"/>
        <rFont val="WenQuanYi Zen Hei"/>
        <family val="2"/>
      </rPr>
      <t xml:space="preserve">화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</si>
  <si>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1/4(</t>
    </r>
    <r>
      <rPr>
        <sz val="10"/>
        <color rgb="FF000000"/>
        <rFont val="WenQuanYi Zen Hei"/>
        <family val="2"/>
      </rPr>
      <t xml:space="preserve">월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</si>
  <si>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휴강</t>
  </si>
  <si>
    <r>
      <rPr>
        <sz val="10"/>
        <color rgb="FF000000"/>
        <rFont val="맑은 고딕"/>
        <family val="0"/>
        <charset val="1"/>
      </rPr>
      <t xml:space="preserve">1/1(</t>
    </r>
    <r>
      <rPr>
        <sz val="10"/>
        <color rgb="FF000000"/>
        <rFont val="WenQuanYi Zen Hei"/>
        <family val="2"/>
      </rPr>
      <t xml:space="preserve">금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신정</t>
    </r>
  </si>
  <si>
    <r>
      <rPr>
        <b val="true"/>
        <sz val="10"/>
        <color rgb="FF000000"/>
        <rFont val="맑은 고딕"/>
        <family val="0"/>
        <charset val="1"/>
      </rPr>
      <t xml:space="preserve">7</t>
    </r>
    <r>
      <rPr>
        <b val="true"/>
        <sz val="10"/>
        <color rgb="FF000000"/>
        <rFont val="WenQuanYi Zen Hei"/>
        <family val="2"/>
      </rPr>
      <t xml:space="preserve">단원</t>
    </r>
  </si>
  <si>
    <r>
      <rPr>
        <sz val="10"/>
        <color rgb="FF000000"/>
        <rFont val="맑은 고딕"/>
        <family val="0"/>
        <charset val="1"/>
      </rPr>
      <t xml:space="preserve">1/7(</t>
    </r>
    <r>
      <rPr>
        <sz val="10"/>
        <color rgb="FF000000"/>
        <rFont val="WenQuanYi Zen Hei"/>
        <family val="2"/>
      </rPr>
      <t xml:space="preserve">목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</si>
  <si>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1/8(</t>
    </r>
    <r>
      <rPr>
        <sz val="10"/>
        <color rgb="FF000000"/>
        <rFont val="WenQuanYi Zen Hei"/>
        <family val="2"/>
      </rPr>
      <t xml:space="preserve">금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</si>
  <si>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1/12(</t>
    </r>
    <r>
      <rPr>
        <sz val="10"/>
        <color rgb="FF000000"/>
        <rFont val="WenQuanYi Zen Hei"/>
        <family val="2"/>
      </rPr>
      <t xml:space="preserve">화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</si>
  <si>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1/11(</t>
    </r>
    <r>
      <rPr>
        <sz val="10"/>
        <color rgb="FF000000"/>
        <rFont val="WenQuanYi Zen Hei"/>
        <family val="2"/>
      </rPr>
      <t xml:space="preserve">월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</si>
  <si>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맑은 고딕"/>
        <family val="0"/>
        <charset val="1"/>
      </rPr>
      <t xml:space="preserve">8</t>
    </r>
    <r>
      <rPr>
        <b val="true"/>
        <sz val="10"/>
        <color rgb="FF000000"/>
        <rFont val="WenQuanYi Zen Hei"/>
        <family val="2"/>
      </rPr>
      <t xml:space="preserve">단원</t>
    </r>
  </si>
  <si>
    <r>
      <rPr>
        <sz val="10"/>
        <color rgb="FF000000"/>
        <rFont val="맑은 고딕"/>
        <family val="0"/>
        <charset val="1"/>
      </rPr>
      <t xml:space="preserve">1/14(</t>
    </r>
    <r>
      <rPr>
        <sz val="10"/>
        <color rgb="FF000000"/>
        <rFont val="WenQuanYi Zen Hei"/>
        <family val="2"/>
      </rPr>
      <t xml:space="preserve">목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</si>
  <si>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1/15(</t>
    </r>
    <r>
      <rPr>
        <sz val="10"/>
        <color rgb="FF000000"/>
        <rFont val="WenQuanYi Zen Hei"/>
        <family val="2"/>
      </rPr>
      <t xml:space="preserve">금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</si>
  <si>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1/19(</t>
    </r>
    <r>
      <rPr>
        <sz val="10"/>
        <color rgb="FF000000"/>
        <rFont val="WenQuanYi Zen Hei"/>
        <family val="2"/>
      </rPr>
      <t xml:space="preserve">화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</si>
  <si>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1/18(</t>
    </r>
    <r>
      <rPr>
        <sz val="10"/>
        <color rgb="FF000000"/>
        <rFont val="WenQuanYi Zen Hei"/>
        <family val="2"/>
      </rPr>
      <t xml:space="preserve">월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</si>
  <si>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맑은 고딕"/>
        <family val="0"/>
        <charset val="1"/>
      </rPr>
      <t xml:space="preserve">9</t>
    </r>
    <r>
      <rPr>
        <b val="true"/>
        <sz val="10"/>
        <color rgb="FF000000"/>
        <rFont val="WenQuanYi Zen Hei"/>
        <family val="2"/>
      </rPr>
      <t xml:space="preserve">단원</t>
    </r>
  </si>
  <si>
    <r>
      <rPr>
        <sz val="10"/>
        <color rgb="FF000000"/>
        <rFont val="맑은 고딕"/>
        <family val="0"/>
        <charset val="1"/>
      </rPr>
      <t xml:space="preserve">1/21(</t>
    </r>
    <r>
      <rPr>
        <sz val="10"/>
        <color rgb="FF000000"/>
        <rFont val="WenQuanYi Zen Hei"/>
        <family val="2"/>
      </rPr>
      <t xml:space="preserve">목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</si>
  <si>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1/22(</t>
    </r>
    <r>
      <rPr>
        <sz val="10"/>
        <color rgb="FF000000"/>
        <rFont val="WenQuanYi Zen Hei"/>
        <family val="2"/>
      </rPr>
      <t xml:space="preserve">금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</si>
  <si>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1/26(</t>
    </r>
    <r>
      <rPr>
        <sz val="10"/>
        <color rgb="FF000000"/>
        <rFont val="WenQuanYi Zen Hei"/>
        <family val="2"/>
      </rPr>
      <t xml:space="preserve">화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</si>
  <si>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1/25(</t>
    </r>
    <r>
      <rPr>
        <sz val="10"/>
        <color rgb="FF000000"/>
        <rFont val="WenQuanYi Zen Hei"/>
        <family val="2"/>
      </rPr>
      <t xml:space="preserve">월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</si>
  <si>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맑은 고딕"/>
        <family val="0"/>
        <charset val="1"/>
      </rPr>
      <t xml:space="preserve">10</t>
    </r>
    <r>
      <rPr>
        <b val="true"/>
        <sz val="10"/>
        <color rgb="FF000000"/>
        <rFont val="WenQuanYi Zen Hei"/>
        <family val="2"/>
      </rPr>
      <t xml:space="preserve">단원</t>
    </r>
  </si>
  <si>
    <r>
      <rPr>
        <sz val="10"/>
        <color rgb="FF000000"/>
        <rFont val="맑은 고딕"/>
        <family val="0"/>
        <charset val="1"/>
      </rPr>
      <t xml:space="preserve">1/28(</t>
    </r>
    <r>
      <rPr>
        <sz val="10"/>
        <color rgb="FF000000"/>
        <rFont val="WenQuanYi Zen Hei"/>
        <family val="2"/>
      </rPr>
      <t xml:space="preserve">목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</si>
  <si>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1/29(</t>
    </r>
    <r>
      <rPr>
        <sz val="10"/>
        <color rgb="FF000000"/>
        <rFont val="WenQuanYi Zen Hei"/>
        <family val="2"/>
      </rPr>
      <t xml:space="preserve">금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</si>
  <si>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2/2(</t>
    </r>
    <r>
      <rPr>
        <sz val="10"/>
        <color rgb="FF000000"/>
        <rFont val="WenQuanYi Zen Hei"/>
        <family val="2"/>
      </rPr>
      <t xml:space="preserve">화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</si>
  <si>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2/1(</t>
    </r>
    <r>
      <rPr>
        <sz val="10"/>
        <color rgb="FF000000"/>
        <rFont val="WenQuanYi Zen Hei"/>
        <family val="2"/>
      </rPr>
      <t xml:space="preserve">월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</si>
  <si>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2/9(</t>
    </r>
    <r>
      <rPr>
        <sz val="10"/>
        <color rgb="FF000000"/>
        <rFont val="WenQuanYi Zen Hei"/>
        <family val="2"/>
      </rPr>
      <t xml:space="preserve">화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설 연휴</t>
    </r>
  </si>
  <si>
    <r>
      <rPr>
        <sz val="10"/>
        <color rgb="FF000000"/>
        <rFont val="맑은 고딕"/>
        <family val="0"/>
        <charset val="1"/>
      </rPr>
      <t xml:space="preserve">2/8(</t>
    </r>
    <r>
      <rPr>
        <sz val="10"/>
        <color rgb="FF000000"/>
        <rFont val="WenQuanYi Zen Hei"/>
        <family val="2"/>
      </rPr>
      <t xml:space="preserve">월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설 연휴</t>
    </r>
  </si>
  <si>
    <r>
      <rPr>
        <b val="true"/>
        <sz val="10"/>
        <color rgb="FF000000"/>
        <rFont val="맑은 고딕"/>
        <family val="0"/>
        <charset val="1"/>
      </rPr>
      <t xml:space="preserve">11</t>
    </r>
    <r>
      <rPr>
        <b val="true"/>
        <sz val="10"/>
        <color rgb="FF000000"/>
        <rFont val="WenQuanYi Zen Hei"/>
        <family val="2"/>
      </rPr>
      <t xml:space="preserve">단원</t>
    </r>
  </si>
  <si>
    <r>
      <rPr>
        <sz val="10"/>
        <color rgb="FF000000"/>
        <rFont val="맑은 고딕"/>
        <family val="0"/>
        <charset val="1"/>
      </rPr>
      <t xml:space="preserve">2/4(</t>
    </r>
    <r>
      <rPr>
        <sz val="10"/>
        <color rgb="FF000000"/>
        <rFont val="WenQuanYi Zen Hei"/>
        <family val="2"/>
      </rPr>
      <t xml:space="preserve">목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</si>
  <si>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2/5(</t>
    </r>
    <r>
      <rPr>
        <sz val="10"/>
        <color rgb="FF000000"/>
        <rFont val="WenQuanYi Zen Hei"/>
        <family val="2"/>
      </rPr>
      <t xml:space="preserve">금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</si>
  <si>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2/16(</t>
    </r>
    <r>
      <rPr>
        <sz val="10"/>
        <color rgb="FF000000"/>
        <rFont val="WenQuanYi Zen Hei"/>
        <family val="2"/>
      </rPr>
      <t xml:space="preserve">화</t>
    </r>
    <r>
      <rPr>
        <sz val="10"/>
        <color rgb="FF000000"/>
        <rFont val="맑은 고딕"/>
        <family val="0"/>
        <charset val="1"/>
      </rPr>
      <t xml:space="preserve">) 11·12</t>
    </r>
    <r>
      <rPr>
        <sz val="10"/>
        <color rgb="FF000000"/>
        <rFont val="WenQuanYi Zen Hei"/>
        <family val="2"/>
      </rPr>
      <t xml:space="preserve">단원</t>
    </r>
  </si>
  <si>
    <r>
      <rPr>
        <sz val="10"/>
        <color rgb="FF000000"/>
        <rFont val="맑은 고딕"/>
        <family val="0"/>
        <charset val="1"/>
      </rPr>
      <t xml:space="preserve">2/15(</t>
    </r>
    <r>
      <rPr>
        <sz val="10"/>
        <color rgb="FF000000"/>
        <rFont val="WenQuanYi Zen Hei"/>
        <family val="2"/>
      </rPr>
      <t xml:space="preserve">월</t>
    </r>
    <r>
      <rPr>
        <sz val="10"/>
        <color rgb="FF000000"/>
        <rFont val="맑은 고딕"/>
        <family val="0"/>
        <charset val="1"/>
      </rPr>
      <t xml:space="preserve">) 11·12</t>
    </r>
    <r>
      <rPr>
        <sz val="10"/>
        <color rgb="FF000000"/>
        <rFont val="WenQuanYi Zen Hei"/>
        <family val="2"/>
      </rPr>
      <t xml:space="preserve">단원</t>
    </r>
  </si>
  <si>
    <r>
      <rPr>
        <b val="true"/>
        <sz val="10"/>
        <color rgb="FF000000"/>
        <rFont val="맑은 고딕"/>
        <family val="0"/>
        <charset val="1"/>
      </rPr>
      <t xml:space="preserve">12</t>
    </r>
    <r>
      <rPr>
        <b val="true"/>
        <sz val="10"/>
        <color rgb="FF000000"/>
        <rFont val="WenQuanYi Zen Hei"/>
        <family val="2"/>
      </rPr>
      <t xml:space="preserve">단원</t>
    </r>
  </si>
  <si>
    <r>
      <rPr>
        <sz val="10"/>
        <color rgb="FF000000"/>
        <rFont val="맑은 고딕"/>
        <family val="0"/>
        <charset val="1"/>
      </rPr>
      <t xml:space="preserve">2/11(</t>
    </r>
    <r>
      <rPr>
        <sz val="10"/>
        <color rgb="FF000000"/>
        <rFont val="WenQuanYi Zen Hei"/>
        <family val="2"/>
      </rPr>
      <t xml:space="preserve">목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</si>
  <si>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2/12(</t>
    </r>
    <r>
      <rPr>
        <sz val="10"/>
        <color rgb="FF000000"/>
        <rFont val="WenQuanYi Zen Hei"/>
        <family val="2"/>
      </rPr>
      <t xml:space="preserve">금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</si>
  <si>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↑ 2/16(</t>
    </r>
    <r>
      <rPr>
        <sz val="10"/>
        <color rgb="FF000000"/>
        <rFont val="WenQuanYi Zen Hei"/>
        <family val="2"/>
      </rPr>
      <t xml:space="preserve">화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에 진행</t>
    </r>
  </si>
  <si>
    <r>
      <rPr>
        <sz val="10"/>
        <color rgb="FF000000"/>
        <rFont val="맑은 고딕"/>
        <family val="0"/>
        <charset val="1"/>
      </rPr>
      <t xml:space="preserve">↑ 2/15(</t>
    </r>
    <r>
      <rPr>
        <sz val="10"/>
        <color rgb="FF000000"/>
        <rFont val="WenQuanYi Zen Hei"/>
        <family val="2"/>
      </rPr>
      <t xml:space="preserve">월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에 진행</t>
    </r>
  </si>
  <si>
    <t xml:space="preserve">총정리</t>
  </si>
  <si>
    <r>
      <rPr>
        <sz val="10"/>
        <color rgb="FF000000"/>
        <rFont val="맑은 고딕"/>
        <family val="0"/>
        <charset val="1"/>
      </rPr>
      <t xml:space="preserve">2/18(</t>
    </r>
    <r>
      <rPr>
        <sz val="10"/>
        <color rgb="FF000000"/>
        <rFont val="WenQuanYi Zen Hei"/>
        <family val="2"/>
      </rPr>
      <t xml:space="preserve">목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종강</t>
    </r>
  </si>
  <si>
    <r>
      <rPr>
        <sz val="10"/>
        <color rgb="FF000000"/>
        <rFont val="맑은 고딕"/>
        <family val="0"/>
        <charset val="1"/>
      </rPr>
      <t xml:space="preserve">2/19(</t>
    </r>
    <r>
      <rPr>
        <sz val="10"/>
        <color rgb="FF000000"/>
        <rFont val="WenQuanYi Zen Hei"/>
        <family val="2"/>
      </rPr>
      <t xml:space="preserve">금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종강</t>
    </r>
  </si>
  <si>
    <r>
      <rPr>
        <sz val="9"/>
        <color rgb="FF46505F"/>
        <rFont val="맑은 고딕"/>
        <family val="0"/>
        <charset val="1"/>
      </rPr>
      <t xml:space="preserve">11</t>
    </r>
    <r>
      <rPr>
        <sz val="9"/>
        <color rgb="FF46505F"/>
        <rFont val="WenQuanYi Zen Hei"/>
        <family val="2"/>
      </rPr>
      <t xml:space="preserve">단원 유형은 설 연휴 휴강으로 </t>
    </r>
    <r>
      <rPr>
        <sz val="9"/>
        <color rgb="FF46505F"/>
        <rFont val="맑은 고딕"/>
        <family val="0"/>
        <charset val="1"/>
      </rPr>
      <t xml:space="preserve">2/15(</t>
    </r>
    <r>
      <rPr>
        <sz val="9"/>
        <color rgb="FF46505F"/>
        <rFont val="WenQuanYi Zen Hei"/>
        <family val="2"/>
      </rPr>
      <t xml:space="preserve">월</t>
    </r>
    <r>
      <rPr>
        <sz val="9"/>
        <color rgb="FF46505F"/>
        <rFont val="맑은 고딕"/>
        <family val="0"/>
        <charset val="1"/>
      </rPr>
      <t xml:space="preserve">)·2/16(</t>
    </r>
    <r>
      <rPr>
        <sz val="9"/>
        <color rgb="FF46505F"/>
        <rFont val="WenQuanYi Zen Hei"/>
        <family val="2"/>
      </rPr>
      <t xml:space="preserve">화</t>
    </r>
    <r>
      <rPr>
        <sz val="9"/>
        <color rgb="FF46505F"/>
        <rFont val="맑은 고딕"/>
        <family val="0"/>
        <charset val="1"/>
      </rPr>
      <t xml:space="preserve">)</t>
    </r>
    <r>
      <rPr>
        <sz val="9"/>
        <color rgb="FF46505F"/>
        <rFont val="WenQuanYi Zen Hei"/>
        <family val="2"/>
      </rPr>
      <t xml:space="preserve">에 </t>
    </r>
    <r>
      <rPr>
        <sz val="9"/>
        <color rgb="FF46505F"/>
        <rFont val="맑은 고딕"/>
        <family val="0"/>
        <charset val="1"/>
      </rPr>
      <t xml:space="preserve">12</t>
    </r>
    <r>
      <rPr>
        <sz val="9"/>
        <color rgb="FF46505F"/>
        <rFont val="WenQuanYi Zen Hei"/>
        <family val="2"/>
      </rPr>
      <t xml:space="preserve">단원과 함께 진행</t>
    </r>
  </si>
  <si>
    <r>
      <rPr>
        <b val="true"/>
        <sz val="15"/>
        <color rgb="FF17233B"/>
        <rFont val="맑은 고딕"/>
        <family val="0"/>
        <charset val="1"/>
      </rPr>
      <t xml:space="preserve">TF</t>
    </r>
    <r>
      <rPr>
        <b val="true"/>
        <sz val="15"/>
        <color rgb="FF17233B"/>
        <rFont val="WenQuanYi Zen Hei"/>
        <family val="2"/>
      </rPr>
      <t xml:space="preserve">반 월</t>
    </r>
    <r>
      <rPr>
        <b val="true"/>
        <sz val="15"/>
        <color rgb="FF17233B"/>
        <rFont val="맑은 고딕"/>
        <family val="0"/>
        <charset val="1"/>
      </rPr>
      <t xml:space="preserve">·</t>
    </r>
    <r>
      <rPr>
        <b val="true"/>
        <sz val="15"/>
        <color rgb="FF17233B"/>
        <rFont val="WenQuanYi Zen Hei"/>
        <family val="2"/>
      </rPr>
      <t xml:space="preserve">금반 날짜별 일정</t>
    </r>
  </si>
  <si>
    <r>
      <rPr>
        <sz val="10"/>
        <color rgb="FF46505F"/>
        <rFont val="WenQuanYi Zen Hei"/>
        <family val="2"/>
      </rPr>
      <t xml:space="preserve">구분</t>
    </r>
    <r>
      <rPr>
        <sz val="10"/>
        <color rgb="FF46505F"/>
        <rFont val="맑은 고딕"/>
        <family val="0"/>
        <charset val="1"/>
      </rPr>
      <t xml:space="preserve">: </t>
    </r>
    <r>
      <rPr>
        <sz val="10"/>
        <color rgb="FF46505F"/>
        <rFont val="WenQuanYi Zen Hei"/>
        <family val="2"/>
      </rPr>
      <t xml:space="preserve">개념</t>
    </r>
    <r>
      <rPr>
        <sz val="10"/>
        <color rgb="FF46505F"/>
        <rFont val="맑은 고딕"/>
        <family val="0"/>
        <charset val="1"/>
      </rPr>
      <t xml:space="preserve">(</t>
    </r>
    <r>
      <rPr>
        <sz val="10"/>
        <color rgb="FF46505F"/>
        <rFont val="WenQuanYi Zen Hei"/>
        <family val="2"/>
      </rPr>
      <t xml:space="preserve">합반</t>
    </r>
    <r>
      <rPr>
        <sz val="10"/>
        <color rgb="FF46505F"/>
        <rFont val="맑은 고딕"/>
        <family val="0"/>
        <charset val="1"/>
      </rPr>
      <t xml:space="preserve">, CLIMATH(m)) · </t>
    </r>
    <r>
      <rPr>
        <sz val="10"/>
        <color rgb="FF46505F"/>
        <rFont val="WenQuanYi Zen Hei"/>
        <family val="2"/>
      </rPr>
      <t xml:space="preserve">유형</t>
    </r>
    <r>
      <rPr>
        <sz val="10"/>
        <color rgb="FF46505F"/>
        <rFont val="맑은 고딕"/>
        <family val="0"/>
        <charset val="1"/>
      </rPr>
      <t xml:space="preserve">(</t>
    </r>
    <r>
      <rPr>
        <sz val="10"/>
        <color rgb="FF46505F"/>
        <rFont val="WenQuanYi Zen Hei"/>
        <family val="2"/>
      </rPr>
      <t xml:space="preserve">분반</t>
    </r>
    <r>
      <rPr>
        <sz val="10"/>
        <color rgb="FF46505F"/>
        <rFont val="맑은 고딕"/>
        <family val="0"/>
        <charset val="1"/>
      </rPr>
      <t xml:space="preserve">, TF1 CMStory / TF2 CMStory lite) · </t>
    </r>
    <r>
      <rPr>
        <sz val="10"/>
        <color rgb="FF46505F"/>
        <rFont val="WenQuanYi Zen Hei"/>
        <family val="2"/>
      </rPr>
      <t xml:space="preserve">휴강 </t>
    </r>
    <r>
      <rPr>
        <sz val="10"/>
        <color rgb="FF46505F"/>
        <rFont val="맑은 고딕"/>
        <family val="0"/>
        <charset val="1"/>
      </rPr>
      <t xml:space="preserve">· </t>
    </r>
    <r>
      <rPr>
        <sz val="10"/>
        <color rgb="FF46505F"/>
        <rFont val="WenQuanYi Zen Hei"/>
        <family val="2"/>
      </rPr>
      <t xml:space="preserve">총정리</t>
    </r>
    <r>
      <rPr>
        <sz val="10"/>
        <color rgb="FF46505F"/>
        <rFont val="맑은 고딕"/>
        <family val="0"/>
        <charset val="1"/>
      </rPr>
      <t xml:space="preserve">. </t>
    </r>
    <r>
      <rPr>
        <sz val="10"/>
        <color rgb="FF46505F"/>
        <rFont val="WenQuanYi Zen Hei"/>
        <family val="2"/>
      </rPr>
      <t xml:space="preserve">노란 칸은 입력칸입니다</t>
    </r>
    <r>
      <rPr>
        <sz val="10"/>
        <color rgb="FF46505F"/>
        <rFont val="맑은 고딕"/>
        <family val="0"/>
        <charset val="1"/>
      </rPr>
      <t xml:space="preserve">.</t>
    </r>
  </si>
  <si>
    <t xml:space="preserve">개념 회차</t>
  </si>
  <si>
    <t xml:space="preserve">유형 회차</t>
  </si>
  <si>
    <t xml:space="preserve">날짜</t>
  </si>
  <si>
    <t xml:space="preserve">구분</t>
  </si>
  <si>
    <t xml:space="preserve">교재</t>
  </si>
  <si>
    <t xml:space="preserve">진도</t>
  </si>
  <si>
    <r>
      <rPr>
        <b val="true"/>
        <sz val="10"/>
        <color rgb="FFFFFFFF"/>
        <rFont val="WenQuanYi Zen Hei"/>
        <family val="2"/>
      </rPr>
      <t xml:space="preserve">주간</t>
    </r>
    <r>
      <rPr>
        <b val="true"/>
        <sz val="10"/>
        <color rgb="FFFFFFFF"/>
        <rFont val="맑은 고딕"/>
        <family val="0"/>
        <charset val="1"/>
      </rPr>
      <t xml:space="preserve">TEST</t>
    </r>
  </si>
  <si>
    <t xml:space="preserve">비고</t>
  </si>
  <si>
    <t xml:space="preserve">개념</t>
  </si>
  <si>
    <t xml:space="preserve">CLIMATH(m)</t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</si>
  <si>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단원</t>
    </r>
  </si>
  <si>
    <t xml:space="preserve">개강</t>
  </si>
  <si>
    <t xml:space="preserve">유형</t>
  </si>
  <si>
    <t xml:space="preserve">CMStory / CMStory lite</t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</si>
  <si>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단원</t>
    </r>
  </si>
  <si>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단원</t>
    </r>
  </si>
  <si>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단원</t>
    </r>
  </si>
  <si>
    <r>
      <rPr>
        <sz val="10"/>
        <color rgb="FF000000"/>
        <rFont val="맑은 고딕"/>
        <family val="0"/>
        <charset val="1"/>
      </rPr>
      <t xml:space="preserve">5·6</t>
    </r>
    <r>
      <rPr>
        <sz val="10"/>
        <color rgb="FF000000"/>
        <rFont val="WenQuanYi Zen Hei"/>
        <family val="2"/>
      </rPr>
      <t xml:space="preserve">단원</t>
    </r>
  </si>
  <si>
    <r>
      <rPr>
        <sz val="10"/>
        <color rgb="FF000000"/>
        <rFont val="맑은 고딕"/>
        <family val="0"/>
        <charset val="1"/>
      </rPr>
      <t xml:space="preserve">1/1 </t>
    </r>
    <r>
      <rPr>
        <sz val="10"/>
        <color rgb="FF000000"/>
        <rFont val="WenQuanYi Zen Hei"/>
        <family val="2"/>
      </rPr>
      <t xml:space="preserve">휴강으로 두 단원 진행</t>
    </r>
  </si>
  <si>
    <r>
      <rPr>
        <sz val="10"/>
        <color rgb="FF000000"/>
        <rFont val="맑은 고딕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단원</t>
    </r>
  </si>
  <si>
    <t xml:space="preserve">신정</t>
  </si>
  <si>
    <r>
      <rPr>
        <sz val="10"/>
        <color rgb="FF000000"/>
        <rFont val="맑은 고딕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단원</t>
    </r>
  </si>
  <si>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단원</t>
    </r>
  </si>
  <si>
    <r>
      <rPr>
        <sz val="10"/>
        <color rgb="FF000000"/>
        <rFont val="맑은 고딕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단원</t>
    </r>
  </si>
  <si>
    <r>
      <rPr>
        <sz val="10"/>
        <color rgb="FF000000"/>
        <rFont val="맑은 고딕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단원</t>
    </r>
  </si>
  <si>
    <r>
      <rPr>
        <sz val="10"/>
        <color rgb="FF000000"/>
        <rFont val="맑은 고딕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단원</t>
    </r>
  </si>
  <si>
    <r>
      <rPr>
        <sz val="10"/>
        <color rgb="FF000000"/>
        <rFont val="맑은 고딕"/>
        <family val="0"/>
        <charset val="1"/>
      </rPr>
      <t xml:space="preserve">11</t>
    </r>
    <r>
      <rPr>
        <sz val="10"/>
        <color rgb="FF000000"/>
        <rFont val="WenQuanYi Zen Hei"/>
        <family val="2"/>
      </rPr>
      <t xml:space="preserve">단원</t>
    </r>
  </si>
  <si>
    <r>
      <rPr>
        <sz val="10"/>
        <color rgb="FF000000"/>
        <rFont val="WenQuanYi Zen Hei"/>
        <family val="2"/>
      </rPr>
      <t xml:space="preserve">설 연휴 </t>
    </r>
    <r>
      <rPr>
        <sz val="10"/>
        <color rgb="FF000000"/>
        <rFont val="맑은 고딕"/>
        <family val="0"/>
        <charset val="1"/>
      </rPr>
      <t xml:space="preserve">(11</t>
    </r>
    <r>
      <rPr>
        <sz val="10"/>
        <color rgb="FF000000"/>
        <rFont val="WenQuanYi Zen Hei"/>
        <family val="2"/>
      </rPr>
      <t xml:space="preserve">단원 유형은 </t>
    </r>
    <r>
      <rPr>
        <sz val="10"/>
        <color rgb="FF000000"/>
        <rFont val="맑은 고딕"/>
        <family val="0"/>
        <charset val="1"/>
      </rPr>
      <t xml:space="preserve">2/15</t>
    </r>
    <r>
      <rPr>
        <sz val="10"/>
        <color rgb="FF000000"/>
        <rFont val="WenQuanYi Zen Hei"/>
        <family val="2"/>
      </rPr>
      <t xml:space="preserve">에 진행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</si>
  <si>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단원</t>
    </r>
  </si>
  <si>
    <r>
      <rPr>
        <sz val="10"/>
        <color rgb="FF000000"/>
        <rFont val="맑은 고딕"/>
        <family val="0"/>
        <charset val="1"/>
      </rPr>
      <t xml:space="preserve">11·12</t>
    </r>
    <r>
      <rPr>
        <sz val="10"/>
        <color rgb="FF000000"/>
        <rFont val="WenQuanYi Zen Hei"/>
        <family val="2"/>
      </rPr>
      <t xml:space="preserve">단원</t>
    </r>
  </si>
  <si>
    <t xml:space="preserve">설 휴강분 포함</t>
  </si>
  <si>
    <t xml:space="preserve">종강</t>
  </si>
  <si>
    <r>
      <rPr>
        <b val="true"/>
        <sz val="15"/>
        <color rgb="FF17233B"/>
        <rFont val="맑은 고딕"/>
        <family val="0"/>
        <charset val="1"/>
      </rPr>
      <t xml:space="preserve">TF</t>
    </r>
    <r>
      <rPr>
        <b val="true"/>
        <sz val="15"/>
        <color rgb="FF17233B"/>
        <rFont val="WenQuanYi Zen Hei"/>
        <family val="2"/>
      </rPr>
      <t xml:space="preserve">반 화</t>
    </r>
    <r>
      <rPr>
        <b val="true"/>
        <sz val="15"/>
        <color rgb="FF17233B"/>
        <rFont val="맑은 고딕"/>
        <family val="0"/>
        <charset val="1"/>
      </rPr>
      <t xml:space="preserve">·</t>
    </r>
    <r>
      <rPr>
        <b val="true"/>
        <sz val="15"/>
        <color rgb="FF17233B"/>
        <rFont val="WenQuanYi Zen Hei"/>
        <family val="2"/>
      </rPr>
      <t xml:space="preserve">목반 날짜별 일정</t>
    </r>
  </si>
  <si>
    <r>
      <rPr>
        <sz val="10"/>
        <color rgb="FF000000"/>
        <rFont val="WenQuanYi Zen Hei"/>
        <family val="2"/>
      </rPr>
      <t xml:space="preserve">설 연휴 대체공휴일 </t>
    </r>
    <r>
      <rPr>
        <sz val="10"/>
        <color rgb="FF000000"/>
        <rFont val="맑은 고딕"/>
        <family val="0"/>
        <charset val="1"/>
      </rPr>
      <t xml:space="preserve">(11</t>
    </r>
    <r>
      <rPr>
        <sz val="10"/>
        <color rgb="FF000000"/>
        <rFont val="WenQuanYi Zen Hei"/>
        <family val="2"/>
      </rPr>
      <t xml:space="preserve">단원 유형은 </t>
    </r>
    <r>
      <rPr>
        <sz val="10"/>
        <color rgb="FF000000"/>
        <rFont val="맑은 고딕"/>
        <family val="0"/>
        <charset val="1"/>
      </rPr>
      <t xml:space="preserve">2/16</t>
    </r>
    <r>
      <rPr>
        <sz val="10"/>
        <color rgb="FF000000"/>
        <rFont val="WenQuanYi Zen Hei"/>
        <family val="2"/>
      </rPr>
      <t xml:space="preserve">에 진행</t>
    </r>
    <r>
      <rPr>
        <sz val="10"/>
        <color rgb="FF000000"/>
        <rFont val="맑은 고딕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</si>
</sst>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\회"/>
    <numFmt numFmtId="166" formatCode="m/d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7233B"/>
      <name val="맑은 고딕"/>
      <family val="0"/>
      <charset val="1"/>
    </font>
    <font>
      <b val="true"/>
      <sz val="15"/>
      <color rgb="FF17233B"/>
      <name val="WenQuanYi Zen Hei"/>
      <family val="2"/>
    </font>
    <font>
      <sz val="10"/>
      <color rgb="FF46505F"/>
      <name val="WenQuanYi Zen Hei"/>
      <family val="2"/>
    </font>
    <font>
      <sz val="10"/>
      <color rgb="FF46505F"/>
      <name val="맑은 고딕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맑은 고딕"/>
      <family val="0"/>
      <charset val="1"/>
    </font>
    <font>
      <b val="true"/>
      <sz val="10"/>
      <color rgb="FF000000"/>
      <name val="맑은 고딕"/>
      <family val="0"/>
      <charset val="1"/>
    </font>
    <font>
      <b val="true"/>
      <sz val="10"/>
      <color rgb="FF000000"/>
      <name val="WenQuanYi Zen Hei"/>
      <family val="2"/>
    </font>
    <font>
      <sz val="10"/>
      <color rgb="FF000000"/>
      <name val="WenQuanYi Zen Hei"/>
      <family val="2"/>
    </font>
    <font>
      <sz val="10"/>
      <color rgb="FF000000"/>
      <name val="맑은 고딕"/>
      <family val="0"/>
      <charset val="1"/>
    </font>
    <font>
      <b val="true"/>
      <sz val="10"/>
      <color rgb="FF17233B"/>
      <name val="WenQuanYi Zen Hei"/>
      <family val="2"/>
    </font>
    <font>
      <sz val="9"/>
      <color rgb="FF46505F"/>
      <name val="맑은 고딕"/>
      <family val="0"/>
      <charset val="1"/>
    </font>
    <font>
      <sz val="9"/>
      <color rgb="FF46505F"/>
      <name val="WenQuanYi Zen Hei"/>
      <family val="2"/>
    </font>
  </fonts>
  <fills count="8">
    <fill>
      <patternFill patternType="none"/>
    </fill>
    <fill>
      <patternFill patternType="gray125"/>
    </fill>
    <fill>
      <patternFill patternType="solid">
        <fgColor rgb="FF17233B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9D9D9"/>
        <bgColor rgb="FFDDEBF7"/>
      </patternFill>
    </fill>
    <fill>
      <patternFill patternType="solid">
        <fgColor rgb="FFDDEBF7"/>
        <bgColor rgb="FFE9ECF1"/>
      </patternFill>
    </fill>
    <fill>
      <patternFill patternType="solid">
        <fgColor rgb="FFE9ECF1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5CF"/>
      </left>
      <right style="thin">
        <color rgb="FFBFC5CF"/>
      </right>
      <top style="thin">
        <color rgb="FFBFC5CF"/>
      </top>
      <bottom style="thin">
        <color rgb="FFBFC5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5C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F1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46505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723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1.75" hidden="false" customHeight="true" outlineLevel="0" collapsed="false">
      <c r="A5" s="4" t="s">
        <v>8</v>
      </c>
      <c r="B5" s="5" t="s">
        <v>9</v>
      </c>
      <c r="C5" s="5" t="s">
        <v>10</v>
      </c>
      <c r="D5" s="5" t="s">
        <v>11</v>
      </c>
      <c r="E5" s="6" t="s">
        <v>12</v>
      </c>
      <c r="F5" s="6" t="s">
        <v>13</v>
      </c>
    </row>
    <row r="6" customFormat="false" ht="21.75" hidden="false" customHeight="true" outlineLevel="0" collapsed="false">
      <c r="A6" s="4" t="s">
        <v>14</v>
      </c>
      <c r="B6" s="5" t="s">
        <v>9</v>
      </c>
      <c r="C6" s="5" t="s">
        <v>15</v>
      </c>
      <c r="D6" s="5" t="s">
        <v>11</v>
      </c>
      <c r="E6" s="6" t="s">
        <v>12</v>
      </c>
      <c r="F6" s="6" t="s">
        <v>16</v>
      </c>
    </row>
    <row r="7" customFormat="false" ht="21.75" hidden="false" customHeight="true" outlineLevel="0" collapsed="false">
      <c r="A7" s="4" t="s">
        <v>17</v>
      </c>
      <c r="B7" s="5" t="s">
        <v>18</v>
      </c>
      <c r="C7" s="5" t="s">
        <v>19</v>
      </c>
      <c r="D7" s="5" t="s">
        <v>20</v>
      </c>
      <c r="E7" s="6" t="s">
        <v>12</v>
      </c>
      <c r="F7" s="6" t="s">
        <v>13</v>
      </c>
    </row>
    <row r="8" customFormat="false" ht="21.75" hidden="false" customHeight="true" outlineLevel="0" collapsed="false">
      <c r="A8" s="4" t="s">
        <v>21</v>
      </c>
      <c r="B8" s="5" t="s">
        <v>18</v>
      </c>
      <c r="C8" s="5" t="s">
        <v>22</v>
      </c>
      <c r="D8" s="5" t="s">
        <v>20</v>
      </c>
      <c r="E8" s="6" t="s">
        <v>12</v>
      </c>
      <c r="F8" s="6" t="s">
        <v>16</v>
      </c>
    </row>
    <row r="10" customFormat="false" ht="30" hidden="false" customHeight="true" outlineLevel="0" collapsed="false">
      <c r="A10" s="3" t="s">
        <v>3</v>
      </c>
      <c r="B10" s="3" t="s">
        <v>23</v>
      </c>
      <c r="C10" s="3" t="s">
        <v>24</v>
      </c>
      <c r="D10" s="3" t="s">
        <v>25</v>
      </c>
      <c r="E10" s="7"/>
      <c r="F10" s="7"/>
    </row>
    <row r="11" customFormat="false" ht="21.75" hidden="false" customHeight="true" outlineLevel="0" collapsed="false">
      <c r="A11" s="8" t="s">
        <v>11</v>
      </c>
      <c r="B11" s="6" t="s">
        <v>26</v>
      </c>
      <c r="C11" s="5" t="s">
        <v>27</v>
      </c>
      <c r="D11" s="6" t="s">
        <v>28</v>
      </c>
    </row>
    <row r="12" customFormat="false" ht="21.75" hidden="false" customHeight="true" outlineLevel="0" collapsed="false">
      <c r="A12" s="8" t="s">
        <v>20</v>
      </c>
      <c r="B12" s="6" t="s">
        <v>29</v>
      </c>
      <c r="C12" s="5" t="s">
        <v>27</v>
      </c>
      <c r="D12" s="6" t="s">
        <v>28</v>
      </c>
    </row>
    <row r="13" customFormat="false" ht="21.75" hidden="false" customHeight="true" outlineLevel="0" collapsed="false">
      <c r="A13" s="8" t="s">
        <v>19</v>
      </c>
      <c r="B13" s="5" t="s">
        <v>30</v>
      </c>
      <c r="C13" s="5" t="s">
        <v>31</v>
      </c>
      <c r="D13" s="6" t="s">
        <v>32</v>
      </c>
    </row>
    <row r="14" customFormat="false" ht="21.75" hidden="false" customHeight="true" outlineLevel="0" collapsed="false">
      <c r="A14" s="8" t="s">
        <v>10</v>
      </c>
      <c r="B14" s="5" t="s">
        <v>33</v>
      </c>
      <c r="C14" s="5" t="s">
        <v>31</v>
      </c>
      <c r="D14" s="6" t="s">
        <v>32</v>
      </c>
    </row>
    <row r="16" customFormat="false" ht="15" hidden="false" customHeight="false" outlineLevel="0" collapsed="false">
      <c r="A16" s="9" t="s">
        <v>34</v>
      </c>
    </row>
    <row r="17" customFormat="false" ht="15" hidden="false" customHeight="false" outlineLevel="0" collapsed="false">
      <c r="A17" s="10" t="s">
        <v>35</v>
      </c>
    </row>
    <row r="18" customFormat="false" ht="15" hidden="false" customHeight="false" outlineLevel="0" collapsed="false">
      <c r="A18" s="10" t="s">
        <v>36</v>
      </c>
    </row>
    <row r="19" customFormat="false" ht="15" hidden="false" customHeight="false" outlineLevel="0" collapsed="false">
      <c r="A19" s="10" t="s">
        <v>37</v>
      </c>
    </row>
    <row r="20" customFormat="false" ht="15" hidden="false" customHeight="false" outlineLevel="0" collapsed="false">
      <c r="A20" s="10" t="s">
        <v>38</v>
      </c>
    </row>
    <row r="21" customFormat="false" ht="15" hidden="false" customHeight="false" outlineLevel="0" collapsed="false">
      <c r="A21" s="10" t="s">
        <v>39</v>
      </c>
    </row>
    <row r="22" customFormat="false" ht="15" hidden="false" customHeight="false" outlineLevel="0" collapsed="false">
      <c r="A22" s="10" t="s">
        <v>40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7" min="5" style="0" width="20"/>
    <col collapsed="false" customWidth="true" hidden="false" outlineLevel="0" max="8" min="8" style="0" width="16"/>
  </cols>
  <sheetData>
    <row r="1" customFormat="false" ht="30" hidden="false" customHeight="true" outlineLevel="0" collapsed="false">
      <c r="A1" s="1" t="s">
        <v>41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42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43</v>
      </c>
      <c r="B4" s="3" t="s">
        <v>44</v>
      </c>
      <c r="C4" s="3"/>
      <c r="D4" s="3" t="s">
        <v>45</v>
      </c>
      <c r="E4" s="3"/>
      <c r="F4" s="3" t="s">
        <v>46</v>
      </c>
      <c r="G4" s="3"/>
      <c r="H4" s="3" t="s">
        <v>47</v>
      </c>
    </row>
    <row r="5" customFormat="false" ht="30" hidden="false" customHeight="true" outlineLevel="0" collapsed="false">
      <c r="A5" s="3"/>
      <c r="B5" s="3" t="s">
        <v>48</v>
      </c>
      <c r="C5" s="3" t="s">
        <v>49</v>
      </c>
      <c r="D5" s="3" t="s">
        <v>50</v>
      </c>
      <c r="E5" s="3" t="s">
        <v>51</v>
      </c>
      <c r="F5" s="3" t="s">
        <v>52</v>
      </c>
      <c r="G5" s="3" t="s">
        <v>53</v>
      </c>
      <c r="H5" s="3"/>
    </row>
    <row r="6" customFormat="false" ht="21.75" hidden="false" customHeight="true" outlineLevel="0" collapsed="false">
      <c r="A6" s="4" t="s">
        <v>54</v>
      </c>
      <c r="B6" s="11"/>
      <c r="C6" s="11"/>
      <c r="D6" s="6" t="s">
        <v>55</v>
      </c>
      <c r="E6" s="6" t="s">
        <v>56</v>
      </c>
      <c r="F6" s="6" t="s">
        <v>57</v>
      </c>
      <c r="G6" s="6" t="s">
        <v>58</v>
      </c>
      <c r="H6" s="11"/>
    </row>
    <row r="7" customFormat="false" ht="21.75" hidden="false" customHeight="true" outlineLevel="0" collapsed="false">
      <c r="A7" s="4" t="s">
        <v>59</v>
      </c>
      <c r="B7" s="11"/>
      <c r="C7" s="11"/>
      <c r="D7" s="6" t="s">
        <v>60</v>
      </c>
      <c r="E7" s="6" t="s">
        <v>61</v>
      </c>
      <c r="F7" s="6" t="s">
        <v>62</v>
      </c>
      <c r="G7" s="6" t="s">
        <v>63</v>
      </c>
      <c r="H7" s="11"/>
    </row>
    <row r="8" customFormat="false" ht="21.75" hidden="false" customHeight="true" outlineLevel="0" collapsed="false">
      <c r="A8" s="4" t="s">
        <v>64</v>
      </c>
      <c r="B8" s="11"/>
      <c r="C8" s="11"/>
      <c r="D8" s="6" t="s">
        <v>65</v>
      </c>
      <c r="E8" s="6" t="s">
        <v>66</v>
      </c>
      <c r="F8" s="6" t="s">
        <v>67</v>
      </c>
      <c r="G8" s="6" t="s">
        <v>68</v>
      </c>
      <c r="H8" s="11"/>
    </row>
    <row r="9" customFormat="false" ht="21.75" hidden="false" customHeight="true" outlineLevel="0" collapsed="false">
      <c r="A9" s="4" t="s">
        <v>69</v>
      </c>
      <c r="B9" s="11"/>
      <c r="C9" s="11"/>
      <c r="D9" s="6" t="s">
        <v>70</v>
      </c>
      <c r="E9" s="6" t="s">
        <v>71</v>
      </c>
      <c r="F9" s="6" t="s">
        <v>72</v>
      </c>
      <c r="G9" s="6" t="s">
        <v>73</v>
      </c>
      <c r="H9" s="11"/>
    </row>
    <row r="10" customFormat="false" ht="21.75" hidden="false" customHeight="true" outlineLevel="0" collapsed="false">
      <c r="A10" s="4" t="s">
        <v>74</v>
      </c>
      <c r="B10" s="11"/>
      <c r="C10" s="11"/>
      <c r="D10" s="6" t="s">
        <v>75</v>
      </c>
      <c r="E10" s="12" t="s">
        <v>76</v>
      </c>
      <c r="F10" s="6" t="s">
        <v>77</v>
      </c>
      <c r="G10" s="6" t="s">
        <v>78</v>
      </c>
      <c r="H10" s="11"/>
    </row>
    <row r="11" customFormat="false" ht="21.75" hidden="false" customHeight="true" outlineLevel="0" collapsed="false">
      <c r="A11" s="4" t="s">
        <v>79</v>
      </c>
      <c r="B11" s="11"/>
      <c r="C11" s="11"/>
      <c r="D11" s="6" t="s">
        <v>80</v>
      </c>
      <c r="E11" s="12" t="s">
        <v>81</v>
      </c>
      <c r="F11" s="6" t="s">
        <v>82</v>
      </c>
      <c r="G11" s="6" t="s">
        <v>83</v>
      </c>
      <c r="H11" s="11"/>
    </row>
    <row r="12" customFormat="false" ht="21.75" hidden="false" customHeight="true" outlineLevel="0" collapsed="false">
      <c r="A12" s="13" t="s">
        <v>84</v>
      </c>
      <c r="B12" s="14"/>
      <c r="C12" s="14"/>
      <c r="D12" s="14"/>
      <c r="E12" s="14" t="s">
        <v>85</v>
      </c>
      <c r="F12" s="14"/>
      <c r="G12" s="14"/>
      <c r="H12" s="14"/>
    </row>
    <row r="13" customFormat="false" ht="21.75" hidden="false" customHeight="true" outlineLevel="0" collapsed="false">
      <c r="A13" s="4" t="s">
        <v>86</v>
      </c>
      <c r="B13" s="11"/>
      <c r="C13" s="11"/>
      <c r="D13" s="6" t="s">
        <v>87</v>
      </c>
      <c r="E13" s="6" t="s">
        <v>88</v>
      </c>
      <c r="F13" s="6" t="s">
        <v>89</v>
      </c>
      <c r="G13" s="6" t="s">
        <v>90</v>
      </c>
      <c r="H13" s="11"/>
    </row>
    <row r="14" customFormat="false" ht="21.75" hidden="false" customHeight="true" outlineLevel="0" collapsed="false">
      <c r="A14" s="4" t="s">
        <v>91</v>
      </c>
      <c r="B14" s="11"/>
      <c r="C14" s="11"/>
      <c r="D14" s="6" t="s">
        <v>92</v>
      </c>
      <c r="E14" s="6" t="s">
        <v>93</v>
      </c>
      <c r="F14" s="6" t="s">
        <v>94</v>
      </c>
      <c r="G14" s="6" t="s">
        <v>95</v>
      </c>
      <c r="H14" s="11"/>
    </row>
    <row r="15" customFormat="false" ht="21.75" hidden="false" customHeight="true" outlineLevel="0" collapsed="false">
      <c r="A15" s="4" t="s">
        <v>96</v>
      </c>
      <c r="B15" s="11"/>
      <c r="C15" s="11"/>
      <c r="D15" s="6" t="s">
        <v>97</v>
      </c>
      <c r="E15" s="6" t="s">
        <v>98</v>
      </c>
      <c r="F15" s="6" t="s">
        <v>99</v>
      </c>
      <c r="G15" s="6" t="s">
        <v>100</v>
      </c>
      <c r="H15" s="11"/>
    </row>
    <row r="16" customFormat="false" ht="21.75" hidden="false" customHeight="true" outlineLevel="0" collapsed="false">
      <c r="A16" s="4" t="s">
        <v>101</v>
      </c>
      <c r="B16" s="11"/>
      <c r="C16" s="11"/>
      <c r="D16" s="6" t="s">
        <v>102</v>
      </c>
      <c r="E16" s="6" t="s">
        <v>103</v>
      </c>
      <c r="F16" s="6" t="s">
        <v>104</v>
      </c>
      <c r="G16" s="6" t="s">
        <v>105</v>
      </c>
      <c r="H16" s="11"/>
    </row>
    <row r="17" customFormat="false" ht="21.75" hidden="false" customHeight="true" outlineLevel="0" collapsed="false">
      <c r="A17" s="13" t="s">
        <v>84</v>
      </c>
      <c r="B17" s="14"/>
      <c r="C17" s="14"/>
      <c r="D17" s="14"/>
      <c r="E17" s="14"/>
      <c r="F17" s="14" t="s">
        <v>106</v>
      </c>
      <c r="G17" s="14" t="s">
        <v>107</v>
      </c>
      <c r="H17" s="14"/>
    </row>
    <row r="18" customFormat="false" ht="21.75" hidden="false" customHeight="true" outlineLevel="0" collapsed="false">
      <c r="A18" s="4" t="s">
        <v>108</v>
      </c>
      <c r="B18" s="11"/>
      <c r="C18" s="11"/>
      <c r="D18" s="6" t="s">
        <v>109</v>
      </c>
      <c r="E18" s="6" t="s">
        <v>110</v>
      </c>
      <c r="F18" s="12" t="s">
        <v>111</v>
      </c>
      <c r="G18" s="12" t="s">
        <v>112</v>
      </c>
      <c r="H18" s="11"/>
    </row>
    <row r="19" customFormat="false" ht="21.75" hidden="false" customHeight="true" outlineLevel="0" collapsed="false">
      <c r="A19" s="4" t="s">
        <v>113</v>
      </c>
      <c r="B19" s="11"/>
      <c r="C19" s="11"/>
      <c r="D19" s="6" t="s">
        <v>114</v>
      </c>
      <c r="E19" s="6" t="s">
        <v>115</v>
      </c>
      <c r="F19" s="12" t="s">
        <v>116</v>
      </c>
      <c r="G19" s="12" t="s">
        <v>117</v>
      </c>
      <c r="H19" s="11"/>
    </row>
    <row r="20" customFormat="false" ht="21.75" hidden="false" customHeight="true" outlineLevel="0" collapsed="false">
      <c r="A20" s="15" t="s">
        <v>118</v>
      </c>
      <c r="B20" s="16"/>
      <c r="C20" s="16"/>
      <c r="D20" s="16" t="s">
        <v>119</v>
      </c>
      <c r="E20" s="16" t="s">
        <v>120</v>
      </c>
      <c r="F20" s="16"/>
      <c r="G20" s="16"/>
      <c r="H20" s="16"/>
    </row>
    <row r="22" customFormat="false" ht="15" hidden="false" customHeight="false" outlineLevel="0" collapsed="false">
      <c r="A22" s="17" t="s">
        <v>121</v>
      </c>
    </row>
  </sheetData>
  <mergeCells count="7">
    <mergeCell ref="A1:H1"/>
    <mergeCell ref="A2:H2"/>
    <mergeCell ref="A4:A5"/>
    <mergeCell ref="B4:C4"/>
    <mergeCell ref="D4:E4"/>
    <mergeCell ref="F4:G4"/>
    <mergeCell ref="H4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22"/>
    <col collapsed="false" customWidth="true" hidden="false" outlineLevel="0" max="7" min="6" style="0" width="14"/>
    <col collapsed="false" customWidth="true" hidden="false" outlineLevel="0" max="8" min="8" style="0" width="40"/>
  </cols>
  <sheetData>
    <row r="1" customFormat="false" ht="30" hidden="false" customHeight="true" outlineLevel="0" collapsed="false">
      <c r="A1" s="1" t="s">
        <v>122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123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18" t="s">
        <v>124</v>
      </c>
      <c r="B4" s="19" t="n">
        <f aca="false">COUNTIF($C$7:$C$31,"개념")</f>
        <v>11</v>
      </c>
      <c r="C4" s="18" t="s">
        <v>125</v>
      </c>
      <c r="D4" s="19" t="n">
        <f aca="false">COUNTIF($C$7:$C$31,"유형")</f>
        <v>11</v>
      </c>
      <c r="E4" s="18" t="s">
        <v>84</v>
      </c>
      <c r="F4" s="19" t="n">
        <f aca="false">COUNTIF($C$7:$C$31,"휴강")</f>
        <v>2</v>
      </c>
      <c r="G4" s="18" t="s">
        <v>118</v>
      </c>
      <c r="H4" s="19" t="n">
        <f aca="false">COUNTIF($C$7:$C$31,"총정리")</f>
        <v>1</v>
      </c>
    </row>
    <row r="6" customFormat="false" ht="30" hidden="false" customHeight="true" outlineLevel="0" collapsed="false">
      <c r="A6" s="3" t="s">
        <v>126</v>
      </c>
      <c r="B6" s="3" t="s">
        <v>3</v>
      </c>
      <c r="C6" s="3" t="s">
        <v>127</v>
      </c>
      <c r="D6" s="3" t="s">
        <v>24</v>
      </c>
      <c r="E6" s="3" t="s">
        <v>128</v>
      </c>
      <c r="F6" s="3" t="s">
        <v>129</v>
      </c>
      <c r="G6" s="3" t="s">
        <v>130</v>
      </c>
      <c r="H6" s="3" t="s">
        <v>131</v>
      </c>
    </row>
    <row r="7" customFormat="false" ht="21.75" hidden="false" customHeight="true" outlineLevel="0" collapsed="false">
      <c r="A7" s="20" t="n">
        <v>46353</v>
      </c>
      <c r="B7" s="5" t="str">
        <f aca="false">CHOOSE(WEEKDAY(A7),"일","월","화","수","목","금","토")</f>
        <v>금</v>
      </c>
      <c r="C7" s="5" t="s">
        <v>132</v>
      </c>
      <c r="D7" s="5" t="s">
        <v>31</v>
      </c>
      <c r="E7" s="6" t="s">
        <v>133</v>
      </c>
      <c r="F7" s="6" t="s">
        <v>134</v>
      </c>
      <c r="G7" s="11"/>
      <c r="H7" s="21" t="s">
        <v>135</v>
      </c>
    </row>
    <row r="8" customFormat="false" ht="21.75" hidden="false" customHeight="true" outlineLevel="0" collapsed="false">
      <c r="A8" s="20" t="n">
        <v>46356</v>
      </c>
      <c r="B8" s="5" t="str">
        <f aca="false">CHOOSE(WEEKDAY(A8),"일","월","화","수","목","금","토")</f>
        <v>월</v>
      </c>
      <c r="C8" s="5" t="s">
        <v>136</v>
      </c>
      <c r="D8" s="5" t="s">
        <v>27</v>
      </c>
      <c r="E8" s="6" t="s">
        <v>137</v>
      </c>
      <c r="F8" s="6" t="s">
        <v>134</v>
      </c>
      <c r="G8" s="11"/>
      <c r="H8" s="21"/>
    </row>
    <row r="9" customFormat="false" ht="21.75" hidden="false" customHeight="true" outlineLevel="0" collapsed="false">
      <c r="A9" s="20" t="n">
        <v>46360</v>
      </c>
      <c r="B9" s="5" t="str">
        <f aca="false">CHOOSE(WEEKDAY(A9),"일","월","화","수","목","금","토")</f>
        <v>금</v>
      </c>
      <c r="C9" s="5" t="s">
        <v>132</v>
      </c>
      <c r="D9" s="5" t="s">
        <v>31</v>
      </c>
      <c r="E9" s="6" t="s">
        <v>133</v>
      </c>
      <c r="F9" s="6" t="s">
        <v>138</v>
      </c>
      <c r="G9" s="11"/>
      <c r="H9" s="21"/>
    </row>
    <row r="10" customFormat="false" ht="21.75" hidden="false" customHeight="true" outlineLevel="0" collapsed="false">
      <c r="A10" s="20" t="n">
        <v>46363</v>
      </c>
      <c r="B10" s="5" t="str">
        <f aca="false">CHOOSE(WEEKDAY(A10),"일","월","화","수","목","금","토")</f>
        <v>월</v>
      </c>
      <c r="C10" s="5" t="s">
        <v>136</v>
      </c>
      <c r="D10" s="5" t="s">
        <v>27</v>
      </c>
      <c r="E10" s="6" t="s">
        <v>137</v>
      </c>
      <c r="F10" s="6" t="s">
        <v>138</v>
      </c>
      <c r="G10" s="11"/>
      <c r="H10" s="21"/>
    </row>
    <row r="11" customFormat="false" ht="21.75" hidden="false" customHeight="true" outlineLevel="0" collapsed="false">
      <c r="A11" s="20" t="n">
        <v>46367</v>
      </c>
      <c r="B11" s="5" t="str">
        <f aca="false">CHOOSE(WEEKDAY(A11),"일","월","화","수","목","금","토")</f>
        <v>금</v>
      </c>
      <c r="C11" s="5" t="s">
        <v>132</v>
      </c>
      <c r="D11" s="5" t="s">
        <v>31</v>
      </c>
      <c r="E11" s="6" t="s">
        <v>133</v>
      </c>
      <c r="F11" s="6" t="s">
        <v>139</v>
      </c>
      <c r="G11" s="11"/>
      <c r="H11" s="21"/>
    </row>
    <row r="12" customFormat="false" ht="21.75" hidden="false" customHeight="true" outlineLevel="0" collapsed="false">
      <c r="A12" s="20" t="n">
        <v>46370</v>
      </c>
      <c r="B12" s="5" t="str">
        <f aca="false">CHOOSE(WEEKDAY(A12),"일","월","화","수","목","금","토")</f>
        <v>월</v>
      </c>
      <c r="C12" s="5" t="s">
        <v>136</v>
      </c>
      <c r="D12" s="5" t="s">
        <v>27</v>
      </c>
      <c r="E12" s="6" t="s">
        <v>137</v>
      </c>
      <c r="F12" s="6" t="s">
        <v>139</v>
      </c>
      <c r="G12" s="11"/>
      <c r="H12" s="21"/>
    </row>
    <row r="13" customFormat="false" ht="21.75" hidden="false" customHeight="true" outlineLevel="0" collapsed="false">
      <c r="A13" s="20" t="n">
        <v>46374</v>
      </c>
      <c r="B13" s="5" t="str">
        <f aca="false">CHOOSE(WEEKDAY(A13),"일","월","화","수","목","금","토")</f>
        <v>금</v>
      </c>
      <c r="C13" s="5" t="s">
        <v>132</v>
      </c>
      <c r="D13" s="5" t="s">
        <v>31</v>
      </c>
      <c r="E13" s="6" t="s">
        <v>133</v>
      </c>
      <c r="F13" s="6" t="s">
        <v>140</v>
      </c>
      <c r="G13" s="11"/>
      <c r="H13" s="21"/>
    </row>
    <row r="14" customFormat="false" ht="21.75" hidden="false" customHeight="true" outlineLevel="0" collapsed="false">
      <c r="A14" s="20" t="n">
        <v>46377</v>
      </c>
      <c r="B14" s="5" t="str">
        <f aca="false">CHOOSE(WEEKDAY(A14),"일","월","화","수","목","금","토")</f>
        <v>월</v>
      </c>
      <c r="C14" s="5" t="s">
        <v>136</v>
      </c>
      <c r="D14" s="5" t="s">
        <v>27</v>
      </c>
      <c r="E14" s="6" t="s">
        <v>137</v>
      </c>
      <c r="F14" s="6" t="s">
        <v>140</v>
      </c>
      <c r="G14" s="11"/>
      <c r="H14" s="21"/>
    </row>
    <row r="15" customFormat="false" ht="21.75" hidden="false" customHeight="true" outlineLevel="0" collapsed="false">
      <c r="A15" s="22" t="n">
        <v>46381</v>
      </c>
      <c r="B15" s="12" t="str">
        <f aca="false">CHOOSE(WEEKDAY(A15),"일","월","화","수","목","금","토")</f>
        <v>금</v>
      </c>
      <c r="C15" s="23" t="s">
        <v>132</v>
      </c>
      <c r="D15" s="23" t="s">
        <v>31</v>
      </c>
      <c r="E15" s="12" t="s">
        <v>133</v>
      </c>
      <c r="F15" s="12" t="s">
        <v>141</v>
      </c>
      <c r="G15" s="11"/>
      <c r="H15" s="24" t="s">
        <v>142</v>
      </c>
    </row>
    <row r="16" customFormat="false" ht="21.75" hidden="false" customHeight="true" outlineLevel="0" collapsed="false">
      <c r="A16" s="20" t="n">
        <v>46384</v>
      </c>
      <c r="B16" s="5" t="str">
        <f aca="false">CHOOSE(WEEKDAY(A16),"일","월","화","수","목","금","토")</f>
        <v>월</v>
      </c>
      <c r="C16" s="5" t="s">
        <v>136</v>
      </c>
      <c r="D16" s="5" t="s">
        <v>27</v>
      </c>
      <c r="E16" s="6" t="s">
        <v>137</v>
      </c>
      <c r="F16" s="6" t="s">
        <v>143</v>
      </c>
      <c r="G16" s="11"/>
      <c r="H16" s="21"/>
    </row>
    <row r="17" customFormat="false" ht="21.75" hidden="false" customHeight="true" outlineLevel="0" collapsed="false">
      <c r="A17" s="25" t="n">
        <v>46388</v>
      </c>
      <c r="B17" s="14" t="str">
        <f aca="false">CHOOSE(WEEKDAY(A17),"일","월","화","수","목","금","토")</f>
        <v>금</v>
      </c>
      <c r="C17" s="26" t="s">
        <v>84</v>
      </c>
      <c r="D17" s="26"/>
      <c r="E17" s="26"/>
      <c r="F17" s="26"/>
      <c r="G17" s="26"/>
      <c r="H17" s="27" t="s">
        <v>144</v>
      </c>
    </row>
    <row r="18" customFormat="false" ht="21.75" hidden="false" customHeight="true" outlineLevel="0" collapsed="false">
      <c r="A18" s="20" t="n">
        <v>46391</v>
      </c>
      <c r="B18" s="5" t="str">
        <f aca="false">CHOOSE(WEEKDAY(A18),"일","월","화","수","목","금","토")</f>
        <v>월</v>
      </c>
      <c r="C18" s="5" t="s">
        <v>136</v>
      </c>
      <c r="D18" s="5" t="s">
        <v>27</v>
      </c>
      <c r="E18" s="6" t="s">
        <v>137</v>
      </c>
      <c r="F18" s="6" t="s">
        <v>145</v>
      </c>
      <c r="G18" s="11"/>
      <c r="H18" s="21"/>
    </row>
    <row r="19" customFormat="false" ht="21.75" hidden="false" customHeight="true" outlineLevel="0" collapsed="false">
      <c r="A19" s="20" t="n">
        <v>46395</v>
      </c>
      <c r="B19" s="5" t="str">
        <f aca="false">CHOOSE(WEEKDAY(A19),"일","월","화","수","목","금","토")</f>
        <v>금</v>
      </c>
      <c r="C19" s="5" t="s">
        <v>132</v>
      </c>
      <c r="D19" s="5" t="s">
        <v>31</v>
      </c>
      <c r="E19" s="6" t="s">
        <v>133</v>
      </c>
      <c r="F19" s="6" t="s">
        <v>146</v>
      </c>
      <c r="G19" s="11"/>
      <c r="H19" s="21"/>
    </row>
    <row r="20" customFormat="false" ht="21.75" hidden="false" customHeight="true" outlineLevel="0" collapsed="false">
      <c r="A20" s="20" t="n">
        <v>46398</v>
      </c>
      <c r="B20" s="5" t="str">
        <f aca="false">CHOOSE(WEEKDAY(A20),"일","월","화","수","목","금","토")</f>
        <v>월</v>
      </c>
      <c r="C20" s="5" t="s">
        <v>136</v>
      </c>
      <c r="D20" s="5" t="s">
        <v>27</v>
      </c>
      <c r="E20" s="6" t="s">
        <v>137</v>
      </c>
      <c r="F20" s="6" t="s">
        <v>146</v>
      </c>
      <c r="G20" s="11"/>
      <c r="H20" s="21"/>
    </row>
    <row r="21" customFormat="false" ht="21.75" hidden="false" customHeight="true" outlineLevel="0" collapsed="false">
      <c r="A21" s="20" t="n">
        <v>46402</v>
      </c>
      <c r="B21" s="5" t="str">
        <f aca="false">CHOOSE(WEEKDAY(A21),"일","월","화","수","목","금","토")</f>
        <v>금</v>
      </c>
      <c r="C21" s="5" t="s">
        <v>132</v>
      </c>
      <c r="D21" s="5" t="s">
        <v>31</v>
      </c>
      <c r="E21" s="6" t="s">
        <v>133</v>
      </c>
      <c r="F21" s="6" t="s">
        <v>147</v>
      </c>
      <c r="G21" s="11"/>
      <c r="H21" s="21"/>
    </row>
    <row r="22" customFormat="false" ht="21.75" hidden="false" customHeight="true" outlineLevel="0" collapsed="false">
      <c r="A22" s="20" t="n">
        <v>46405</v>
      </c>
      <c r="B22" s="5" t="str">
        <f aca="false">CHOOSE(WEEKDAY(A22),"일","월","화","수","목","금","토")</f>
        <v>월</v>
      </c>
      <c r="C22" s="5" t="s">
        <v>136</v>
      </c>
      <c r="D22" s="5" t="s">
        <v>27</v>
      </c>
      <c r="E22" s="6" t="s">
        <v>137</v>
      </c>
      <c r="F22" s="6" t="s">
        <v>147</v>
      </c>
      <c r="G22" s="11"/>
      <c r="H22" s="21"/>
    </row>
    <row r="23" customFormat="false" ht="21.75" hidden="false" customHeight="true" outlineLevel="0" collapsed="false">
      <c r="A23" s="20" t="n">
        <v>46409</v>
      </c>
      <c r="B23" s="5" t="str">
        <f aca="false">CHOOSE(WEEKDAY(A23),"일","월","화","수","목","금","토")</f>
        <v>금</v>
      </c>
      <c r="C23" s="5" t="s">
        <v>132</v>
      </c>
      <c r="D23" s="5" t="s">
        <v>31</v>
      </c>
      <c r="E23" s="6" t="s">
        <v>133</v>
      </c>
      <c r="F23" s="6" t="s">
        <v>148</v>
      </c>
      <c r="G23" s="11"/>
      <c r="H23" s="21"/>
    </row>
    <row r="24" customFormat="false" ht="21.75" hidden="false" customHeight="true" outlineLevel="0" collapsed="false">
      <c r="A24" s="20" t="n">
        <v>46412</v>
      </c>
      <c r="B24" s="5" t="str">
        <f aca="false">CHOOSE(WEEKDAY(A24),"일","월","화","수","목","금","토")</f>
        <v>월</v>
      </c>
      <c r="C24" s="5" t="s">
        <v>136</v>
      </c>
      <c r="D24" s="5" t="s">
        <v>27</v>
      </c>
      <c r="E24" s="6" t="s">
        <v>137</v>
      </c>
      <c r="F24" s="6" t="s">
        <v>148</v>
      </c>
      <c r="G24" s="11"/>
      <c r="H24" s="21"/>
    </row>
    <row r="25" customFormat="false" ht="21.75" hidden="false" customHeight="true" outlineLevel="0" collapsed="false">
      <c r="A25" s="20" t="n">
        <v>46416</v>
      </c>
      <c r="B25" s="5" t="str">
        <f aca="false">CHOOSE(WEEKDAY(A25),"일","월","화","수","목","금","토")</f>
        <v>금</v>
      </c>
      <c r="C25" s="5" t="s">
        <v>132</v>
      </c>
      <c r="D25" s="5" t="s">
        <v>31</v>
      </c>
      <c r="E25" s="6" t="s">
        <v>133</v>
      </c>
      <c r="F25" s="6" t="s">
        <v>149</v>
      </c>
      <c r="G25" s="11"/>
      <c r="H25" s="21"/>
    </row>
    <row r="26" customFormat="false" ht="21.75" hidden="false" customHeight="true" outlineLevel="0" collapsed="false">
      <c r="A26" s="20" t="n">
        <v>46419</v>
      </c>
      <c r="B26" s="5" t="str">
        <f aca="false">CHOOSE(WEEKDAY(A26),"일","월","화","수","목","금","토")</f>
        <v>월</v>
      </c>
      <c r="C26" s="5" t="s">
        <v>136</v>
      </c>
      <c r="D26" s="5" t="s">
        <v>27</v>
      </c>
      <c r="E26" s="6" t="s">
        <v>137</v>
      </c>
      <c r="F26" s="6" t="s">
        <v>149</v>
      </c>
      <c r="G26" s="11"/>
      <c r="H26" s="21"/>
    </row>
    <row r="27" customFormat="false" ht="21.75" hidden="false" customHeight="true" outlineLevel="0" collapsed="false">
      <c r="A27" s="20" t="n">
        <v>46423</v>
      </c>
      <c r="B27" s="5" t="str">
        <f aca="false">CHOOSE(WEEKDAY(A27),"일","월","화","수","목","금","토")</f>
        <v>금</v>
      </c>
      <c r="C27" s="5" t="s">
        <v>132</v>
      </c>
      <c r="D27" s="5" t="s">
        <v>31</v>
      </c>
      <c r="E27" s="6" t="s">
        <v>133</v>
      </c>
      <c r="F27" s="6" t="s">
        <v>150</v>
      </c>
      <c r="G27" s="11"/>
      <c r="H27" s="21"/>
    </row>
    <row r="28" customFormat="false" ht="21.75" hidden="false" customHeight="true" outlineLevel="0" collapsed="false">
      <c r="A28" s="25" t="n">
        <v>46426</v>
      </c>
      <c r="B28" s="26" t="str">
        <f aca="false">CHOOSE(WEEKDAY(A28),"일","월","화","수","목","금","토")</f>
        <v>월</v>
      </c>
      <c r="C28" s="26" t="s">
        <v>84</v>
      </c>
      <c r="D28" s="26"/>
      <c r="E28" s="26"/>
      <c r="F28" s="26"/>
      <c r="G28" s="26"/>
      <c r="H28" s="27" t="s">
        <v>151</v>
      </c>
    </row>
    <row r="29" customFormat="false" ht="21.75" hidden="false" customHeight="true" outlineLevel="0" collapsed="false">
      <c r="A29" s="20" t="n">
        <v>46430</v>
      </c>
      <c r="B29" s="5" t="str">
        <f aca="false">CHOOSE(WEEKDAY(A29),"일","월","화","수","목","금","토")</f>
        <v>금</v>
      </c>
      <c r="C29" s="5" t="s">
        <v>132</v>
      </c>
      <c r="D29" s="5" t="s">
        <v>31</v>
      </c>
      <c r="E29" s="6" t="s">
        <v>133</v>
      </c>
      <c r="F29" s="6" t="s">
        <v>152</v>
      </c>
      <c r="G29" s="11"/>
      <c r="H29" s="21"/>
    </row>
    <row r="30" customFormat="false" ht="21.75" hidden="false" customHeight="true" outlineLevel="0" collapsed="false">
      <c r="A30" s="22" t="n">
        <v>46433</v>
      </c>
      <c r="B30" s="23" t="str">
        <f aca="false">CHOOSE(WEEKDAY(A30),"일","월","화","수","목","금","토")</f>
        <v>월</v>
      </c>
      <c r="C30" s="23" t="s">
        <v>136</v>
      </c>
      <c r="D30" s="23" t="s">
        <v>27</v>
      </c>
      <c r="E30" s="12" t="s">
        <v>137</v>
      </c>
      <c r="F30" s="12" t="s">
        <v>153</v>
      </c>
      <c r="G30" s="11"/>
      <c r="H30" s="28" t="s">
        <v>154</v>
      </c>
    </row>
    <row r="31" customFormat="false" ht="21.75" hidden="false" customHeight="true" outlineLevel="0" collapsed="false">
      <c r="A31" s="29" t="n">
        <v>46437</v>
      </c>
      <c r="B31" s="16" t="str">
        <f aca="false">CHOOSE(WEEKDAY(A31),"일","월","화","수","목","금","토")</f>
        <v>금</v>
      </c>
      <c r="C31" s="30" t="s">
        <v>118</v>
      </c>
      <c r="D31" s="30" t="s">
        <v>31</v>
      </c>
      <c r="E31" s="30"/>
      <c r="F31" s="30" t="s">
        <v>118</v>
      </c>
      <c r="G31" s="30"/>
      <c r="H31" s="31" t="s">
        <v>155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22"/>
    <col collapsed="false" customWidth="true" hidden="false" outlineLevel="0" max="7" min="6" style="0" width="14"/>
    <col collapsed="false" customWidth="true" hidden="false" outlineLevel="0" max="8" min="8" style="0" width="40"/>
  </cols>
  <sheetData>
    <row r="1" customFormat="false" ht="30" hidden="false" customHeight="true" outlineLevel="0" collapsed="false">
      <c r="A1" s="1" t="s">
        <v>156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123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18" t="s">
        <v>124</v>
      </c>
      <c r="B4" s="19" t="n">
        <f aca="false">COUNTIF($C$7:$C$31,"개념")</f>
        <v>12</v>
      </c>
      <c r="C4" s="18" t="s">
        <v>125</v>
      </c>
      <c r="D4" s="19" t="n">
        <f aca="false">COUNTIF($C$7:$C$31,"유형")</f>
        <v>11</v>
      </c>
      <c r="E4" s="18" t="s">
        <v>84</v>
      </c>
      <c r="F4" s="19" t="n">
        <f aca="false">COUNTIF($C$7:$C$31,"휴강")</f>
        <v>1</v>
      </c>
      <c r="G4" s="18" t="s">
        <v>118</v>
      </c>
      <c r="H4" s="19" t="n">
        <f aca="false">COUNTIF($C$7:$C$31,"총정리")</f>
        <v>1</v>
      </c>
    </row>
    <row r="6" customFormat="false" ht="30" hidden="false" customHeight="true" outlineLevel="0" collapsed="false">
      <c r="A6" s="3" t="s">
        <v>126</v>
      </c>
      <c r="B6" s="3" t="s">
        <v>3</v>
      </c>
      <c r="C6" s="3" t="s">
        <v>127</v>
      </c>
      <c r="D6" s="3" t="s">
        <v>24</v>
      </c>
      <c r="E6" s="3" t="s">
        <v>128</v>
      </c>
      <c r="F6" s="3" t="s">
        <v>129</v>
      </c>
      <c r="G6" s="3" t="s">
        <v>130</v>
      </c>
      <c r="H6" s="3" t="s">
        <v>131</v>
      </c>
    </row>
    <row r="7" customFormat="false" ht="21.75" hidden="false" customHeight="true" outlineLevel="0" collapsed="false">
      <c r="A7" s="20" t="n">
        <v>46352</v>
      </c>
      <c r="B7" s="5" t="str">
        <f aca="false">CHOOSE(WEEKDAY(A7),"일","월","화","수","목","금","토")</f>
        <v>목</v>
      </c>
      <c r="C7" s="5" t="s">
        <v>132</v>
      </c>
      <c r="D7" s="5" t="s">
        <v>31</v>
      </c>
      <c r="E7" s="6" t="s">
        <v>133</v>
      </c>
      <c r="F7" s="6" t="s">
        <v>134</v>
      </c>
      <c r="G7" s="11"/>
      <c r="H7" s="21" t="s">
        <v>135</v>
      </c>
    </row>
    <row r="8" customFormat="false" ht="21.75" hidden="false" customHeight="true" outlineLevel="0" collapsed="false">
      <c r="A8" s="20" t="n">
        <v>46357</v>
      </c>
      <c r="B8" s="5" t="str">
        <f aca="false">CHOOSE(WEEKDAY(A8),"일","월","화","수","목","금","토")</f>
        <v>화</v>
      </c>
      <c r="C8" s="5" t="s">
        <v>136</v>
      </c>
      <c r="D8" s="5" t="s">
        <v>27</v>
      </c>
      <c r="E8" s="6" t="s">
        <v>137</v>
      </c>
      <c r="F8" s="6" t="s">
        <v>134</v>
      </c>
      <c r="G8" s="11"/>
      <c r="H8" s="21"/>
    </row>
    <row r="9" customFormat="false" ht="21.75" hidden="false" customHeight="true" outlineLevel="0" collapsed="false">
      <c r="A9" s="20" t="n">
        <v>46359</v>
      </c>
      <c r="B9" s="5" t="str">
        <f aca="false">CHOOSE(WEEKDAY(A9),"일","월","화","수","목","금","토")</f>
        <v>목</v>
      </c>
      <c r="C9" s="5" t="s">
        <v>132</v>
      </c>
      <c r="D9" s="5" t="s">
        <v>31</v>
      </c>
      <c r="E9" s="6" t="s">
        <v>133</v>
      </c>
      <c r="F9" s="6" t="s">
        <v>138</v>
      </c>
      <c r="G9" s="11"/>
      <c r="H9" s="21"/>
    </row>
    <row r="10" customFormat="false" ht="21.75" hidden="false" customHeight="true" outlineLevel="0" collapsed="false">
      <c r="A10" s="20" t="n">
        <v>46364</v>
      </c>
      <c r="B10" s="5" t="str">
        <f aca="false">CHOOSE(WEEKDAY(A10),"일","월","화","수","목","금","토")</f>
        <v>화</v>
      </c>
      <c r="C10" s="5" t="s">
        <v>136</v>
      </c>
      <c r="D10" s="5" t="s">
        <v>27</v>
      </c>
      <c r="E10" s="6" t="s">
        <v>137</v>
      </c>
      <c r="F10" s="6" t="s">
        <v>138</v>
      </c>
      <c r="G10" s="11"/>
      <c r="H10" s="21"/>
    </row>
    <row r="11" customFormat="false" ht="21.75" hidden="false" customHeight="true" outlineLevel="0" collapsed="false">
      <c r="A11" s="20" t="n">
        <v>46366</v>
      </c>
      <c r="B11" s="5" t="str">
        <f aca="false">CHOOSE(WEEKDAY(A11),"일","월","화","수","목","금","토")</f>
        <v>목</v>
      </c>
      <c r="C11" s="5" t="s">
        <v>132</v>
      </c>
      <c r="D11" s="5" t="s">
        <v>31</v>
      </c>
      <c r="E11" s="6" t="s">
        <v>133</v>
      </c>
      <c r="F11" s="6" t="s">
        <v>139</v>
      </c>
      <c r="G11" s="11"/>
      <c r="H11" s="21"/>
    </row>
    <row r="12" customFormat="false" ht="21.75" hidden="false" customHeight="true" outlineLevel="0" collapsed="false">
      <c r="A12" s="20" t="n">
        <v>46371</v>
      </c>
      <c r="B12" s="5" t="str">
        <f aca="false">CHOOSE(WEEKDAY(A12),"일","월","화","수","목","금","토")</f>
        <v>화</v>
      </c>
      <c r="C12" s="5" t="s">
        <v>136</v>
      </c>
      <c r="D12" s="5" t="s">
        <v>27</v>
      </c>
      <c r="E12" s="6" t="s">
        <v>137</v>
      </c>
      <c r="F12" s="6" t="s">
        <v>139</v>
      </c>
      <c r="G12" s="11"/>
      <c r="H12" s="21"/>
    </row>
    <row r="13" customFormat="false" ht="21.75" hidden="false" customHeight="true" outlineLevel="0" collapsed="false">
      <c r="A13" s="20" t="n">
        <v>46373</v>
      </c>
      <c r="B13" s="5" t="str">
        <f aca="false">CHOOSE(WEEKDAY(A13),"일","월","화","수","목","금","토")</f>
        <v>목</v>
      </c>
      <c r="C13" s="5" t="s">
        <v>132</v>
      </c>
      <c r="D13" s="5" t="s">
        <v>31</v>
      </c>
      <c r="E13" s="6" t="s">
        <v>133</v>
      </c>
      <c r="F13" s="6" t="s">
        <v>140</v>
      </c>
      <c r="G13" s="11"/>
      <c r="H13" s="21"/>
    </row>
    <row r="14" customFormat="false" ht="21.75" hidden="false" customHeight="true" outlineLevel="0" collapsed="false">
      <c r="A14" s="20" t="n">
        <v>46378</v>
      </c>
      <c r="B14" s="5" t="str">
        <f aca="false">CHOOSE(WEEKDAY(A14),"일","월","화","수","목","금","토")</f>
        <v>화</v>
      </c>
      <c r="C14" s="5" t="s">
        <v>136</v>
      </c>
      <c r="D14" s="5" t="s">
        <v>27</v>
      </c>
      <c r="E14" s="6" t="s">
        <v>137</v>
      </c>
      <c r="F14" s="6" t="s">
        <v>140</v>
      </c>
      <c r="G14" s="11"/>
      <c r="H14" s="21"/>
    </row>
    <row r="15" customFormat="false" ht="21.75" hidden="false" customHeight="true" outlineLevel="0" collapsed="false">
      <c r="A15" s="20" t="n">
        <v>46380</v>
      </c>
      <c r="B15" s="5" t="str">
        <f aca="false">CHOOSE(WEEKDAY(A15),"일","월","화","수","목","금","토")</f>
        <v>목</v>
      </c>
      <c r="C15" s="5" t="s">
        <v>132</v>
      </c>
      <c r="D15" s="5" t="s">
        <v>31</v>
      </c>
      <c r="E15" s="6" t="s">
        <v>133</v>
      </c>
      <c r="F15" s="6" t="s">
        <v>143</v>
      </c>
      <c r="G15" s="11"/>
      <c r="H15" s="21"/>
    </row>
    <row r="16" customFormat="false" ht="21.75" hidden="false" customHeight="true" outlineLevel="0" collapsed="false">
      <c r="A16" s="20" t="n">
        <v>46385</v>
      </c>
      <c r="B16" s="5" t="str">
        <f aca="false">CHOOSE(WEEKDAY(A16),"일","월","화","수","목","금","토")</f>
        <v>화</v>
      </c>
      <c r="C16" s="5" t="s">
        <v>136</v>
      </c>
      <c r="D16" s="5" t="s">
        <v>27</v>
      </c>
      <c r="E16" s="6" t="s">
        <v>137</v>
      </c>
      <c r="F16" s="6" t="s">
        <v>143</v>
      </c>
      <c r="G16" s="11"/>
      <c r="H16" s="21"/>
    </row>
    <row r="17" customFormat="false" ht="21.75" hidden="false" customHeight="true" outlineLevel="0" collapsed="false">
      <c r="A17" s="20" t="n">
        <v>46387</v>
      </c>
      <c r="B17" s="5" t="str">
        <f aca="false">CHOOSE(WEEKDAY(A17),"일","월","화","수","목","금","토")</f>
        <v>목</v>
      </c>
      <c r="C17" s="5" t="s">
        <v>132</v>
      </c>
      <c r="D17" s="5" t="s">
        <v>31</v>
      </c>
      <c r="E17" s="6" t="s">
        <v>133</v>
      </c>
      <c r="F17" s="6" t="s">
        <v>145</v>
      </c>
      <c r="G17" s="11"/>
      <c r="H17" s="21"/>
    </row>
    <row r="18" customFormat="false" ht="21.75" hidden="false" customHeight="true" outlineLevel="0" collapsed="false">
      <c r="A18" s="20" t="n">
        <v>46392</v>
      </c>
      <c r="B18" s="5" t="str">
        <f aca="false">CHOOSE(WEEKDAY(A18),"일","월","화","수","목","금","토")</f>
        <v>화</v>
      </c>
      <c r="C18" s="5" t="s">
        <v>136</v>
      </c>
      <c r="D18" s="5" t="s">
        <v>27</v>
      </c>
      <c r="E18" s="6" t="s">
        <v>137</v>
      </c>
      <c r="F18" s="6" t="s">
        <v>145</v>
      </c>
      <c r="G18" s="11"/>
      <c r="H18" s="21"/>
    </row>
    <row r="19" customFormat="false" ht="21.75" hidden="false" customHeight="true" outlineLevel="0" collapsed="false">
      <c r="A19" s="20" t="n">
        <v>46394</v>
      </c>
      <c r="B19" s="5" t="str">
        <f aca="false">CHOOSE(WEEKDAY(A19),"일","월","화","수","목","금","토")</f>
        <v>목</v>
      </c>
      <c r="C19" s="5" t="s">
        <v>132</v>
      </c>
      <c r="D19" s="5" t="s">
        <v>31</v>
      </c>
      <c r="E19" s="6" t="s">
        <v>133</v>
      </c>
      <c r="F19" s="6" t="s">
        <v>146</v>
      </c>
      <c r="G19" s="11"/>
      <c r="H19" s="21"/>
    </row>
    <row r="20" customFormat="false" ht="21.75" hidden="false" customHeight="true" outlineLevel="0" collapsed="false">
      <c r="A20" s="20" t="n">
        <v>46399</v>
      </c>
      <c r="B20" s="5" t="str">
        <f aca="false">CHOOSE(WEEKDAY(A20),"일","월","화","수","목","금","토")</f>
        <v>화</v>
      </c>
      <c r="C20" s="5" t="s">
        <v>136</v>
      </c>
      <c r="D20" s="5" t="s">
        <v>27</v>
      </c>
      <c r="E20" s="6" t="s">
        <v>137</v>
      </c>
      <c r="F20" s="6" t="s">
        <v>146</v>
      </c>
      <c r="G20" s="11"/>
      <c r="H20" s="21"/>
    </row>
    <row r="21" customFormat="false" ht="21.75" hidden="false" customHeight="true" outlineLevel="0" collapsed="false">
      <c r="A21" s="20" t="n">
        <v>46401</v>
      </c>
      <c r="B21" s="5" t="str">
        <f aca="false">CHOOSE(WEEKDAY(A21),"일","월","화","수","목","금","토")</f>
        <v>목</v>
      </c>
      <c r="C21" s="5" t="s">
        <v>132</v>
      </c>
      <c r="D21" s="5" t="s">
        <v>31</v>
      </c>
      <c r="E21" s="6" t="s">
        <v>133</v>
      </c>
      <c r="F21" s="6" t="s">
        <v>147</v>
      </c>
      <c r="G21" s="11"/>
      <c r="H21" s="21"/>
    </row>
    <row r="22" customFormat="false" ht="21.75" hidden="false" customHeight="true" outlineLevel="0" collapsed="false">
      <c r="A22" s="20" t="n">
        <v>46406</v>
      </c>
      <c r="B22" s="5" t="str">
        <f aca="false">CHOOSE(WEEKDAY(A22),"일","월","화","수","목","금","토")</f>
        <v>화</v>
      </c>
      <c r="C22" s="5" t="s">
        <v>136</v>
      </c>
      <c r="D22" s="5" t="s">
        <v>27</v>
      </c>
      <c r="E22" s="6" t="s">
        <v>137</v>
      </c>
      <c r="F22" s="6" t="s">
        <v>147</v>
      </c>
      <c r="G22" s="11"/>
      <c r="H22" s="21"/>
    </row>
    <row r="23" customFormat="false" ht="21.75" hidden="false" customHeight="true" outlineLevel="0" collapsed="false">
      <c r="A23" s="20" t="n">
        <v>46408</v>
      </c>
      <c r="B23" s="5" t="str">
        <f aca="false">CHOOSE(WEEKDAY(A23),"일","월","화","수","목","금","토")</f>
        <v>목</v>
      </c>
      <c r="C23" s="5" t="s">
        <v>132</v>
      </c>
      <c r="D23" s="5" t="s">
        <v>31</v>
      </c>
      <c r="E23" s="6" t="s">
        <v>133</v>
      </c>
      <c r="F23" s="6" t="s">
        <v>148</v>
      </c>
      <c r="G23" s="11"/>
      <c r="H23" s="21"/>
    </row>
    <row r="24" customFormat="false" ht="21.75" hidden="false" customHeight="true" outlineLevel="0" collapsed="false">
      <c r="A24" s="20" t="n">
        <v>46413</v>
      </c>
      <c r="B24" s="5" t="str">
        <f aca="false">CHOOSE(WEEKDAY(A24),"일","월","화","수","목","금","토")</f>
        <v>화</v>
      </c>
      <c r="C24" s="5" t="s">
        <v>136</v>
      </c>
      <c r="D24" s="5" t="s">
        <v>27</v>
      </c>
      <c r="E24" s="6" t="s">
        <v>137</v>
      </c>
      <c r="F24" s="6" t="s">
        <v>148</v>
      </c>
      <c r="G24" s="11"/>
      <c r="H24" s="21"/>
    </row>
    <row r="25" customFormat="false" ht="21.75" hidden="false" customHeight="true" outlineLevel="0" collapsed="false">
      <c r="A25" s="20" t="n">
        <v>46415</v>
      </c>
      <c r="B25" s="5" t="str">
        <f aca="false">CHOOSE(WEEKDAY(A25),"일","월","화","수","목","금","토")</f>
        <v>목</v>
      </c>
      <c r="C25" s="5" t="s">
        <v>132</v>
      </c>
      <c r="D25" s="5" t="s">
        <v>31</v>
      </c>
      <c r="E25" s="6" t="s">
        <v>133</v>
      </c>
      <c r="F25" s="6" t="s">
        <v>149</v>
      </c>
      <c r="G25" s="11"/>
      <c r="H25" s="21"/>
    </row>
    <row r="26" customFormat="false" ht="21.75" hidden="false" customHeight="true" outlineLevel="0" collapsed="false">
      <c r="A26" s="20" t="n">
        <v>46420</v>
      </c>
      <c r="B26" s="5" t="str">
        <f aca="false">CHOOSE(WEEKDAY(A26),"일","월","화","수","목","금","토")</f>
        <v>화</v>
      </c>
      <c r="C26" s="5" t="s">
        <v>136</v>
      </c>
      <c r="D26" s="5" t="s">
        <v>27</v>
      </c>
      <c r="E26" s="6" t="s">
        <v>137</v>
      </c>
      <c r="F26" s="6" t="s">
        <v>149</v>
      </c>
      <c r="G26" s="11"/>
      <c r="H26" s="21"/>
    </row>
    <row r="27" customFormat="false" ht="21.75" hidden="false" customHeight="true" outlineLevel="0" collapsed="false">
      <c r="A27" s="20" t="n">
        <v>46422</v>
      </c>
      <c r="B27" s="5" t="str">
        <f aca="false">CHOOSE(WEEKDAY(A27),"일","월","화","수","목","금","토")</f>
        <v>목</v>
      </c>
      <c r="C27" s="5" t="s">
        <v>132</v>
      </c>
      <c r="D27" s="5" t="s">
        <v>31</v>
      </c>
      <c r="E27" s="6" t="s">
        <v>133</v>
      </c>
      <c r="F27" s="6" t="s">
        <v>150</v>
      </c>
      <c r="G27" s="11"/>
      <c r="H27" s="21"/>
    </row>
    <row r="28" customFormat="false" ht="21.75" hidden="false" customHeight="true" outlineLevel="0" collapsed="false">
      <c r="A28" s="25" t="n">
        <v>46427</v>
      </c>
      <c r="B28" s="26" t="str">
        <f aca="false">CHOOSE(WEEKDAY(A28),"일","월","화","수","목","금","토")</f>
        <v>화</v>
      </c>
      <c r="C28" s="26" t="s">
        <v>84</v>
      </c>
      <c r="D28" s="26"/>
      <c r="E28" s="26"/>
      <c r="F28" s="26"/>
      <c r="G28" s="26"/>
      <c r="H28" s="27" t="s">
        <v>157</v>
      </c>
    </row>
    <row r="29" customFormat="false" ht="21.75" hidden="false" customHeight="true" outlineLevel="0" collapsed="false">
      <c r="A29" s="20" t="n">
        <v>46429</v>
      </c>
      <c r="B29" s="5" t="str">
        <f aca="false">CHOOSE(WEEKDAY(A29),"일","월","화","수","목","금","토")</f>
        <v>목</v>
      </c>
      <c r="C29" s="5" t="s">
        <v>132</v>
      </c>
      <c r="D29" s="5" t="s">
        <v>31</v>
      </c>
      <c r="E29" s="6" t="s">
        <v>133</v>
      </c>
      <c r="F29" s="6" t="s">
        <v>152</v>
      </c>
      <c r="G29" s="11"/>
      <c r="H29" s="21"/>
    </row>
    <row r="30" customFormat="false" ht="21.75" hidden="false" customHeight="true" outlineLevel="0" collapsed="false">
      <c r="A30" s="22" t="n">
        <v>46434</v>
      </c>
      <c r="B30" s="23" t="str">
        <f aca="false">CHOOSE(WEEKDAY(A30),"일","월","화","수","목","금","토")</f>
        <v>화</v>
      </c>
      <c r="C30" s="23" t="s">
        <v>136</v>
      </c>
      <c r="D30" s="23" t="s">
        <v>27</v>
      </c>
      <c r="E30" s="12" t="s">
        <v>137</v>
      </c>
      <c r="F30" s="12" t="s">
        <v>153</v>
      </c>
      <c r="G30" s="11"/>
      <c r="H30" s="28" t="s">
        <v>154</v>
      </c>
    </row>
    <row r="31" customFormat="false" ht="21.75" hidden="false" customHeight="true" outlineLevel="0" collapsed="false">
      <c r="A31" s="29" t="n">
        <v>46436</v>
      </c>
      <c r="B31" s="30" t="str">
        <f aca="false">CHOOSE(WEEKDAY(A31),"일","월","화","수","목","금","토")</f>
        <v>목</v>
      </c>
      <c r="C31" s="30" t="s">
        <v>118</v>
      </c>
      <c r="D31" s="30" t="s">
        <v>31</v>
      </c>
      <c r="E31" s="30"/>
      <c r="F31" s="30" t="s">
        <v>118</v>
      </c>
      <c r="G31" s="30"/>
      <c r="H31" s="31" t="s">
        <v>155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2026-10-15T08:29:45Z</dcterms:created>
  <dc:creator>openpyxl</dc:creator>
  <dc:description/>
  <dc:language>en-US</dc:language>
  <cp:lastModifiedBy/>
  <dcterms:modified xsi:type="dcterms:W3CDTF">2026-10-15T08:29:45Z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