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정" sheetId="1" state="visible" r:id="rId1"/>
    <sheet xmlns:r="http://schemas.openxmlformats.org/officeDocument/2006/relationships" name="학생명단" sheetId="2" state="visible" r:id="rId2"/>
    <sheet xmlns:r="http://schemas.openxmlformats.org/officeDocument/2006/relationships" name="공수1" sheetId="3" state="visible" r:id="rId3"/>
    <sheet xmlns:r="http://schemas.openxmlformats.org/officeDocument/2006/relationships" name="공수2" sheetId="4" state="visible" r:id="rId4"/>
    <sheet xmlns:r="http://schemas.openxmlformats.org/officeDocument/2006/relationships" name="반배정" sheetId="5" state="visible" r:id="rId5"/>
    <sheet xmlns:r="http://schemas.openxmlformats.org/officeDocument/2006/relationships" name="석차순" sheetId="6" state="visible" r:id="rId6"/>
    <sheet xmlns:r="http://schemas.openxmlformats.org/officeDocument/2006/relationships" name="문항분석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#"/>
    <numFmt numFmtId="165" formatCode="0.0"/>
  </numFmts>
  <fonts count="16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9"/>
    </font>
    <font>
      <name val="맑은 고딕"/>
      <b val="1"/>
      <color rgb="001F3864"/>
      <sz val="11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000000"/>
      <sz val="10"/>
    </font>
    <font>
      <name val="맑은 고딕"/>
      <color rgb="00000000"/>
      <sz val="9"/>
    </font>
    <font>
      <name val="맑은 고딕"/>
      <color rgb="00C00000"/>
      <sz val="9"/>
    </font>
    <font>
      <name val="맑은 고딕"/>
      <b val="1"/>
      <color rgb="00C00000"/>
      <sz val="10"/>
    </font>
    <font>
      <name val="맑은 고딕"/>
      <color rgb="00000000"/>
      <sz val="8"/>
    </font>
    <font>
      <name val="맑은 고딕"/>
      <b val="1"/>
      <color rgb="00FFFFFF"/>
      <sz val="9"/>
    </font>
    <font>
      <name val="맑은 고딕"/>
      <color rgb="00595959"/>
      <sz val="8"/>
    </font>
    <font>
      <name val="맑은 고딕"/>
      <b val="1"/>
      <color rgb="00000000"/>
      <sz val="9"/>
    </font>
    <font>
      <name val="맑은 고딕"/>
      <b val="1"/>
      <color rgb="00C55A11"/>
      <sz val="10"/>
    </font>
    <font>
      <name val="맑은 고딕"/>
      <color rgb="00A6A6A6"/>
      <sz val="9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7030A0"/>
      </patternFill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7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6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ont>
        <b val="1"/>
        <color rgb="00C00000"/>
      </font>
      <fill>
        <patternFill patternType="solid">
          <fgColor rgb="00F8CBAD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BE5D6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E7E6E6"/>
        </patternFill>
      </fill>
    </dxf>
    <dxf>
      <font>
        <b val="1"/>
      </font>
      <fill>
        <patternFill patternType="solid">
          <f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12" customWidth="1" min="3" max="3"/>
    <col width="12" customWidth="1" min="4" max="4"/>
    <col width="44" customWidth="1" min="5" max="5"/>
    <col width="34" customWidth="1" min="6" max="6"/>
  </cols>
  <sheetData>
    <row r="1" ht="26" customHeight="1">
      <c r="A1" s="1" t="inlineStr">
        <is>
          <t>예비고1 반편성고사 — 설정</t>
        </is>
      </c>
    </row>
    <row r="2" ht="30" customHeight="1">
      <c r="A2" s="2" t="inlineStr">
        <is>
          <t>노란 칸만 입력하세요. 반 이름·정원·반영비율·단원명을 바꾸면 모든 시트에 자동 반영됩니다. 정답·배점·단원·난이도는 '공수1', '공수2' 시트 위쪽(2~5행)에서 입력합니다.</t>
        </is>
      </c>
    </row>
    <row r="4">
      <c r="A4" s="3" t="inlineStr">
        <is>
          <t>① 반 배정 기준 (절대평가)</t>
        </is>
      </c>
    </row>
    <row r="5">
      <c r="A5" s="4" t="inlineStr">
        <is>
          <t>순서</t>
        </is>
      </c>
      <c r="B5" s="4" t="inlineStr">
        <is>
          <t>반 이름</t>
        </is>
      </c>
      <c r="C5" s="4" t="inlineStr">
        <is>
          <t>공수1 이상</t>
        </is>
      </c>
      <c r="D5" s="4" t="inlineStr">
        <is>
          <t>공수1 미만</t>
        </is>
      </c>
      <c r="E5" s="4" t="inlineStr">
        <is>
          <t>공수2 이상</t>
        </is>
      </c>
      <c r="F5" s="4" t="inlineStr">
        <is>
          <t>공수2 미만</t>
        </is>
      </c>
      <c r="H5" s="2" t="inlineStr">
        <is>
          <t>· 점수(100점 만점)로 판정, 빈칸은 조건 없음
· 위 순위부터 차례로 확인해 처음 맞는 반에 배정
· 예) TF2반: 공수1 60점 이상이고 공수2 40점 미만</t>
        </is>
      </c>
    </row>
    <row r="6">
      <c r="A6" s="5" t="inlineStr">
        <is>
          <t>1순위</t>
        </is>
      </c>
      <c r="B6" s="6" t="inlineStr">
        <is>
          <t>TF1반</t>
        </is>
      </c>
      <c r="C6" s="7" t="n">
        <v>60</v>
      </c>
      <c r="D6" s="7" t="n"/>
      <c r="E6" s="7" t="n">
        <v>60</v>
      </c>
      <c r="F6" s="7" t="n"/>
    </row>
    <row r="7">
      <c r="A7" s="5" t="inlineStr">
        <is>
          <t>2순위</t>
        </is>
      </c>
      <c r="B7" s="6" t="inlineStr">
        <is>
          <t>TF2반</t>
        </is>
      </c>
      <c r="C7" s="7" t="n">
        <v>60</v>
      </c>
      <c r="D7" s="7" t="n"/>
      <c r="E7" s="7" t="n"/>
      <c r="F7" s="7" t="n">
        <v>40</v>
      </c>
    </row>
    <row r="8">
      <c r="A8" s="5" t="inlineStr">
        <is>
          <t>3순위</t>
        </is>
      </c>
      <c r="B8" s="6" t="inlineStr">
        <is>
          <t>TF3반</t>
        </is>
      </c>
      <c r="C8" s="7" t="n"/>
      <c r="D8" s="7" t="n">
        <v>40</v>
      </c>
      <c r="E8" s="7" t="n"/>
      <c r="F8" s="7" t="n">
        <v>40</v>
      </c>
    </row>
    <row r="9">
      <c r="A9" s="8" t="inlineStr">
        <is>
          <t>그 외</t>
        </is>
      </c>
      <c r="B9" s="6" t="inlineStr">
        <is>
          <t>보류</t>
        </is>
      </c>
      <c r="C9" s="9" t="inlineStr">
        <is>
          <t>위 조건에 모두 해당하지 않거나 미응시 과목이 있으면 보류 → 상담 후 수동 배정</t>
        </is>
      </c>
    </row>
    <row r="11">
      <c r="A11" s="3" t="inlineStr">
        <is>
          <t>② 점수 반영</t>
        </is>
      </c>
    </row>
    <row r="12">
      <c r="B12" s="4" t="inlineStr">
        <is>
          <t>항목</t>
        </is>
      </c>
      <c r="C12" s="4" t="inlineStr">
        <is>
          <t>값</t>
        </is>
      </c>
    </row>
    <row r="13">
      <c r="B13" s="5" t="inlineStr">
        <is>
          <t>공통수학1 반영비율</t>
        </is>
      </c>
      <c r="C13" s="7" t="n">
        <v>1</v>
      </c>
      <c r="E13" s="2" t="inlineStr">
        <is>
          <t>환산총점(석차·참고용) = 공수1 점수×비율 + 공수2 점수×비율</t>
        </is>
      </c>
    </row>
    <row r="14">
      <c r="B14" s="5" t="inlineStr">
        <is>
          <t>공통수학2 반영비율</t>
        </is>
      </c>
      <c r="C14" s="7" t="n">
        <v>1</v>
      </c>
      <c r="E14" s="2" t="inlineStr">
        <is>
          <t>반 배정은 ①의 과목별 점수 기준으로만 결정</t>
        </is>
      </c>
    </row>
    <row r="15">
      <c r="B15" s="5" t="inlineStr">
        <is>
          <t>경계 범위(점)</t>
        </is>
      </c>
      <c r="C15" s="7" t="n">
        <v>3</v>
      </c>
      <c r="E15" s="2" t="inlineStr">
        <is>
          <t>어느 과목이든 기준 점수(①의 숫자)와 차이가 이 값 이내면 '경계'로 표시 → 상담·재검토 대상</t>
        </is>
      </c>
    </row>
    <row r="17">
      <c r="A17" s="3" t="inlineStr">
        <is>
          <t>③ 단원 목록 · 출제 설계 확인</t>
        </is>
      </c>
    </row>
    <row r="18">
      <c r="A18" s="4" t="inlineStr">
        <is>
          <t>과목</t>
        </is>
      </c>
      <c r="B18" s="4" t="inlineStr">
        <is>
          <t>단원</t>
        </is>
      </c>
      <c r="C18" s="4" t="inlineStr">
        <is>
          <t>문항 수</t>
        </is>
      </c>
      <c r="D18" s="4" t="inlineStr">
        <is>
          <t>배점 합</t>
        </is>
      </c>
      <c r="E18" s="4" t="inlineStr">
        <is>
          <t>포함 내용(2022 개정)</t>
        </is>
      </c>
    </row>
    <row r="19">
      <c r="A19" s="5" t="inlineStr">
        <is>
          <t>공통수학1</t>
        </is>
      </c>
      <c r="B19" s="7" t="inlineStr">
        <is>
          <t>다항식</t>
        </is>
      </c>
      <c r="C19" s="10">
        <f>COUNTIF('공수1'!$D$4:$W$4,B19)</f>
        <v/>
      </c>
      <c r="D19" s="10">
        <f>SUMIF('공수1'!$D$4:$W$4,B19,'공수1'!$D$3:$W$3)</f>
        <v/>
      </c>
      <c r="E19" s="11" t="inlineStr">
        <is>
          <t>다항식의 연산, 나머지정리, 인수분해</t>
        </is>
      </c>
    </row>
    <row r="20">
      <c r="A20" s="5" t="inlineStr">
        <is>
          <t>공통수학1</t>
        </is>
      </c>
      <c r="B20" s="7" t="inlineStr">
        <is>
          <t>방정식과 부등식</t>
        </is>
      </c>
      <c r="C20" s="10">
        <f>COUNTIF('공수1'!$D$4:$W$4,B20)</f>
        <v/>
      </c>
      <c r="D20" s="10">
        <f>SUMIF('공수1'!$D$4:$W$4,B20,'공수1'!$D$3:$W$3)</f>
        <v/>
      </c>
      <c r="E20" s="11" t="inlineStr">
        <is>
          <t>복소수, 이차방정식, 이차함수, 여러 가지 방정식·부등식</t>
        </is>
      </c>
    </row>
    <row r="21">
      <c r="A21" s="5" t="inlineStr">
        <is>
          <t>공통수학1</t>
        </is>
      </c>
      <c r="B21" s="7" t="inlineStr">
        <is>
          <t>경우의 수</t>
        </is>
      </c>
      <c r="C21" s="10">
        <f>COUNTIF('공수1'!$D$4:$W$4,B21)</f>
        <v/>
      </c>
      <c r="D21" s="10">
        <f>SUMIF('공수1'!$D$4:$W$4,B21,'공수1'!$D$3:$W$3)</f>
        <v/>
      </c>
      <c r="E21" s="11" t="inlineStr">
        <is>
          <t>합·곱의 법칙, 순열, 조합</t>
        </is>
      </c>
    </row>
    <row r="22">
      <c r="A22" s="5" t="inlineStr">
        <is>
          <t>공통수학1</t>
        </is>
      </c>
      <c r="B22" s="7" t="inlineStr">
        <is>
          <t>행렬</t>
        </is>
      </c>
      <c r="C22" s="10">
        <f>COUNTIF('공수1'!$D$4:$W$4,B22)</f>
        <v/>
      </c>
      <c r="D22" s="10">
        <f>SUMIF('공수1'!$D$4:$W$4,B22,'공수1'!$D$3:$W$3)</f>
        <v/>
      </c>
      <c r="E22" s="11" t="inlineStr">
        <is>
          <t>행렬과 그 연산</t>
        </is>
      </c>
    </row>
    <row r="23">
      <c r="A23" s="8" t="inlineStr">
        <is>
          <t>공통수학1</t>
        </is>
      </c>
      <c r="B23" s="8" t="inlineStr">
        <is>
          <t>합계</t>
        </is>
      </c>
      <c r="C23" s="8">
        <f>SUM(C19:C22)</f>
        <v/>
      </c>
      <c r="D23" s="8">
        <f>SUM(D19:D22)</f>
        <v/>
      </c>
      <c r="E23" s="12" t="inlineStr">
        <is>
          <t>← 문항 수 20, 배점 합 100인지 확인</t>
        </is>
      </c>
    </row>
    <row r="24">
      <c r="A24" s="5" t="inlineStr">
        <is>
          <t>공통수학2</t>
        </is>
      </c>
      <c r="B24" s="7" t="inlineStr">
        <is>
          <t>도형의 방정식</t>
        </is>
      </c>
      <c r="C24" s="10">
        <f>COUNTIF('공수2'!$D$4:$W$4,B24)</f>
        <v/>
      </c>
      <c r="D24" s="10">
        <f>SUMIF('공수2'!$D$4:$W$4,B24,'공수2'!$D$3:$W$3)</f>
        <v/>
      </c>
      <c r="E24" s="11" t="inlineStr">
        <is>
          <t>평면좌표, 직선·원의 방정식, 도형의 이동</t>
        </is>
      </c>
    </row>
    <row r="25">
      <c r="A25" s="5" t="inlineStr">
        <is>
          <t>공통수학2</t>
        </is>
      </c>
      <c r="B25" s="7" t="inlineStr">
        <is>
          <t>집합과 명제</t>
        </is>
      </c>
      <c r="C25" s="10">
        <f>COUNTIF('공수2'!$D$4:$W$4,B25)</f>
        <v/>
      </c>
      <c r="D25" s="10">
        <f>SUMIF('공수2'!$D$4:$W$4,B25,'공수2'!$D$3:$W$3)</f>
        <v/>
      </c>
      <c r="E25" s="11" t="inlineStr">
        <is>
          <t>집합, 명제</t>
        </is>
      </c>
    </row>
    <row r="26">
      <c r="A26" s="5" t="inlineStr">
        <is>
          <t>공통수학2</t>
        </is>
      </c>
      <c r="B26" s="7" t="inlineStr">
        <is>
          <t>함수와 그래프</t>
        </is>
      </c>
      <c r="C26" s="10">
        <f>COUNTIF('공수2'!$D$4:$W$4,B26)</f>
        <v/>
      </c>
      <c r="D26" s="10">
        <f>SUMIF('공수2'!$D$4:$W$4,B26,'공수2'!$D$3:$W$3)</f>
        <v/>
      </c>
      <c r="E26" s="11" t="inlineStr">
        <is>
          <t>함수, 합성·역함수, 유리·무리함수</t>
        </is>
      </c>
    </row>
    <row r="27">
      <c r="A27" s="8" t="inlineStr">
        <is>
          <t>공통수학2</t>
        </is>
      </c>
      <c r="B27" s="8" t="inlineStr">
        <is>
          <t>합계</t>
        </is>
      </c>
      <c r="C27" s="8">
        <f>SUM(C24:C26)</f>
        <v/>
      </c>
      <c r="D27" s="8">
        <f>SUM(D24:D26)</f>
        <v/>
      </c>
      <c r="E27" s="12" t="inlineStr">
        <is>
          <t>← 문항 수 20, 배점 합 100인지 확인</t>
        </is>
      </c>
    </row>
    <row r="30">
      <c r="A30" s="3" t="inlineStr">
        <is>
          <t>④ 학부모 보고서 설정</t>
        </is>
      </c>
    </row>
    <row r="31">
      <c r="A31" s="4" t="inlineStr">
        <is>
          <t>항목</t>
        </is>
      </c>
      <c r="B31" s="4" t="inlineStr">
        <is>
          <t>값</t>
        </is>
      </c>
      <c r="C31" s="13" t="n"/>
      <c r="D31" s="13" t="n"/>
      <c r="E31" s="14" t="n"/>
    </row>
    <row r="32">
      <c r="A32" s="15" t="inlineStr">
        <is>
          <t>학원명</t>
        </is>
      </c>
      <c r="B32" s="16" t="inlineStr">
        <is>
          <t>OO수학학원</t>
        </is>
      </c>
    </row>
    <row r="33">
      <c r="A33" s="15" t="inlineStr">
        <is>
          <t>보고서 제목</t>
        </is>
      </c>
      <c r="B33" s="16" t="inlineStr">
        <is>
          <t>예비고1 진단평가 결과 보고서</t>
        </is>
      </c>
    </row>
    <row r="34">
      <c r="A34" s="15" t="inlineStr">
        <is>
          <t>시험일</t>
        </is>
      </c>
      <c r="B34" s="16" t="inlineStr">
        <is>
          <t>2026년 12월 00일</t>
        </is>
      </c>
    </row>
    <row r="35">
      <c r="A35" s="15" t="inlineStr">
        <is>
          <t>전체 평균 표시</t>
        </is>
      </c>
      <c r="B35" s="16" t="inlineStr">
        <is>
          <t>표시</t>
        </is>
      </c>
      <c r="F35" s="2" t="inlineStr">
        <is>
          <t>'숨김'이면 보고서에 평균을 싣지 않음</t>
        </is>
      </c>
    </row>
    <row r="36">
      <c r="A36" s="15" t="inlineStr">
        <is>
          <t>'매우 우수' 기준(득점률 %)</t>
        </is>
      </c>
      <c r="B36" s="16" t="n">
        <v>85</v>
      </c>
    </row>
    <row r="37">
      <c r="A37" s="15" t="inlineStr">
        <is>
          <t>'우수' 기준(득점률 %)</t>
        </is>
      </c>
      <c r="B37" s="16" t="n">
        <v>70</v>
      </c>
    </row>
    <row r="38">
      <c r="A38" s="15" t="inlineStr">
        <is>
          <t>'양호' 기준(득점률 %)</t>
        </is>
      </c>
      <c r="B38" s="16" t="n">
        <v>50</v>
      </c>
      <c r="F38" s="2" t="inlineStr">
        <is>
          <t>득점률이 '양호' 기준 미만이면 '보완 필요'</t>
        </is>
      </c>
    </row>
    <row r="39" ht="30" customHeight="1">
      <c r="A39" s="15" t="inlineStr">
        <is>
          <t>상담 안내 문구</t>
        </is>
      </c>
      <c r="B39" s="16" t="inlineStr">
        <is>
          <t>보고서를 받아보신 뒤 개별 상담을 진행합니다. 상담 일정은 담당 선생님께서 개별적으로 연락드리겠습니다.</t>
        </is>
      </c>
    </row>
    <row r="40">
      <c r="A40" s="15" t="inlineStr">
        <is>
          <t>학원 연락처</t>
        </is>
      </c>
      <c r="B40" s="16" t="inlineStr">
        <is>
          <t>02-000-0000</t>
        </is>
      </c>
    </row>
    <row r="43">
      <c r="A43" s="3" t="inlineStr">
        <is>
          <t>⑤ 단원별 학습 제언 (보완이 필요한 단원에 자동 기재)</t>
        </is>
      </c>
    </row>
    <row r="44">
      <c r="A44" s="4" t="inlineStr">
        <is>
          <t>단원</t>
        </is>
      </c>
      <c r="B44" s="4" t="inlineStr">
        <is>
          <t>학습 제언 문구</t>
        </is>
      </c>
      <c r="C44" s="13" t="n"/>
      <c r="D44" s="13" t="n"/>
      <c r="E44" s="14" t="n"/>
    </row>
    <row r="45" ht="30" customHeight="1">
      <c r="A45" s="17">
        <f>B19</f>
        <v/>
      </c>
      <c r="B45" s="16" t="inlineStr">
        <is>
          <t>다항식의 연산과 나머지정리, 인수분해 공식을 정확하고 빠르게 적용하는 연습이 필요합니다.</t>
        </is>
      </c>
    </row>
    <row r="46" ht="30" customHeight="1">
      <c r="A46" s="17">
        <f>B20</f>
        <v/>
      </c>
      <c r="B46" s="16" t="inlineStr">
        <is>
          <t>복소수 계산과 이차방정식·이차함수의 관계를 그래프와 연결해 이해하는 학습이 필요합니다.</t>
        </is>
      </c>
    </row>
    <row r="47" ht="30" customHeight="1">
      <c r="A47" s="17">
        <f>B21</f>
        <v/>
      </c>
      <c r="B47" s="16" t="inlineStr">
        <is>
          <t>합·곱의 법칙과 순열·조합을 구분하는 기준을 정리하고, 빠짐없이 중복 없이 세는 연습이 필요합니다.</t>
        </is>
      </c>
    </row>
    <row r="48" ht="30" customHeight="1">
      <c r="A48" s="17">
        <f>B22</f>
        <v/>
      </c>
      <c r="B48" s="16" t="inlineStr">
        <is>
          <t>행렬의 연산 규칙을 정확히 익히고, 계산 과정에서의 실수를 줄이는 연습이 필요합니다.</t>
        </is>
      </c>
    </row>
    <row r="49" ht="30" customHeight="1">
      <c r="A49" s="17">
        <f>B24</f>
        <v/>
      </c>
      <c r="B49" s="16" t="inlineStr">
        <is>
          <t>좌표와 식을 연결하는 연습, 특히 직선·원의 방정식과 도형의 이동을 그림과 함께 해석하는 훈련이 필요합니다.</t>
        </is>
      </c>
    </row>
    <row r="50" ht="30" customHeight="1">
      <c r="A50" s="17">
        <f>B25</f>
        <v/>
      </c>
      <c r="B50" s="16" t="inlineStr">
        <is>
          <t>용어와 기호의 정확한 의미를 정리하고, 명제의 참·거짓을 논리적으로 판단하는 연습이 필요합니다.</t>
        </is>
      </c>
    </row>
    <row r="51" ht="30" customHeight="1">
      <c r="A51" s="17">
        <f>B26</f>
        <v/>
      </c>
      <c r="B51" s="16" t="inlineStr">
        <is>
          <t>함수의 정의와 합성함수·역함수 개념을 정리하고, 유리·무리함수의 그래프를 직접 그려 보는 학습이 필요합니다.</t>
        </is>
      </c>
    </row>
    <row r="53">
      <c r="A53" s="3" t="inlineStr">
        <is>
          <t>⑥ 공통수학반 소개 (공통수학 시험 결과로 배정 · 학부모 보고서 문구 · 선택 목록)</t>
        </is>
      </c>
    </row>
    <row r="54">
      <c r="A54" s="4" t="inlineStr">
        <is>
          <t>공통수학반 이름</t>
        </is>
      </c>
      <c r="B54" s="4" t="inlineStr">
        <is>
          <t>소개 문구</t>
        </is>
      </c>
      <c r="C54" s="13" t="n"/>
      <c r="D54" s="13" t="n"/>
      <c r="E54" s="14" t="n"/>
    </row>
    <row r="55" ht="30" customHeight="1">
      <c r="A55" s="8">
        <f>B6</f>
        <v/>
      </c>
      <c r="B55" s="16" t="inlineStr">
        <is>
          <t>공통수학1·2 모두 탄탄한 기초를 갖춘 학생을 위한 반으로, 개념 심화와 고난도 문항 해결력, 고1 내신 상위권 대비까지 진행합니다.</t>
        </is>
      </c>
    </row>
    <row r="56" ht="30" customHeight="1">
      <c r="A56" s="8">
        <f>B7</f>
        <v/>
      </c>
      <c r="B56" s="16" t="inlineStr">
        <is>
          <t>공통수학1의 강점을 살리면서 공통수학2의 개념을 처음부터 체계적으로 다져, 두 과목의 균형을 맞추는 반입니다.</t>
        </is>
      </c>
    </row>
    <row r="57" ht="30" customHeight="1">
      <c r="A57" s="8">
        <f>B8</f>
        <v/>
      </c>
      <c r="B57" s="16" t="inlineStr">
        <is>
          <t>중등 연계 개념부터 차근차근 점검하며, 공통수학1·2의 핵심 개념과 기본 유형을 확실히 완성하는 반입니다.</t>
        </is>
      </c>
    </row>
    <row r="58" ht="30" customHeight="1">
      <c r="A58" s="6" t="n"/>
      <c r="B58" s="16" t="n"/>
      <c r="F58" s="2" t="inlineStr">
        <is>
          <t>← 공통수학반이 더 있으면 반 이름과 소개를 추가</t>
        </is>
      </c>
    </row>
    <row r="59" ht="30" customHeight="1">
      <c r="A59" s="6" t="n"/>
      <c r="B59" s="16" t="n"/>
    </row>
    <row r="60" ht="30" customHeight="1">
      <c r="A60" s="6" t="n"/>
      <c r="B60" s="16" t="n"/>
    </row>
    <row r="62">
      <c r="A62" s="3" t="inlineStr">
        <is>
          <t>⑦ 선행 과목반 소개 (학습 진도에 따라 1과목 선택 · 학부모 보고서 문구 · 선택 목록)</t>
        </is>
      </c>
    </row>
    <row r="63">
      <c r="A63" s="4" t="inlineStr">
        <is>
          <t>선행 과목반 이름</t>
        </is>
      </c>
      <c r="B63" s="4" t="inlineStr">
        <is>
          <t>소개 문구</t>
        </is>
      </c>
      <c r="C63" s="13" t="n"/>
      <c r="D63" s="13" t="n"/>
      <c r="E63" s="14" t="n"/>
    </row>
    <row r="64" ht="30" customHeight="1">
      <c r="A64" s="6" t="n"/>
      <c r="B64" s="16" t="n"/>
      <c r="F64" s="2" t="inlineStr">
        <is>
          <t>← 선행 과목반 이름·소개가 정해지면 입력(예: 대수반). 비어 있어도 보고서는 '상담을 통해 안내'로 표시</t>
        </is>
      </c>
    </row>
    <row r="65" ht="30" customHeight="1">
      <c r="A65" s="6" t="n"/>
      <c r="B65" s="16" t="n"/>
    </row>
    <row r="66" ht="30" customHeight="1">
      <c r="A66" s="6" t="n"/>
      <c r="B66" s="16" t="n"/>
    </row>
    <row r="67" ht="30" customHeight="1">
      <c r="A67" s="6" t="n"/>
      <c r="B67" s="16" t="n"/>
    </row>
    <row r="68" ht="30" customHeight="1">
      <c r="A68" s="6" t="n"/>
      <c r="B68" s="16" t="n"/>
    </row>
    <row r="69" ht="30" customHeight="1">
      <c r="A69" s="6" t="n"/>
      <c r="B69" s="16" t="n"/>
    </row>
  </sheetData>
  <mergeCells count="36">
    <mergeCell ref="B40:E40"/>
    <mergeCell ref="B49:E49"/>
    <mergeCell ref="B65:E65"/>
    <mergeCell ref="B68:E68"/>
    <mergeCell ref="B64:E64"/>
    <mergeCell ref="B33:E33"/>
    <mergeCell ref="B55:E55"/>
    <mergeCell ref="B51:E51"/>
    <mergeCell ref="B36:E36"/>
    <mergeCell ref="B32:E32"/>
    <mergeCell ref="A2:F2"/>
    <mergeCell ref="B45:E45"/>
    <mergeCell ref="B63:E63"/>
    <mergeCell ref="H5:L9"/>
    <mergeCell ref="B35:E35"/>
    <mergeCell ref="B50:E50"/>
    <mergeCell ref="B54:E54"/>
    <mergeCell ref="B47:E47"/>
    <mergeCell ref="B59:E59"/>
    <mergeCell ref="B46:E46"/>
    <mergeCell ref="B66:E66"/>
    <mergeCell ref="B31:E31"/>
    <mergeCell ref="B56:E56"/>
    <mergeCell ref="B58:E58"/>
    <mergeCell ref="B48:E48"/>
    <mergeCell ref="B39:E39"/>
    <mergeCell ref="B60:E60"/>
    <mergeCell ref="B67:E67"/>
    <mergeCell ref="C9:F9"/>
    <mergeCell ref="B57:E57"/>
    <mergeCell ref="A1:F1"/>
    <mergeCell ref="B69:E69"/>
    <mergeCell ref="B38:E38"/>
    <mergeCell ref="B44:E44"/>
    <mergeCell ref="B37:E37"/>
    <mergeCell ref="B34:E34"/>
  </mergeCells>
  <dataValidations count="1">
    <dataValidation sqref="B35" showDropDown="0" showInputMessage="0" showErrorMessage="0" allowBlank="0" type="list">
      <formula1>"표시,숨김"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8" customWidth="1" min="4" max="4"/>
    <col width="12" customWidth="1" min="5" max="5"/>
    <col width="30" customWidth="1" min="6" max="6"/>
    <col width="16" customWidth="1" min="7" max="7"/>
    <col width="30" customWidth="1" min="8" max="8"/>
  </cols>
  <sheetData>
    <row r="1" ht="26" customHeight="1">
      <c r="A1" s="1" t="inlineStr">
        <is>
          <t>학생 명단</t>
        </is>
      </c>
    </row>
    <row r="2" ht="30" customHeight="1">
      <c r="A2" s="2" t="inlineStr">
        <is>
          <t>노란 칸에 학생 정보를 입력하세요. 여기 입력한 순서(행)가 공수1·공수2·반배정 시트의 행과 그대로 연결됩니다. 7행은 예시이니 지우고 사용하세요. 기존 반명: 재원생은 현재 반, 신규 학생은 '신규'.</t>
        </is>
      </c>
    </row>
    <row r="6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반명</t>
        </is>
      </c>
      <c r="F6" s="4" t="inlineStr">
        <is>
          <t>학습 진도</t>
        </is>
      </c>
      <c r="G6" s="4" t="inlineStr">
        <is>
          <t>연락처</t>
        </is>
      </c>
      <c r="H6" s="4" t="inlineStr">
        <is>
          <t>비고(내부용)</t>
        </is>
      </c>
    </row>
    <row r="7">
      <c r="A7" s="5" t="n">
        <v>1</v>
      </c>
      <c r="B7" s="7" t="inlineStr">
        <is>
          <t>홍길동(예시)</t>
        </is>
      </c>
      <c r="C7" s="7" t="inlineStr">
        <is>
          <t>OO중</t>
        </is>
      </c>
      <c r="D7" s="7" t="inlineStr">
        <is>
          <t>외부</t>
        </is>
      </c>
      <c r="E7" s="7" t="inlineStr">
        <is>
          <t>신규</t>
        </is>
      </c>
      <c r="F7" s="16" t="inlineStr">
        <is>
          <t>공통수학1 1회독 완료, 공통수학2 집합까지</t>
        </is>
      </c>
      <c r="G7" s="7" t="inlineStr">
        <is>
          <t>010-0000-0000</t>
        </is>
      </c>
      <c r="H7" s="16" t="inlineStr">
        <is>
          <t>예시 행 — 삭제 후 사용</t>
        </is>
      </c>
    </row>
    <row r="8">
      <c r="A8" s="5" t="n">
        <v>2</v>
      </c>
      <c r="B8" s="7" t="n"/>
      <c r="C8" s="7" t="n"/>
      <c r="D8" s="7" t="n"/>
      <c r="E8" s="7" t="n"/>
      <c r="F8" s="16" t="n"/>
      <c r="G8" s="7" t="n"/>
      <c r="H8" s="16" t="n"/>
    </row>
    <row r="9">
      <c r="A9" s="5" t="n">
        <v>3</v>
      </c>
      <c r="B9" s="7" t="n"/>
      <c r="C9" s="7" t="n"/>
      <c r="D9" s="7" t="n"/>
      <c r="E9" s="7" t="n"/>
      <c r="F9" s="16" t="n"/>
      <c r="G9" s="7" t="n"/>
      <c r="H9" s="16" t="n"/>
    </row>
    <row r="10">
      <c r="A10" s="5" t="n">
        <v>4</v>
      </c>
      <c r="B10" s="7" t="n"/>
      <c r="C10" s="7" t="n"/>
      <c r="D10" s="7" t="n"/>
      <c r="E10" s="7" t="n"/>
      <c r="F10" s="16" t="n"/>
      <c r="G10" s="7" t="n"/>
      <c r="H10" s="16" t="n"/>
    </row>
    <row r="11">
      <c r="A11" s="5" t="n">
        <v>5</v>
      </c>
      <c r="B11" s="7" t="n"/>
      <c r="C11" s="7" t="n"/>
      <c r="D11" s="7" t="n"/>
      <c r="E11" s="7" t="n"/>
      <c r="F11" s="16" t="n"/>
      <c r="G11" s="7" t="n"/>
      <c r="H11" s="16" t="n"/>
    </row>
    <row r="12">
      <c r="A12" s="5" t="n">
        <v>6</v>
      </c>
      <c r="B12" s="7" t="n"/>
      <c r="C12" s="7" t="n"/>
      <c r="D12" s="7" t="n"/>
      <c r="E12" s="7" t="n"/>
      <c r="F12" s="16" t="n"/>
      <c r="G12" s="7" t="n"/>
      <c r="H12" s="16" t="n"/>
    </row>
    <row r="13">
      <c r="A13" s="5" t="n">
        <v>7</v>
      </c>
      <c r="B13" s="7" t="n"/>
      <c r="C13" s="7" t="n"/>
      <c r="D13" s="7" t="n"/>
      <c r="E13" s="7" t="n"/>
      <c r="F13" s="16" t="n"/>
      <c r="G13" s="7" t="n"/>
      <c r="H13" s="16" t="n"/>
    </row>
    <row r="14">
      <c r="A14" s="5" t="n">
        <v>8</v>
      </c>
      <c r="B14" s="7" t="n"/>
      <c r="C14" s="7" t="n"/>
      <c r="D14" s="7" t="n"/>
      <c r="E14" s="7" t="n"/>
      <c r="F14" s="16" t="n"/>
      <c r="G14" s="7" t="n"/>
      <c r="H14" s="16" t="n"/>
    </row>
    <row r="15">
      <c r="A15" s="5" t="n">
        <v>9</v>
      </c>
      <c r="B15" s="7" t="n"/>
      <c r="C15" s="7" t="n"/>
      <c r="D15" s="7" t="n"/>
      <c r="E15" s="7" t="n"/>
      <c r="F15" s="16" t="n"/>
      <c r="G15" s="7" t="n"/>
      <c r="H15" s="16" t="n"/>
    </row>
    <row r="16">
      <c r="A16" s="5" t="n">
        <v>10</v>
      </c>
      <c r="B16" s="7" t="n"/>
      <c r="C16" s="7" t="n"/>
      <c r="D16" s="7" t="n"/>
      <c r="E16" s="7" t="n"/>
      <c r="F16" s="16" t="n"/>
      <c r="G16" s="7" t="n"/>
      <c r="H16" s="16" t="n"/>
    </row>
    <row r="17">
      <c r="A17" s="5" t="n">
        <v>11</v>
      </c>
      <c r="B17" s="7" t="n"/>
      <c r="C17" s="7" t="n"/>
      <c r="D17" s="7" t="n"/>
      <c r="E17" s="7" t="n"/>
      <c r="F17" s="16" t="n"/>
      <c r="G17" s="7" t="n"/>
      <c r="H17" s="16" t="n"/>
    </row>
    <row r="18">
      <c r="A18" s="5" t="n">
        <v>12</v>
      </c>
      <c r="B18" s="7" t="n"/>
      <c r="C18" s="7" t="n"/>
      <c r="D18" s="7" t="n"/>
      <c r="E18" s="7" t="n"/>
      <c r="F18" s="16" t="n"/>
      <c r="G18" s="7" t="n"/>
      <c r="H18" s="16" t="n"/>
    </row>
    <row r="19">
      <c r="A19" s="5" t="n">
        <v>13</v>
      </c>
      <c r="B19" s="7" t="n"/>
      <c r="C19" s="7" t="n"/>
      <c r="D19" s="7" t="n"/>
      <c r="E19" s="7" t="n"/>
      <c r="F19" s="16" t="n"/>
      <c r="G19" s="7" t="n"/>
      <c r="H19" s="16" t="n"/>
    </row>
    <row r="20">
      <c r="A20" s="5" t="n">
        <v>14</v>
      </c>
      <c r="B20" s="7" t="n"/>
      <c r="C20" s="7" t="n"/>
      <c r="D20" s="7" t="n"/>
      <c r="E20" s="7" t="n"/>
      <c r="F20" s="16" t="n"/>
      <c r="G20" s="7" t="n"/>
      <c r="H20" s="16" t="n"/>
    </row>
    <row r="21">
      <c r="A21" s="5" t="n">
        <v>15</v>
      </c>
      <c r="B21" s="7" t="n"/>
      <c r="C21" s="7" t="n"/>
      <c r="D21" s="7" t="n"/>
      <c r="E21" s="7" t="n"/>
      <c r="F21" s="16" t="n"/>
      <c r="G21" s="7" t="n"/>
      <c r="H21" s="16" t="n"/>
    </row>
    <row r="22">
      <c r="A22" s="5" t="n">
        <v>16</v>
      </c>
      <c r="B22" s="7" t="n"/>
      <c r="C22" s="7" t="n"/>
      <c r="D22" s="7" t="n"/>
      <c r="E22" s="7" t="n"/>
      <c r="F22" s="16" t="n"/>
      <c r="G22" s="7" t="n"/>
      <c r="H22" s="16" t="n"/>
    </row>
    <row r="23">
      <c r="A23" s="5" t="n">
        <v>17</v>
      </c>
      <c r="B23" s="7" t="n"/>
      <c r="C23" s="7" t="n"/>
      <c r="D23" s="7" t="n"/>
      <c r="E23" s="7" t="n"/>
      <c r="F23" s="16" t="n"/>
      <c r="G23" s="7" t="n"/>
      <c r="H23" s="16" t="n"/>
    </row>
    <row r="24">
      <c r="A24" s="5" t="n">
        <v>18</v>
      </c>
      <c r="B24" s="7" t="n"/>
      <c r="C24" s="7" t="n"/>
      <c r="D24" s="7" t="n"/>
      <c r="E24" s="7" t="n"/>
      <c r="F24" s="16" t="n"/>
      <c r="G24" s="7" t="n"/>
      <c r="H24" s="16" t="n"/>
    </row>
    <row r="25">
      <c r="A25" s="5" t="n">
        <v>19</v>
      </c>
      <c r="B25" s="7" t="n"/>
      <c r="C25" s="7" t="n"/>
      <c r="D25" s="7" t="n"/>
      <c r="E25" s="7" t="n"/>
      <c r="F25" s="16" t="n"/>
      <c r="G25" s="7" t="n"/>
      <c r="H25" s="16" t="n"/>
    </row>
    <row r="26">
      <c r="A26" s="5" t="n">
        <v>20</v>
      </c>
      <c r="B26" s="7" t="n"/>
      <c r="C26" s="7" t="n"/>
      <c r="D26" s="7" t="n"/>
      <c r="E26" s="7" t="n"/>
      <c r="F26" s="16" t="n"/>
      <c r="G26" s="7" t="n"/>
      <c r="H26" s="16" t="n"/>
    </row>
    <row r="27">
      <c r="A27" s="5" t="n">
        <v>21</v>
      </c>
      <c r="B27" s="7" t="n"/>
      <c r="C27" s="7" t="n"/>
      <c r="D27" s="7" t="n"/>
      <c r="E27" s="7" t="n"/>
      <c r="F27" s="16" t="n"/>
      <c r="G27" s="7" t="n"/>
      <c r="H27" s="16" t="n"/>
    </row>
    <row r="28">
      <c r="A28" s="5" t="n">
        <v>22</v>
      </c>
      <c r="B28" s="7" t="n"/>
      <c r="C28" s="7" t="n"/>
      <c r="D28" s="7" t="n"/>
      <c r="E28" s="7" t="n"/>
      <c r="F28" s="16" t="n"/>
      <c r="G28" s="7" t="n"/>
      <c r="H28" s="16" t="n"/>
    </row>
    <row r="29">
      <c r="A29" s="5" t="n">
        <v>23</v>
      </c>
      <c r="B29" s="7" t="n"/>
      <c r="C29" s="7" t="n"/>
      <c r="D29" s="7" t="n"/>
      <c r="E29" s="7" t="n"/>
      <c r="F29" s="16" t="n"/>
      <c r="G29" s="7" t="n"/>
      <c r="H29" s="16" t="n"/>
    </row>
    <row r="30">
      <c r="A30" s="5" t="n">
        <v>24</v>
      </c>
      <c r="B30" s="7" t="n"/>
      <c r="C30" s="7" t="n"/>
      <c r="D30" s="7" t="n"/>
      <c r="E30" s="7" t="n"/>
      <c r="F30" s="16" t="n"/>
      <c r="G30" s="7" t="n"/>
      <c r="H30" s="16" t="n"/>
    </row>
    <row r="31">
      <c r="A31" s="5" t="n">
        <v>25</v>
      </c>
      <c r="B31" s="7" t="n"/>
      <c r="C31" s="7" t="n"/>
      <c r="D31" s="7" t="n"/>
      <c r="E31" s="7" t="n"/>
      <c r="F31" s="16" t="n"/>
      <c r="G31" s="7" t="n"/>
      <c r="H31" s="16" t="n"/>
    </row>
    <row r="32">
      <c r="A32" s="5" t="n">
        <v>26</v>
      </c>
      <c r="B32" s="7" t="n"/>
      <c r="C32" s="7" t="n"/>
      <c r="D32" s="7" t="n"/>
      <c r="E32" s="7" t="n"/>
      <c r="F32" s="16" t="n"/>
      <c r="G32" s="7" t="n"/>
      <c r="H32" s="16" t="n"/>
    </row>
    <row r="33">
      <c r="A33" s="5" t="n">
        <v>27</v>
      </c>
      <c r="B33" s="7" t="n"/>
      <c r="C33" s="7" t="n"/>
      <c r="D33" s="7" t="n"/>
      <c r="E33" s="7" t="n"/>
      <c r="F33" s="16" t="n"/>
      <c r="G33" s="7" t="n"/>
      <c r="H33" s="16" t="n"/>
    </row>
    <row r="34">
      <c r="A34" s="5" t="n">
        <v>28</v>
      </c>
      <c r="B34" s="7" t="n"/>
      <c r="C34" s="7" t="n"/>
      <c r="D34" s="7" t="n"/>
      <c r="E34" s="7" t="n"/>
      <c r="F34" s="16" t="n"/>
      <c r="G34" s="7" t="n"/>
      <c r="H34" s="16" t="n"/>
    </row>
    <row r="35">
      <c r="A35" s="5" t="n">
        <v>29</v>
      </c>
      <c r="B35" s="7" t="n"/>
      <c r="C35" s="7" t="n"/>
      <c r="D35" s="7" t="n"/>
      <c r="E35" s="7" t="n"/>
      <c r="F35" s="16" t="n"/>
      <c r="G35" s="7" t="n"/>
      <c r="H35" s="16" t="n"/>
    </row>
    <row r="36">
      <c r="A36" s="5" t="n">
        <v>30</v>
      </c>
      <c r="B36" s="7" t="n"/>
      <c r="C36" s="7" t="n"/>
      <c r="D36" s="7" t="n"/>
      <c r="E36" s="7" t="n"/>
      <c r="F36" s="16" t="n"/>
      <c r="G36" s="7" t="n"/>
      <c r="H36" s="16" t="n"/>
    </row>
    <row r="37">
      <c r="A37" s="5" t="n">
        <v>31</v>
      </c>
      <c r="B37" s="7" t="n"/>
      <c r="C37" s="7" t="n"/>
      <c r="D37" s="7" t="n"/>
      <c r="E37" s="7" t="n"/>
      <c r="F37" s="16" t="n"/>
      <c r="G37" s="7" t="n"/>
      <c r="H37" s="16" t="n"/>
    </row>
    <row r="38">
      <c r="A38" s="5" t="n">
        <v>32</v>
      </c>
      <c r="B38" s="7" t="n"/>
      <c r="C38" s="7" t="n"/>
      <c r="D38" s="7" t="n"/>
      <c r="E38" s="7" t="n"/>
      <c r="F38" s="16" t="n"/>
      <c r="G38" s="7" t="n"/>
      <c r="H38" s="16" t="n"/>
    </row>
    <row r="39">
      <c r="A39" s="5" t="n">
        <v>33</v>
      </c>
      <c r="B39" s="7" t="n"/>
      <c r="C39" s="7" t="n"/>
      <c r="D39" s="7" t="n"/>
      <c r="E39" s="7" t="n"/>
      <c r="F39" s="16" t="n"/>
      <c r="G39" s="7" t="n"/>
      <c r="H39" s="16" t="n"/>
    </row>
    <row r="40">
      <c r="A40" s="5" t="n">
        <v>34</v>
      </c>
      <c r="B40" s="7" t="n"/>
      <c r="C40" s="7" t="n"/>
      <c r="D40" s="7" t="n"/>
      <c r="E40" s="7" t="n"/>
      <c r="F40" s="16" t="n"/>
      <c r="G40" s="7" t="n"/>
      <c r="H40" s="16" t="n"/>
    </row>
    <row r="41">
      <c r="A41" s="5" t="n">
        <v>35</v>
      </c>
      <c r="B41" s="7" t="n"/>
      <c r="C41" s="7" t="n"/>
      <c r="D41" s="7" t="n"/>
      <c r="E41" s="7" t="n"/>
      <c r="F41" s="16" t="n"/>
      <c r="G41" s="7" t="n"/>
      <c r="H41" s="16" t="n"/>
    </row>
    <row r="42">
      <c r="A42" s="5" t="n">
        <v>36</v>
      </c>
      <c r="B42" s="7" t="n"/>
      <c r="C42" s="7" t="n"/>
      <c r="D42" s="7" t="n"/>
      <c r="E42" s="7" t="n"/>
      <c r="F42" s="16" t="n"/>
      <c r="G42" s="7" t="n"/>
      <c r="H42" s="16" t="n"/>
    </row>
    <row r="43">
      <c r="A43" s="5" t="n">
        <v>37</v>
      </c>
      <c r="B43" s="7" t="n"/>
      <c r="C43" s="7" t="n"/>
      <c r="D43" s="7" t="n"/>
      <c r="E43" s="7" t="n"/>
      <c r="F43" s="16" t="n"/>
      <c r="G43" s="7" t="n"/>
      <c r="H43" s="16" t="n"/>
    </row>
    <row r="44">
      <c r="A44" s="5" t="n">
        <v>38</v>
      </c>
      <c r="B44" s="7" t="n"/>
      <c r="C44" s="7" t="n"/>
      <c r="D44" s="7" t="n"/>
      <c r="E44" s="7" t="n"/>
      <c r="F44" s="16" t="n"/>
      <c r="G44" s="7" t="n"/>
      <c r="H44" s="16" t="n"/>
    </row>
    <row r="45">
      <c r="A45" s="5" t="n">
        <v>39</v>
      </c>
      <c r="B45" s="7" t="n"/>
      <c r="C45" s="7" t="n"/>
      <c r="D45" s="7" t="n"/>
      <c r="E45" s="7" t="n"/>
      <c r="F45" s="16" t="n"/>
      <c r="G45" s="7" t="n"/>
      <c r="H45" s="16" t="n"/>
    </row>
    <row r="46">
      <c r="A46" s="5" t="n">
        <v>40</v>
      </c>
      <c r="B46" s="7" t="n"/>
      <c r="C46" s="7" t="n"/>
      <c r="D46" s="7" t="n"/>
      <c r="E46" s="7" t="n"/>
      <c r="F46" s="16" t="n"/>
      <c r="G46" s="7" t="n"/>
      <c r="H46" s="16" t="n"/>
    </row>
    <row r="47">
      <c r="A47" s="5" t="n">
        <v>41</v>
      </c>
      <c r="B47" s="7" t="n"/>
      <c r="C47" s="7" t="n"/>
      <c r="D47" s="7" t="n"/>
      <c r="E47" s="7" t="n"/>
      <c r="F47" s="16" t="n"/>
      <c r="G47" s="7" t="n"/>
      <c r="H47" s="16" t="n"/>
    </row>
    <row r="48">
      <c r="A48" s="5" t="n">
        <v>42</v>
      </c>
      <c r="B48" s="7" t="n"/>
      <c r="C48" s="7" t="n"/>
      <c r="D48" s="7" t="n"/>
      <c r="E48" s="7" t="n"/>
      <c r="F48" s="16" t="n"/>
      <c r="G48" s="7" t="n"/>
      <c r="H48" s="16" t="n"/>
    </row>
    <row r="49">
      <c r="A49" s="5" t="n">
        <v>43</v>
      </c>
      <c r="B49" s="7" t="n"/>
      <c r="C49" s="7" t="n"/>
      <c r="D49" s="7" t="n"/>
      <c r="E49" s="7" t="n"/>
      <c r="F49" s="16" t="n"/>
      <c r="G49" s="7" t="n"/>
      <c r="H49" s="16" t="n"/>
    </row>
    <row r="50">
      <c r="A50" s="5" t="n">
        <v>44</v>
      </c>
      <c r="B50" s="7" t="n"/>
      <c r="C50" s="7" t="n"/>
      <c r="D50" s="7" t="n"/>
      <c r="E50" s="7" t="n"/>
      <c r="F50" s="16" t="n"/>
      <c r="G50" s="7" t="n"/>
      <c r="H50" s="16" t="n"/>
    </row>
    <row r="51">
      <c r="A51" s="5" t="n">
        <v>45</v>
      </c>
      <c r="B51" s="7" t="n"/>
      <c r="C51" s="7" t="n"/>
      <c r="D51" s="7" t="n"/>
      <c r="E51" s="7" t="n"/>
      <c r="F51" s="16" t="n"/>
      <c r="G51" s="7" t="n"/>
      <c r="H51" s="16" t="n"/>
    </row>
    <row r="52">
      <c r="A52" s="5" t="n">
        <v>46</v>
      </c>
      <c r="B52" s="7" t="n"/>
      <c r="C52" s="7" t="n"/>
      <c r="D52" s="7" t="n"/>
      <c r="E52" s="7" t="n"/>
      <c r="F52" s="16" t="n"/>
      <c r="G52" s="7" t="n"/>
      <c r="H52" s="16" t="n"/>
    </row>
    <row r="53">
      <c r="A53" s="5" t="n">
        <v>47</v>
      </c>
      <c r="B53" s="7" t="n"/>
      <c r="C53" s="7" t="n"/>
      <c r="D53" s="7" t="n"/>
      <c r="E53" s="7" t="n"/>
      <c r="F53" s="16" t="n"/>
      <c r="G53" s="7" t="n"/>
      <c r="H53" s="16" t="n"/>
    </row>
    <row r="54">
      <c r="A54" s="5" t="n">
        <v>48</v>
      </c>
      <c r="B54" s="7" t="n"/>
      <c r="C54" s="7" t="n"/>
      <c r="D54" s="7" t="n"/>
      <c r="E54" s="7" t="n"/>
      <c r="F54" s="16" t="n"/>
      <c r="G54" s="7" t="n"/>
      <c r="H54" s="16" t="n"/>
    </row>
    <row r="55">
      <c r="A55" s="5" t="n">
        <v>49</v>
      </c>
      <c r="B55" s="7" t="n"/>
      <c r="C55" s="7" t="n"/>
      <c r="D55" s="7" t="n"/>
      <c r="E55" s="7" t="n"/>
      <c r="F55" s="16" t="n"/>
      <c r="G55" s="7" t="n"/>
      <c r="H55" s="16" t="n"/>
    </row>
    <row r="56">
      <c r="A56" s="5" t="n">
        <v>50</v>
      </c>
      <c r="B56" s="7" t="n"/>
      <c r="C56" s="7" t="n"/>
      <c r="D56" s="7" t="n"/>
      <c r="E56" s="7" t="n"/>
      <c r="F56" s="16" t="n"/>
      <c r="G56" s="7" t="n"/>
      <c r="H56" s="16" t="n"/>
    </row>
    <row r="57">
      <c r="A57" s="5" t="n">
        <v>51</v>
      </c>
      <c r="B57" s="7" t="n"/>
      <c r="C57" s="7" t="n"/>
      <c r="D57" s="7" t="n"/>
      <c r="E57" s="7" t="n"/>
      <c r="F57" s="16" t="n"/>
      <c r="G57" s="7" t="n"/>
      <c r="H57" s="16" t="n"/>
    </row>
    <row r="58">
      <c r="A58" s="5" t="n">
        <v>52</v>
      </c>
      <c r="B58" s="7" t="n"/>
      <c r="C58" s="7" t="n"/>
      <c r="D58" s="7" t="n"/>
      <c r="E58" s="7" t="n"/>
      <c r="F58" s="16" t="n"/>
      <c r="G58" s="7" t="n"/>
      <c r="H58" s="16" t="n"/>
    </row>
    <row r="59">
      <c r="A59" s="5" t="n">
        <v>53</v>
      </c>
      <c r="B59" s="7" t="n"/>
      <c r="C59" s="7" t="n"/>
      <c r="D59" s="7" t="n"/>
      <c r="E59" s="7" t="n"/>
      <c r="F59" s="16" t="n"/>
      <c r="G59" s="7" t="n"/>
      <c r="H59" s="16" t="n"/>
    </row>
    <row r="60">
      <c r="A60" s="5" t="n">
        <v>54</v>
      </c>
      <c r="B60" s="7" t="n"/>
      <c r="C60" s="7" t="n"/>
      <c r="D60" s="7" t="n"/>
      <c r="E60" s="7" t="n"/>
      <c r="F60" s="16" t="n"/>
      <c r="G60" s="7" t="n"/>
      <c r="H60" s="16" t="n"/>
    </row>
    <row r="61">
      <c r="A61" s="5" t="n">
        <v>55</v>
      </c>
      <c r="B61" s="7" t="n"/>
      <c r="C61" s="7" t="n"/>
      <c r="D61" s="7" t="n"/>
      <c r="E61" s="7" t="n"/>
      <c r="F61" s="16" t="n"/>
      <c r="G61" s="7" t="n"/>
      <c r="H61" s="16" t="n"/>
    </row>
    <row r="62">
      <c r="A62" s="5" t="n">
        <v>56</v>
      </c>
      <c r="B62" s="7" t="n"/>
      <c r="C62" s="7" t="n"/>
      <c r="D62" s="7" t="n"/>
      <c r="E62" s="7" t="n"/>
      <c r="F62" s="16" t="n"/>
      <c r="G62" s="7" t="n"/>
      <c r="H62" s="16" t="n"/>
    </row>
    <row r="63">
      <c r="A63" s="5" t="n">
        <v>57</v>
      </c>
      <c r="B63" s="7" t="n"/>
      <c r="C63" s="7" t="n"/>
      <c r="D63" s="7" t="n"/>
      <c r="E63" s="7" t="n"/>
      <c r="F63" s="16" t="n"/>
      <c r="G63" s="7" t="n"/>
      <c r="H63" s="16" t="n"/>
    </row>
    <row r="64">
      <c r="A64" s="5" t="n">
        <v>58</v>
      </c>
      <c r="B64" s="7" t="n"/>
      <c r="C64" s="7" t="n"/>
      <c r="D64" s="7" t="n"/>
      <c r="E64" s="7" t="n"/>
      <c r="F64" s="16" t="n"/>
      <c r="G64" s="7" t="n"/>
      <c r="H64" s="16" t="n"/>
    </row>
    <row r="65">
      <c r="A65" s="5" t="n">
        <v>59</v>
      </c>
      <c r="B65" s="7" t="n"/>
      <c r="C65" s="7" t="n"/>
      <c r="D65" s="7" t="n"/>
      <c r="E65" s="7" t="n"/>
      <c r="F65" s="16" t="n"/>
      <c r="G65" s="7" t="n"/>
      <c r="H65" s="16" t="n"/>
    </row>
    <row r="66">
      <c r="A66" s="5" t="n">
        <v>60</v>
      </c>
      <c r="B66" s="7" t="n"/>
      <c r="C66" s="7" t="n"/>
      <c r="D66" s="7" t="n"/>
      <c r="E66" s="7" t="n"/>
      <c r="F66" s="16" t="n"/>
      <c r="G66" s="7" t="n"/>
      <c r="H66" s="16" t="n"/>
    </row>
    <row r="67">
      <c r="A67" s="5" t="n">
        <v>61</v>
      </c>
      <c r="B67" s="7" t="n"/>
      <c r="C67" s="7" t="n"/>
      <c r="D67" s="7" t="n"/>
      <c r="E67" s="7" t="n"/>
      <c r="F67" s="16" t="n"/>
      <c r="G67" s="7" t="n"/>
      <c r="H67" s="16" t="n"/>
    </row>
    <row r="68">
      <c r="A68" s="5" t="n">
        <v>62</v>
      </c>
      <c r="B68" s="7" t="n"/>
      <c r="C68" s="7" t="n"/>
      <c r="D68" s="7" t="n"/>
      <c r="E68" s="7" t="n"/>
      <c r="F68" s="16" t="n"/>
      <c r="G68" s="7" t="n"/>
      <c r="H68" s="16" t="n"/>
    </row>
    <row r="69">
      <c r="A69" s="5" t="n">
        <v>63</v>
      </c>
      <c r="B69" s="7" t="n"/>
      <c r="C69" s="7" t="n"/>
      <c r="D69" s="7" t="n"/>
      <c r="E69" s="7" t="n"/>
      <c r="F69" s="16" t="n"/>
      <c r="G69" s="7" t="n"/>
      <c r="H69" s="16" t="n"/>
    </row>
    <row r="70">
      <c r="A70" s="5" t="n">
        <v>64</v>
      </c>
      <c r="B70" s="7" t="n"/>
      <c r="C70" s="7" t="n"/>
      <c r="D70" s="7" t="n"/>
      <c r="E70" s="7" t="n"/>
      <c r="F70" s="16" t="n"/>
      <c r="G70" s="7" t="n"/>
      <c r="H70" s="16" t="n"/>
    </row>
    <row r="71">
      <c r="A71" s="5" t="n">
        <v>65</v>
      </c>
      <c r="B71" s="7" t="n"/>
      <c r="C71" s="7" t="n"/>
      <c r="D71" s="7" t="n"/>
      <c r="E71" s="7" t="n"/>
      <c r="F71" s="16" t="n"/>
      <c r="G71" s="7" t="n"/>
      <c r="H71" s="16" t="n"/>
    </row>
    <row r="72">
      <c r="A72" s="5" t="n">
        <v>66</v>
      </c>
      <c r="B72" s="7" t="n"/>
      <c r="C72" s="7" t="n"/>
      <c r="D72" s="7" t="n"/>
      <c r="E72" s="7" t="n"/>
      <c r="F72" s="16" t="n"/>
      <c r="G72" s="7" t="n"/>
      <c r="H72" s="16" t="n"/>
    </row>
    <row r="73">
      <c r="A73" s="5" t="n">
        <v>67</v>
      </c>
      <c r="B73" s="7" t="n"/>
      <c r="C73" s="7" t="n"/>
      <c r="D73" s="7" t="n"/>
      <c r="E73" s="7" t="n"/>
      <c r="F73" s="16" t="n"/>
      <c r="G73" s="7" t="n"/>
      <c r="H73" s="16" t="n"/>
    </row>
    <row r="74">
      <c r="A74" s="5" t="n">
        <v>68</v>
      </c>
      <c r="B74" s="7" t="n"/>
      <c r="C74" s="7" t="n"/>
      <c r="D74" s="7" t="n"/>
      <c r="E74" s="7" t="n"/>
      <c r="F74" s="16" t="n"/>
      <c r="G74" s="7" t="n"/>
      <c r="H74" s="16" t="n"/>
    </row>
    <row r="75">
      <c r="A75" s="5" t="n">
        <v>69</v>
      </c>
      <c r="B75" s="7" t="n"/>
      <c r="C75" s="7" t="n"/>
      <c r="D75" s="7" t="n"/>
      <c r="E75" s="7" t="n"/>
      <c r="F75" s="16" t="n"/>
      <c r="G75" s="7" t="n"/>
      <c r="H75" s="16" t="n"/>
    </row>
    <row r="76">
      <c r="A76" s="5" t="n">
        <v>70</v>
      </c>
      <c r="B76" s="7" t="n"/>
      <c r="C76" s="7" t="n"/>
      <c r="D76" s="7" t="n"/>
      <c r="E76" s="7" t="n"/>
      <c r="F76" s="16" t="n"/>
      <c r="G76" s="7" t="n"/>
      <c r="H76" s="16" t="n"/>
    </row>
    <row r="77">
      <c r="A77" s="5" t="n">
        <v>71</v>
      </c>
      <c r="B77" s="7" t="n"/>
      <c r="C77" s="7" t="n"/>
      <c r="D77" s="7" t="n"/>
      <c r="E77" s="7" t="n"/>
      <c r="F77" s="16" t="n"/>
      <c r="G77" s="7" t="n"/>
      <c r="H77" s="16" t="n"/>
    </row>
    <row r="78">
      <c r="A78" s="5" t="n">
        <v>72</v>
      </c>
      <c r="B78" s="7" t="n"/>
      <c r="C78" s="7" t="n"/>
      <c r="D78" s="7" t="n"/>
      <c r="E78" s="7" t="n"/>
      <c r="F78" s="16" t="n"/>
      <c r="G78" s="7" t="n"/>
      <c r="H78" s="16" t="n"/>
    </row>
    <row r="79">
      <c r="A79" s="5" t="n">
        <v>73</v>
      </c>
      <c r="B79" s="7" t="n"/>
      <c r="C79" s="7" t="n"/>
      <c r="D79" s="7" t="n"/>
      <c r="E79" s="7" t="n"/>
      <c r="F79" s="16" t="n"/>
      <c r="G79" s="7" t="n"/>
      <c r="H79" s="16" t="n"/>
    </row>
    <row r="80">
      <c r="A80" s="5" t="n">
        <v>74</v>
      </c>
      <c r="B80" s="7" t="n"/>
      <c r="C80" s="7" t="n"/>
      <c r="D80" s="7" t="n"/>
      <c r="E80" s="7" t="n"/>
      <c r="F80" s="16" t="n"/>
      <c r="G80" s="7" t="n"/>
      <c r="H80" s="16" t="n"/>
    </row>
    <row r="81">
      <c r="A81" s="5" t="n">
        <v>75</v>
      </c>
      <c r="B81" s="7" t="n"/>
      <c r="C81" s="7" t="n"/>
      <c r="D81" s="7" t="n"/>
      <c r="E81" s="7" t="n"/>
      <c r="F81" s="16" t="n"/>
      <c r="G81" s="7" t="n"/>
      <c r="H81" s="16" t="n"/>
    </row>
    <row r="82">
      <c r="A82" s="5" t="n">
        <v>76</v>
      </c>
      <c r="B82" s="7" t="n"/>
      <c r="C82" s="7" t="n"/>
      <c r="D82" s="7" t="n"/>
      <c r="E82" s="7" t="n"/>
      <c r="F82" s="16" t="n"/>
      <c r="G82" s="7" t="n"/>
      <c r="H82" s="16" t="n"/>
    </row>
    <row r="83">
      <c r="A83" s="5" t="n">
        <v>77</v>
      </c>
      <c r="B83" s="7" t="n"/>
      <c r="C83" s="7" t="n"/>
      <c r="D83" s="7" t="n"/>
      <c r="E83" s="7" t="n"/>
      <c r="F83" s="16" t="n"/>
      <c r="G83" s="7" t="n"/>
      <c r="H83" s="16" t="n"/>
    </row>
    <row r="84">
      <c r="A84" s="5" t="n">
        <v>78</v>
      </c>
      <c r="B84" s="7" t="n"/>
      <c r="C84" s="7" t="n"/>
      <c r="D84" s="7" t="n"/>
      <c r="E84" s="7" t="n"/>
      <c r="F84" s="16" t="n"/>
      <c r="G84" s="7" t="n"/>
      <c r="H84" s="16" t="n"/>
    </row>
    <row r="85">
      <c r="A85" s="5" t="n">
        <v>79</v>
      </c>
      <c r="B85" s="7" t="n"/>
      <c r="C85" s="7" t="n"/>
      <c r="D85" s="7" t="n"/>
      <c r="E85" s="7" t="n"/>
      <c r="F85" s="16" t="n"/>
      <c r="G85" s="7" t="n"/>
      <c r="H85" s="16" t="n"/>
    </row>
    <row r="86">
      <c r="A86" s="5" t="n">
        <v>80</v>
      </c>
      <c r="B86" s="7" t="n"/>
      <c r="C86" s="7" t="n"/>
      <c r="D86" s="7" t="n"/>
      <c r="E86" s="7" t="n"/>
      <c r="F86" s="16" t="n"/>
      <c r="G86" s="7" t="n"/>
      <c r="H86" s="16" t="n"/>
    </row>
  </sheetData>
  <mergeCells count="2">
    <mergeCell ref="A2:H2"/>
    <mergeCell ref="A1:H1"/>
  </mergeCells>
  <dataValidations count="1">
    <dataValidation sqref="D7:D86" showDropDown="0" showInputMessage="0" showErrorMessage="0" allowBlank="1" type="list">
      <formula1>"재원,외부"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 ht="34" customHeight="1">
      <c r="A1" s="1" t="inlineStr">
        <is>
          <t>공통수학1 채점표</t>
        </is>
      </c>
      <c r="D1" s="2" t="inlineStr">
        <is>
          <t>① 2~5행(노란 칸)에 정답·배점·단원·난이도 입력  ② 학생 행에 학생이 쓴 답을 그대로 입력(객관식 1~5, 단답형 0~999) → 틀린 답은 빨간 칸, 점수 자동 계산. 결시생은 비워두면 미응시 처리.</t>
        </is>
      </c>
    </row>
    <row r="2">
      <c r="A2" s="18" t="inlineStr">
        <is>
          <t>정답 ▶</t>
        </is>
      </c>
      <c r="D2" s="19" t="n">
        <v>4</v>
      </c>
      <c r="E2" s="19" t="n">
        <v>2</v>
      </c>
      <c r="F2" s="19" t="n">
        <v>3</v>
      </c>
      <c r="G2" s="19" t="n">
        <v>5</v>
      </c>
      <c r="H2" s="19" t="n">
        <v>1</v>
      </c>
      <c r="I2" s="19" t="n">
        <v>3</v>
      </c>
      <c r="J2" s="19" t="n">
        <v>4</v>
      </c>
      <c r="K2" s="19" t="n">
        <v>2</v>
      </c>
      <c r="L2" s="19" t="n">
        <v>5</v>
      </c>
      <c r="M2" s="19" t="n">
        <v>1</v>
      </c>
      <c r="N2" s="19" t="n">
        <v>2</v>
      </c>
      <c r="O2" s="19" t="n">
        <v>3</v>
      </c>
      <c r="P2" s="19" t="n">
        <v>4</v>
      </c>
      <c r="Q2" s="19" t="n">
        <v>5</v>
      </c>
      <c r="R2" s="19" t="n">
        <v>24</v>
      </c>
      <c r="S2" s="19" t="n">
        <v>864</v>
      </c>
      <c r="T2" s="19" t="n">
        <v>8</v>
      </c>
      <c r="U2" s="19" t="n">
        <v>76</v>
      </c>
      <c r="V2" s="19" t="n">
        <v>50</v>
      </c>
      <c r="W2" s="19" t="n">
        <v>65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0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  <c r="AC3" s="17">
        <f>SUMIF($D$4:$W$4,AC$6,$D$3:$W$3)</f>
        <v/>
      </c>
    </row>
    <row r="4" ht="42" customHeight="1">
      <c r="A4" s="18" t="inlineStr">
        <is>
          <t>단원 ▶</t>
        </is>
      </c>
      <c r="D4" s="21" t="inlineStr">
        <is>
          <t>다항식</t>
        </is>
      </c>
      <c r="E4" s="21" t="inlineStr">
        <is>
          <t>행렬</t>
        </is>
      </c>
      <c r="F4" s="21" t="inlineStr">
        <is>
          <t>방정식과 부등식</t>
        </is>
      </c>
      <c r="G4" s="21" t="inlineStr">
        <is>
          <t>방정식과 부등식</t>
        </is>
      </c>
      <c r="H4" s="21" t="inlineStr">
        <is>
          <t>다항식</t>
        </is>
      </c>
      <c r="I4" s="21" t="inlineStr">
        <is>
          <t>경우의 수</t>
        </is>
      </c>
      <c r="J4" s="21" t="inlineStr">
        <is>
          <t>방정식과 부등식</t>
        </is>
      </c>
      <c r="K4" s="21" t="inlineStr">
        <is>
          <t>경우의 수</t>
        </is>
      </c>
      <c r="L4" s="21" t="inlineStr">
        <is>
          <t>방정식과 부등식</t>
        </is>
      </c>
      <c r="M4" s="21" t="inlineStr">
        <is>
          <t>행렬</t>
        </is>
      </c>
      <c r="N4" s="21" t="inlineStr">
        <is>
          <t>경우의 수</t>
        </is>
      </c>
      <c r="O4" s="21" t="inlineStr">
        <is>
          <t>방정식과 부등식</t>
        </is>
      </c>
      <c r="P4" s="21" t="inlineStr">
        <is>
          <t>다항식</t>
        </is>
      </c>
      <c r="Q4" s="21" t="inlineStr">
        <is>
          <t>방정식과 부등식</t>
        </is>
      </c>
      <c r="R4" s="21" t="inlineStr">
        <is>
          <t>방정식과 부등식</t>
        </is>
      </c>
      <c r="S4" s="21" t="inlineStr">
        <is>
          <t>경우의 수</t>
        </is>
      </c>
      <c r="T4" s="21" t="inlineStr">
        <is>
          <t>다항식</t>
        </is>
      </c>
      <c r="U4" s="21" t="inlineStr">
        <is>
          <t>행렬</t>
        </is>
      </c>
      <c r="V4" s="21" t="inlineStr">
        <is>
          <t>경우의 수</t>
        </is>
      </c>
      <c r="W4" s="21" t="inlineStr">
        <is>
          <t>다항식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2" t="inlineStr">
        <is>
          <t>정답입력수▲</t>
        </is>
      </c>
      <c r="Y5" s="22" t="inlineStr">
        <is>
          <t>만점 ▲</t>
        </is>
      </c>
      <c r="Z5" s="22" t="inlineStr">
        <is>
          <t>만점 ▲</t>
        </is>
      </c>
      <c r="AA5" s="22" t="inlineStr">
        <is>
          <t>만점 ▲</t>
        </is>
      </c>
      <c r="AB5" s="22" t="inlineStr">
        <is>
          <t>만점 ▲</t>
        </is>
      </c>
      <c r="AC5" s="22" t="inlineStr">
        <is>
          <t>만점 ▲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3" t="inlineStr">
        <is>
          <t>1
객관식</t>
        </is>
      </c>
      <c r="E6" s="23" t="inlineStr">
        <is>
          <t>2
객관식</t>
        </is>
      </c>
      <c r="F6" s="23" t="inlineStr">
        <is>
          <t>3
객관식</t>
        </is>
      </c>
      <c r="G6" s="23" t="inlineStr">
        <is>
          <t>4
객관식</t>
        </is>
      </c>
      <c r="H6" s="23" t="inlineStr">
        <is>
          <t>5
객관식</t>
        </is>
      </c>
      <c r="I6" s="23" t="inlineStr">
        <is>
          <t>6
객관식</t>
        </is>
      </c>
      <c r="J6" s="23" t="inlineStr">
        <is>
          <t>7
객관식</t>
        </is>
      </c>
      <c r="K6" s="23" t="inlineStr">
        <is>
          <t>8
객관식</t>
        </is>
      </c>
      <c r="L6" s="23" t="inlineStr">
        <is>
          <t>9
객관식</t>
        </is>
      </c>
      <c r="M6" s="23" t="inlineStr">
        <is>
          <t>10
객관식</t>
        </is>
      </c>
      <c r="N6" s="23" t="inlineStr">
        <is>
          <t>11
객관식</t>
        </is>
      </c>
      <c r="O6" s="23" t="inlineStr">
        <is>
          <t>12
객관식</t>
        </is>
      </c>
      <c r="P6" s="23" t="inlineStr">
        <is>
          <t>13
객관식</t>
        </is>
      </c>
      <c r="Q6" s="23" t="inlineStr">
        <is>
          <t>14
객관식</t>
        </is>
      </c>
      <c r="R6" s="24" t="inlineStr">
        <is>
          <t>15
단답형</t>
        </is>
      </c>
      <c r="S6" s="24" t="inlineStr">
        <is>
          <t>16
단답형</t>
        </is>
      </c>
      <c r="T6" s="24" t="inlineStr">
        <is>
          <t>17
단답형</t>
        </is>
      </c>
      <c r="U6" s="24" t="inlineStr">
        <is>
          <t>18
단답형</t>
        </is>
      </c>
      <c r="V6" s="24" t="inlineStr">
        <is>
          <t>19
단답형</t>
        </is>
      </c>
      <c r="W6" s="24" t="inlineStr">
        <is>
          <t>20
단답형</t>
        </is>
      </c>
      <c r="X6" s="4" t="inlineStr">
        <is>
          <t>맞힌
개수</t>
        </is>
      </c>
      <c r="Y6" s="4" t="inlineStr">
        <is>
          <t>총점</t>
        </is>
      </c>
      <c r="Z6" s="25">
        <f>'설정'!B19</f>
        <v/>
      </c>
      <c r="AA6" s="25">
        <f>'설정'!B20</f>
        <v/>
      </c>
      <c r="AB6" s="25">
        <f>'설정'!B21</f>
        <v/>
      </c>
      <c r="AC6" s="25">
        <f>'설정'!B22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6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  <c r="AC7" s="10">
        <f>IF($Y7="","",SUMPRODUCT(($D7:$W7=$D$2:$W$2)*($D7:$W7&lt;&gt;"")*$D$3:$W$3*($D$4:$W$4=AC$6)))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6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  <c r="AC8" s="10">
        <f>IF($Y8="","",SUMPRODUCT(($D8:$W8=$D$2:$W$2)*($D8:$W8&lt;&gt;"")*$D$3:$W$3*($D$4:$W$4=AC$6)))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6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  <c r="AC9" s="10">
        <f>IF($Y9="","",SUMPRODUCT(($D9:$W9=$D$2:$W$2)*($D9:$W9&lt;&gt;"")*$D$3:$W$3*($D$4:$W$4=AC$6)))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6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  <c r="AC10" s="10">
        <f>IF($Y10="","",SUMPRODUCT(($D10:$W10=$D$2:$W$2)*($D10:$W10&lt;&gt;"")*$D$3:$W$3*($D$4:$W$4=AC$6)))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6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  <c r="AC11" s="10">
        <f>IF($Y11="","",SUMPRODUCT(($D11:$W11=$D$2:$W$2)*($D11:$W11&lt;&gt;"")*$D$3:$W$3*($D$4:$W$4=AC$6)))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6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  <c r="AC12" s="10">
        <f>IF($Y12="","",SUMPRODUCT(($D12:$W12=$D$2:$W$2)*($D12:$W12&lt;&gt;"")*$D$3:$W$3*($D$4:$W$4=AC$6)))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6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  <c r="AC13" s="10">
        <f>IF($Y13="","",SUMPRODUCT(($D13:$W13=$D$2:$W$2)*($D13:$W13&lt;&gt;"")*$D$3:$W$3*($D$4:$W$4=AC$6)))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6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  <c r="AC14" s="10">
        <f>IF($Y14="","",SUMPRODUCT(($D14:$W14=$D$2:$W$2)*($D14:$W14&lt;&gt;"")*$D$3:$W$3*($D$4:$W$4=AC$6)))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6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  <c r="AC15" s="10">
        <f>IF($Y15="","",SUMPRODUCT(($D15:$W15=$D$2:$W$2)*($D15:$W15&lt;&gt;"")*$D$3:$W$3*($D$4:$W$4=AC$6)))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6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  <c r="AC16" s="10">
        <f>IF($Y16="","",SUMPRODUCT(($D16:$W16=$D$2:$W$2)*($D16:$W16&lt;&gt;"")*$D$3:$W$3*($D$4:$W$4=AC$6)))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6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  <c r="AC17" s="10">
        <f>IF($Y17="","",SUMPRODUCT(($D17:$W17=$D$2:$W$2)*($D17:$W17&lt;&gt;"")*$D$3:$W$3*($D$4:$W$4=AC$6)))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6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  <c r="AC18" s="10">
        <f>IF($Y18="","",SUMPRODUCT(($D18:$W18=$D$2:$W$2)*($D18:$W18&lt;&gt;"")*$D$3:$W$3*($D$4:$W$4=AC$6)))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6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  <c r="AC19" s="10">
        <f>IF($Y19="","",SUMPRODUCT(($D19:$W19=$D$2:$W$2)*($D19:$W19&lt;&gt;"")*$D$3:$W$3*($D$4:$W$4=AC$6)))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6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  <c r="AC20" s="10">
        <f>IF($Y20="","",SUMPRODUCT(($D20:$W20=$D$2:$W$2)*($D20:$W20&lt;&gt;"")*$D$3:$W$3*($D$4:$W$4=AC$6)))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6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  <c r="AC21" s="10">
        <f>IF($Y21="","",SUMPRODUCT(($D21:$W21=$D$2:$W$2)*($D21:$W21&lt;&gt;"")*$D$3:$W$3*($D$4:$W$4=AC$6)))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6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  <c r="AC22" s="10">
        <f>IF($Y22="","",SUMPRODUCT(($D22:$W22=$D$2:$W$2)*($D22:$W22&lt;&gt;"")*$D$3:$W$3*($D$4:$W$4=AC$6)))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6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  <c r="AC23" s="10">
        <f>IF($Y23="","",SUMPRODUCT(($D23:$W23=$D$2:$W$2)*($D23:$W23&lt;&gt;"")*$D$3:$W$3*($D$4:$W$4=AC$6)))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6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  <c r="AC24" s="10">
        <f>IF($Y24="","",SUMPRODUCT(($D24:$W24=$D$2:$W$2)*($D24:$W24&lt;&gt;"")*$D$3:$W$3*($D$4:$W$4=AC$6)))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6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  <c r="AC25" s="10">
        <f>IF($Y25="","",SUMPRODUCT(($D25:$W25=$D$2:$W$2)*($D25:$W25&lt;&gt;"")*$D$3:$W$3*($D$4:$W$4=AC$6)))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6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  <c r="AC26" s="10">
        <f>IF($Y26="","",SUMPRODUCT(($D26:$W26=$D$2:$W$2)*($D26:$W26&lt;&gt;"")*$D$3:$W$3*($D$4:$W$4=AC$6)))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6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  <c r="AC27" s="10">
        <f>IF($Y27="","",SUMPRODUCT(($D27:$W27=$D$2:$W$2)*($D27:$W27&lt;&gt;"")*$D$3:$W$3*($D$4:$W$4=AC$6)))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6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  <c r="AC28" s="10">
        <f>IF($Y28="","",SUMPRODUCT(($D28:$W28=$D$2:$W$2)*($D28:$W28&lt;&gt;"")*$D$3:$W$3*($D$4:$W$4=AC$6)))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6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  <c r="AC29" s="10">
        <f>IF($Y29="","",SUMPRODUCT(($D29:$W29=$D$2:$W$2)*($D29:$W29&lt;&gt;"")*$D$3:$W$3*($D$4:$W$4=AC$6)))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6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  <c r="AC30" s="10">
        <f>IF($Y30="","",SUMPRODUCT(($D30:$W30=$D$2:$W$2)*($D30:$W30&lt;&gt;"")*$D$3:$W$3*($D$4:$W$4=AC$6)))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6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  <c r="AC31" s="10">
        <f>IF($Y31="","",SUMPRODUCT(($D31:$W31=$D$2:$W$2)*($D31:$W31&lt;&gt;"")*$D$3:$W$3*($D$4:$W$4=AC$6)))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6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  <c r="AC32" s="10">
        <f>IF($Y32="","",SUMPRODUCT(($D32:$W32=$D$2:$W$2)*($D32:$W32&lt;&gt;"")*$D$3:$W$3*($D$4:$W$4=AC$6)))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6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  <c r="AC33" s="10">
        <f>IF($Y33="","",SUMPRODUCT(($D33:$W33=$D$2:$W$2)*($D33:$W33&lt;&gt;"")*$D$3:$W$3*($D$4:$W$4=AC$6)))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6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  <c r="AC34" s="10">
        <f>IF($Y34="","",SUMPRODUCT(($D34:$W34=$D$2:$W$2)*($D34:$W34&lt;&gt;"")*$D$3:$W$3*($D$4:$W$4=AC$6)))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6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  <c r="AC35" s="10">
        <f>IF($Y35="","",SUMPRODUCT(($D35:$W35=$D$2:$W$2)*($D35:$W35&lt;&gt;"")*$D$3:$W$3*($D$4:$W$4=AC$6)))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6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  <c r="AC36" s="10">
        <f>IF($Y36="","",SUMPRODUCT(($D36:$W36=$D$2:$W$2)*($D36:$W36&lt;&gt;"")*$D$3:$W$3*($D$4:$W$4=AC$6)))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6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  <c r="AC37" s="10">
        <f>IF($Y37="","",SUMPRODUCT(($D37:$W37=$D$2:$W$2)*($D37:$W37&lt;&gt;"")*$D$3:$W$3*($D$4:$W$4=AC$6)))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6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  <c r="AC38" s="10">
        <f>IF($Y38="","",SUMPRODUCT(($D38:$W38=$D$2:$W$2)*($D38:$W38&lt;&gt;"")*$D$3:$W$3*($D$4:$W$4=AC$6)))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6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  <c r="AC39" s="10">
        <f>IF($Y39="","",SUMPRODUCT(($D39:$W39=$D$2:$W$2)*($D39:$W39&lt;&gt;"")*$D$3:$W$3*($D$4:$W$4=AC$6)))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6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  <c r="AC40" s="10">
        <f>IF($Y40="","",SUMPRODUCT(($D40:$W40=$D$2:$W$2)*($D40:$W40&lt;&gt;"")*$D$3:$W$3*($D$4:$W$4=AC$6)))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6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  <c r="AC41" s="10">
        <f>IF($Y41="","",SUMPRODUCT(($D41:$W41=$D$2:$W$2)*($D41:$W41&lt;&gt;"")*$D$3:$W$3*($D$4:$W$4=AC$6)))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6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  <c r="AC42" s="10">
        <f>IF($Y42="","",SUMPRODUCT(($D42:$W42=$D$2:$W$2)*($D42:$W42&lt;&gt;"")*$D$3:$W$3*($D$4:$W$4=AC$6)))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6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  <c r="AC43" s="10">
        <f>IF($Y43="","",SUMPRODUCT(($D43:$W43=$D$2:$W$2)*($D43:$W43&lt;&gt;"")*$D$3:$W$3*($D$4:$W$4=AC$6)))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6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  <c r="AC44" s="10">
        <f>IF($Y44="","",SUMPRODUCT(($D44:$W44=$D$2:$W$2)*($D44:$W44&lt;&gt;"")*$D$3:$W$3*($D$4:$W$4=AC$6)))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6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  <c r="AC45" s="10">
        <f>IF($Y45="","",SUMPRODUCT(($D45:$W45=$D$2:$W$2)*($D45:$W45&lt;&gt;"")*$D$3:$W$3*($D$4:$W$4=AC$6)))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6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  <c r="AC46" s="10">
        <f>IF($Y46="","",SUMPRODUCT(($D46:$W46=$D$2:$W$2)*($D46:$W46&lt;&gt;"")*$D$3:$W$3*($D$4:$W$4=AC$6)))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6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  <c r="AC47" s="10">
        <f>IF($Y47="","",SUMPRODUCT(($D47:$W47=$D$2:$W$2)*($D47:$W47&lt;&gt;"")*$D$3:$W$3*($D$4:$W$4=AC$6)))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6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  <c r="AC48" s="10">
        <f>IF($Y48="","",SUMPRODUCT(($D48:$W48=$D$2:$W$2)*($D48:$W48&lt;&gt;"")*$D$3:$W$3*($D$4:$W$4=AC$6)))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6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  <c r="AC49" s="10">
        <f>IF($Y49="","",SUMPRODUCT(($D49:$W49=$D$2:$W$2)*($D49:$W49&lt;&gt;"")*$D$3:$W$3*($D$4:$W$4=AC$6)))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6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  <c r="AC50" s="10">
        <f>IF($Y50="","",SUMPRODUCT(($D50:$W50=$D$2:$W$2)*($D50:$W50&lt;&gt;"")*$D$3:$W$3*($D$4:$W$4=AC$6)))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6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  <c r="AC51" s="10">
        <f>IF($Y51="","",SUMPRODUCT(($D51:$W51=$D$2:$W$2)*($D51:$W51&lt;&gt;"")*$D$3:$W$3*($D$4:$W$4=AC$6)))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6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  <c r="AC52" s="10">
        <f>IF($Y52="","",SUMPRODUCT(($D52:$W52=$D$2:$W$2)*($D52:$W52&lt;&gt;"")*$D$3:$W$3*($D$4:$W$4=AC$6)))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6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  <c r="AC53" s="10">
        <f>IF($Y53="","",SUMPRODUCT(($D53:$W53=$D$2:$W$2)*($D53:$W53&lt;&gt;"")*$D$3:$W$3*($D$4:$W$4=AC$6)))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6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  <c r="AC54" s="10">
        <f>IF($Y54="","",SUMPRODUCT(($D54:$W54=$D$2:$W$2)*($D54:$W54&lt;&gt;"")*$D$3:$W$3*($D$4:$W$4=AC$6)))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6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  <c r="AC55" s="10">
        <f>IF($Y55="","",SUMPRODUCT(($D55:$W55=$D$2:$W$2)*($D55:$W55&lt;&gt;"")*$D$3:$W$3*($D$4:$W$4=AC$6)))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6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  <c r="AC56" s="10">
        <f>IF($Y56="","",SUMPRODUCT(($D56:$W56=$D$2:$W$2)*($D56:$W56&lt;&gt;"")*$D$3:$W$3*($D$4:$W$4=AC$6)))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6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  <c r="AC57" s="10">
        <f>IF($Y57="","",SUMPRODUCT(($D57:$W57=$D$2:$W$2)*($D57:$W57&lt;&gt;"")*$D$3:$W$3*($D$4:$W$4=AC$6)))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6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  <c r="AC58" s="10">
        <f>IF($Y58="","",SUMPRODUCT(($D58:$W58=$D$2:$W$2)*($D58:$W58&lt;&gt;"")*$D$3:$W$3*($D$4:$W$4=AC$6)))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6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  <c r="AC59" s="10">
        <f>IF($Y59="","",SUMPRODUCT(($D59:$W59=$D$2:$W$2)*($D59:$W59&lt;&gt;"")*$D$3:$W$3*($D$4:$W$4=AC$6)))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6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  <c r="AC60" s="10">
        <f>IF($Y60="","",SUMPRODUCT(($D60:$W60=$D$2:$W$2)*($D60:$W60&lt;&gt;"")*$D$3:$W$3*($D$4:$W$4=AC$6)))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6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  <c r="AC61" s="10">
        <f>IF($Y61="","",SUMPRODUCT(($D61:$W61=$D$2:$W$2)*($D61:$W61&lt;&gt;"")*$D$3:$W$3*($D$4:$W$4=AC$6)))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6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  <c r="AC62" s="10">
        <f>IF($Y62="","",SUMPRODUCT(($D62:$W62=$D$2:$W$2)*($D62:$W62&lt;&gt;"")*$D$3:$W$3*($D$4:$W$4=AC$6)))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6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  <c r="AC63" s="10">
        <f>IF($Y63="","",SUMPRODUCT(($D63:$W63=$D$2:$W$2)*($D63:$W63&lt;&gt;"")*$D$3:$W$3*($D$4:$W$4=AC$6)))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6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  <c r="AC64" s="10">
        <f>IF($Y64="","",SUMPRODUCT(($D64:$W64=$D$2:$W$2)*($D64:$W64&lt;&gt;"")*$D$3:$W$3*($D$4:$W$4=AC$6)))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6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  <c r="AC65" s="10">
        <f>IF($Y65="","",SUMPRODUCT(($D65:$W65=$D$2:$W$2)*($D65:$W65&lt;&gt;"")*$D$3:$W$3*($D$4:$W$4=AC$6)))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6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  <c r="AC66" s="10">
        <f>IF($Y66="","",SUMPRODUCT(($D66:$W66=$D$2:$W$2)*($D66:$W66&lt;&gt;"")*$D$3:$W$3*($D$4:$W$4=AC$6)))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6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  <c r="AC67" s="10">
        <f>IF($Y67="","",SUMPRODUCT(($D67:$W67=$D$2:$W$2)*($D67:$W67&lt;&gt;"")*$D$3:$W$3*($D$4:$W$4=AC$6)))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6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  <c r="AC68" s="10">
        <f>IF($Y68="","",SUMPRODUCT(($D68:$W68=$D$2:$W$2)*($D68:$W68&lt;&gt;"")*$D$3:$W$3*($D$4:$W$4=AC$6)))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6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  <c r="AC69" s="10">
        <f>IF($Y69="","",SUMPRODUCT(($D69:$W69=$D$2:$W$2)*($D69:$W69&lt;&gt;"")*$D$3:$W$3*($D$4:$W$4=AC$6)))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6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  <c r="AC70" s="10">
        <f>IF($Y70="","",SUMPRODUCT(($D70:$W70=$D$2:$W$2)*($D70:$W70&lt;&gt;"")*$D$3:$W$3*($D$4:$W$4=AC$6)))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6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  <c r="AC71" s="10">
        <f>IF($Y71="","",SUMPRODUCT(($D71:$W71=$D$2:$W$2)*($D71:$W71&lt;&gt;"")*$D$3:$W$3*($D$4:$W$4=AC$6)))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6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  <c r="AC72" s="10">
        <f>IF($Y72="","",SUMPRODUCT(($D72:$W72=$D$2:$W$2)*($D72:$W72&lt;&gt;"")*$D$3:$W$3*($D$4:$W$4=AC$6)))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6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  <c r="AC73" s="10">
        <f>IF($Y73="","",SUMPRODUCT(($D73:$W73=$D$2:$W$2)*($D73:$W73&lt;&gt;"")*$D$3:$W$3*($D$4:$W$4=AC$6)))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6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  <c r="AC74" s="10">
        <f>IF($Y74="","",SUMPRODUCT(($D74:$W74=$D$2:$W$2)*($D74:$W74&lt;&gt;"")*$D$3:$W$3*($D$4:$W$4=AC$6)))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6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  <c r="AC75" s="10">
        <f>IF($Y75="","",SUMPRODUCT(($D75:$W75=$D$2:$W$2)*($D75:$W75&lt;&gt;"")*$D$3:$W$3*($D$4:$W$4=AC$6)))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6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  <c r="AC76" s="10">
        <f>IF($Y76="","",SUMPRODUCT(($D76:$W76=$D$2:$W$2)*($D76:$W76&lt;&gt;"")*$D$3:$W$3*($D$4:$W$4=AC$6)))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6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  <c r="AC77" s="10">
        <f>IF($Y77="","",SUMPRODUCT(($D77:$W77=$D$2:$W$2)*($D77:$W77&lt;&gt;"")*$D$3:$W$3*($D$4:$W$4=AC$6)))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6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  <c r="AC78" s="10">
        <f>IF($Y78="","",SUMPRODUCT(($D78:$W78=$D$2:$W$2)*($D78:$W78&lt;&gt;"")*$D$3:$W$3*($D$4:$W$4=AC$6)))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6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  <c r="AC79" s="10">
        <f>IF($Y79="","",SUMPRODUCT(($D79:$W79=$D$2:$W$2)*($D79:$W79&lt;&gt;"")*$D$3:$W$3*($D$4:$W$4=AC$6)))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6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  <c r="AC80" s="10">
        <f>IF($Y80="","",SUMPRODUCT(($D80:$W80=$D$2:$W$2)*($D80:$W80&lt;&gt;"")*$D$3:$W$3*($D$4:$W$4=AC$6)))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6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  <c r="AC81" s="10">
        <f>IF($Y81="","",SUMPRODUCT(($D81:$W81=$D$2:$W$2)*($D81:$W81&lt;&gt;"")*$D$3:$W$3*($D$4:$W$4=AC$6)))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6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  <c r="AC82" s="10">
        <f>IF($Y82="","",SUMPRODUCT(($D82:$W82=$D$2:$W$2)*($D82:$W82&lt;&gt;"")*$D$3:$W$3*($D$4:$W$4=AC$6)))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6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  <c r="AC83" s="10">
        <f>IF($Y83="","",SUMPRODUCT(($D83:$W83=$D$2:$W$2)*($D83:$W83&lt;&gt;"")*$D$3:$W$3*($D$4:$W$4=AC$6)))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6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  <c r="AC84" s="10">
        <f>IF($Y84="","",SUMPRODUCT(($D84:$W84=$D$2:$W$2)*($D84:$W84&lt;&gt;"")*$D$3:$W$3*($D$4:$W$4=AC$6)))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6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  <c r="AC85" s="10">
        <f>IF($Y85="","",SUMPRODUCT(($D85:$W85=$D$2:$W$2)*($D85:$W85&lt;&gt;"")*$D$3:$W$3*($D$4:$W$4=AC$6)))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6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  <c r="AC86" s="10">
        <f>IF($Y86="","",SUMPRODUCT(($D86:$W86=$D$2:$W$2)*($D86:$W86&lt;&gt;"")*$D$3:$W$3*($D$4:$W$4=AC$6)))</f>
        <v/>
      </c>
    </row>
  </sheetData>
  <mergeCells count="6">
    <mergeCell ref="A1:C1"/>
    <mergeCell ref="A5:C5"/>
    <mergeCell ref="A3:C3"/>
    <mergeCell ref="A4:C4"/>
    <mergeCell ref="D1:AC1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='설정'!$B$19:$B$22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2 R7:R86 S2 S7:S86 T2 T7:T86 U2 U7:U86 V2 V7:V86 W2 W7:W86" showDropDown="0" showInputMessage="0" showErrorMessage="1" allowBlank="1" errorTitle="입력 오류" error="단답형은 0~999 사이 정수만 입력" type="whole" operator="between">
      <formula1>0</formula1>
      <formula2>999</formula2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B86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2" customWidth="1" min="2" max="2"/>
    <col width="10" customWidth="1" min="3" max="3"/>
    <col width="6.2" customWidth="1" min="4" max="4"/>
    <col width="6.2" customWidth="1" min="5" max="5"/>
    <col width="6.2" customWidth="1" min="6" max="6"/>
    <col width="6.2" customWidth="1" min="7" max="7"/>
    <col width="6.2" customWidth="1" min="8" max="8"/>
    <col width="6.2" customWidth="1" min="9" max="9"/>
    <col width="6.2" customWidth="1" min="10" max="10"/>
    <col width="6.2" customWidth="1" min="11" max="11"/>
    <col width="6.2" customWidth="1" min="12" max="12"/>
    <col width="6.2" customWidth="1" min="13" max="13"/>
    <col width="6.2" customWidth="1" min="14" max="14"/>
    <col width="6.2" customWidth="1" min="15" max="15"/>
    <col width="6.2" customWidth="1" min="16" max="16"/>
    <col width="6.2" customWidth="1" min="17" max="17"/>
    <col width="6.2" customWidth="1" min="18" max="18"/>
    <col width="6.2" customWidth="1" min="19" max="19"/>
    <col width="6.2" customWidth="1" min="20" max="20"/>
    <col width="6.2" customWidth="1" min="21" max="21"/>
    <col width="6.2" customWidth="1" min="22" max="22"/>
    <col width="6.2" customWidth="1" min="23" max="23"/>
    <col width="7" customWidth="1" min="24" max="24"/>
    <col width="8" customWidth="1" min="25" max="25"/>
    <col width="10" customWidth="1" min="26" max="26"/>
    <col width="10" customWidth="1" min="27" max="27"/>
    <col width="10" customWidth="1" min="28" max="28"/>
  </cols>
  <sheetData>
    <row r="1" ht="34" customHeight="1">
      <c r="A1" s="1" t="inlineStr">
        <is>
          <t>공통수학2 채점표</t>
        </is>
      </c>
      <c r="D1" s="2" t="inlineStr">
        <is>
          <t>① 2~5행(노란 칸)에 정답·배점·단원·난이도 입력  ② 학생 행에 학생이 쓴 답을 그대로 입력(객관식 1~5, 단답형 0~999) → 틀린 답은 빨간 칸, 점수 자동 계산. 결시생은 비워두면 미응시 처리.</t>
        </is>
      </c>
    </row>
    <row r="2">
      <c r="A2" s="18" t="inlineStr">
        <is>
          <t>정답 ▶</t>
        </is>
      </c>
      <c r="D2" s="19" t="n">
        <v>2</v>
      </c>
      <c r="E2" s="19" t="n">
        <v>4</v>
      </c>
      <c r="F2" s="19" t="n">
        <v>1</v>
      </c>
      <c r="G2" s="19" t="n">
        <v>3</v>
      </c>
      <c r="H2" s="19" t="n">
        <v>5</v>
      </c>
      <c r="I2" s="19" t="n">
        <v>2</v>
      </c>
      <c r="J2" s="19" t="n">
        <v>5</v>
      </c>
      <c r="K2" s="19" t="n">
        <v>2</v>
      </c>
      <c r="L2" s="19" t="n">
        <v>4</v>
      </c>
      <c r="M2" s="19" t="n">
        <v>4</v>
      </c>
      <c r="N2" s="19" t="n">
        <v>5</v>
      </c>
      <c r="O2" s="19" t="n">
        <v>3</v>
      </c>
      <c r="P2" s="19" t="n">
        <v>1</v>
      </c>
      <c r="Q2" s="19" t="n">
        <v>1</v>
      </c>
      <c r="R2" s="19" t="n">
        <v>9</v>
      </c>
      <c r="S2" s="19" t="n">
        <v>160</v>
      </c>
      <c r="T2" s="19" t="n">
        <v>210</v>
      </c>
      <c r="U2" s="19" t="n">
        <v>40</v>
      </c>
      <c r="V2" s="19" t="n">
        <v>15</v>
      </c>
      <c r="W2" s="19" t="n">
        <v>13</v>
      </c>
    </row>
    <row r="3">
      <c r="A3" s="18" t="inlineStr">
        <is>
          <t>배점 ▶</t>
        </is>
      </c>
      <c r="D3" s="7" t="n">
        <v>3</v>
      </c>
      <c r="E3" s="7" t="n">
        <v>3</v>
      </c>
      <c r="F3" s="7" t="n">
        <v>3</v>
      </c>
      <c r="G3" s="7" t="n">
        <v>4</v>
      </c>
      <c r="H3" s="7" t="n">
        <v>4</v>
      </c>
      <c r="I3" s="7" t="n">
        <v>4</v>
      </c>
      <c r="J3" s="7" t="n">
        <v>5</v>
      </c>
      <c r="K3" s="7" t="n">
        <v>5</v>
      </c>
      <c r="L3" s="7" t="n">
        <v>5</v>
      </c>
      <c r="M3" s="7" t="n">
        <v>6</v>
      </c>
      <c r="N3" s="7" t="n">
        <v>6</v>
      </c>
      <c r="O3" s="7" t="n">
        <v>6</v>
      </c>
      <c r="P3" s="7" t="n">
        <v>6</v>
      </c>
      <c r="Q3" s="7" t="n">
        <v>6</v>
      </c>
      <c r="R3" s="7" t="n">
        <v>5</v>
      </c>
      <c r="S3" s="7" t="n">
        <v>5</v>
      </c>
      <c r="T3" s="7" t="n">
        <v>5</v>
      </c>
      <c r="U3" s="7" t="n">
        <v>6</v>
      </c>
      <c r="V3" s="7" t="n">
        <v>6</v>
      </c>
      <c r="W3" s="7" t="n">
        <v>7</v>
      </c>
      <c r="X3" s="17">
        <f>COUNT(D2:W2)</f>
        <v/>
      </c>
      <c r="Y3" s="20">
        <f>SUM(D3:W3)</f>
        <v/>
      </c>
      <c r="Z3" s="17">
        <f>SUMIF($D$4:$W$4,Z$6,$D$3:$W$3)</f>
        <v/>
      </c>
      <c r="AA3" s="17">
        <f>SUMIF($D$4:$W$4,AA$6,$D$3:$W$3)</f>
        <v/>
      </c>
      <c r="AB3" s="17">
        <f>SUMIF($D$4:$W$4,AB$6,$D$3:$W$3)</f>
        <v/>
      </c>
    </row>
    <row r="4" ht="42" customHeight="1">
      <c r="A4" s="18" t="inlineStr">
        <is>
          <t>단원 ▶</t>
        </is>
      </c>
      <c r="D4" s="21" t="inlineStr">
        <is>
          <t>도형의 방정식</t>
        </is>
      </c>
      <c r="E4" s="21" t="inlineStr">
        <is>
          <t>함수와 그래프</t>
        </is>
      </c>
      <c r="F4" s="21" t="inlineStr">
        <is>
          <t>함수와 그래프</t>
        </is>
      </c>
      <c r="G4" s="21" t="inlineStr">
        <is>
          <t>도형의 방정식</t>
        </is>
      </c>
      <c r="H4" s="21" t="inlineStr">
        <is>
          <t>도형의 방정식</t>
        </is>
      </c>
      <c r="I4" s="21" t="inlineStr">
        <is>
          <t>집합과 명제</t>
        </is>
      </c>
      <c r="J4" s="21" t="inlineStr">
        <is>
          <t>집합과 명제</t>
        </is>
      </c>
      <c r="K4" s="21" t="inlineStr">
        <is>
          <t>도형의 방정식</t>
        </is>
      </c>
      <c r="L4" s="21" t="inlineStr">
        <is>
          <t>함수와 그래프</t>
        </is>
      </c>
      <c r="M4" s="21" t="inlineStr">
        <is>
          <t>함수와 그래프</t>
        </is>
      </c>
      <c r="N4" s="21" t="inlineStr">
        <is>
          <t>도형의 방정식</t>
        </is>
      </c>
      <c r="O4" s="21" t="inlineStr">
        <is>
          <t>함수와 그래프</t>
        </is>
      </c>
      <c r="P4" s="21" t="inlineStr">
        <is>
          <t>도형의 방정식</t>
        </is>
      </c>
      <c r="Q4" s="21" t="inlineStr">
        <is>
          <t>도형의 방정식</t>
        </is>
      </c>
      <c r="R4" s="21" t="inlineStr">
        <is>
          <t>집합과 명제</t>
        </is>
      </c>
      <c r="S4" s="21" t="inlineStr">
        <is>
          <t>도형의 방정식</t>
        </is>
      </c>
      <c r="T4" s="21" t="inlineStr">
        <is>
          <t>함수와 그래프</t>
        </is>
      </c>
      <c r="U4" s="21" t="inlineStr">
        <is>
          <t>집합과 명제</t>
        </is>
      </c>
      <c r="V4" s="21" t="inlineStr">
        <is>
          <t>집합과 명제</t>
        </is>
      </c>
      <c r="W4" s="21" t="inlineStr">
        <is>
          <t>함수와 그래프</t>
        </is>
      </c>
    </row>
    <row r="5">
      <c r="A5" s="18" t="inlineStr">
        <is>
          <t>난이도 ▶</t>
        </is>
      </c>
      <c r="D5" s="7" t="inlineStr">
        <is>
          <t>하</t>
        </is>
      </c>
      <c r="E5" s="7" t="inlineStr">
        <is>
          <t>하</t>
        </is>
      </c>
      <c r="F5" s="7" t="inlineStr">
        <is>
          <t>하</t>
        </is>
      </c>
      <c r="G5" s="7" t="inlineStr">
        <is>
          <t>중하</t>
        </is>
      </c>
      <c r="H5" s="7" t="inlineStr">
        <is>
          <t>중하</t>
        </is>
      </c>
      <c r="I5" s="7" t="inlineStr">
        <is>
          <t>중하</t>
        </is>
      </c>
      <c r="J5" s="7" t="inlineStr">
        <is>
          <t>중상</t>
        </is>
      </c>
      <c r="K5" s="7" t="inlineStr">
        <is>
          <t>중상</t>
        </is>
      </c>
      <c r="L5" s="7" t="inlineStr">
        <is>
          <t>중상</t>
        </is>
      </c>
      <c r="M5" s="7" t="inlineStr">
        <is>
          <t>상</t>
        </is>
      </c>
      <c r="N5" s="7" t="inlineStr">
        <is>
          <t>상</t>
        </is>
      </c>
      <c r="O5" s="7" t="inlineStr">
        <is>
          <t>상</t>
        </is>
      </c>
      <c r="P5" s="7" t="inlineStr">
        <is>
          <t>최상</t>
        </is>
      </c>
      <c r="Q5" s="7" t="inlineStr">
        <is>
          <t>최상</t>
        </is>
      </c>
      <c r="R5" s="7" t="inlineStr">
        <is>
          <t>중상</t>
        </is>
      </c>
      <c r="S5" s="7" t="inlineStr">
        <is>
          <t>중상</t>
        </is>
      </c>
      <c r="T5" s="7" t="inlineStr">
        <is>
          <t>중상</t>
        </is>
      </c>
      <c r="U5" s="7" t="inlineStr">
        <is>
          <t>상</t>
        </is>
      </c>
      <c r="V5" s="7" t="inlineStr">
        <is>
          <t>최상</t>
        </is>
      </c>
      <c r="W5" s="7" t="inlineStr">
        <is>
          <t>최상</t>
        </is>
      </c>
      <c r="X5" s="22" t="inlineStr">
        <is>
          <t>정답입력수▲</t>
        </is>
      </c>
      <c r="Y5" s="22" t="inlineStr">
        <is>
          <t>만점 ▲</t>
        </is>
      </c>
      <c r="Z5" s="22" t="inlineStr">
        <is>
          <t>만점 ▲</t>
        </is>
      </c>
      <c r="AA5" s="22" t="inlineStr">
        <is>
          <t>만점 ▲</t>
        </is>
      </c>
      <c r="AB5" s="22" t="inlineStr">
        <is>
          <t>만점 ▲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23" t="inlineStr">
        <is>
          <t>1
객관식</t>
        </is>
      </c>
      <c r="E6" s="23" t="inlineStr">
        <is>
          <t>2
객관식</t>
        </is>
      </c>
      <c r="F6" s="23" t="inlineStr">
        <is>
          <t>3
객관식</t>
        </is>
      </c>
      <c r="G6" s="23" t="inlineStr">
        <is>
          <t>4
객관식</t>
        </is>
      </c>
      <c r="H6" s="23" t="inlineStr">
        <is>
          <t>5
객관식</t>
        </is>
      </c>
      <c r="I6" s="23" t="inlineStr">
        <is>
          <t>6
객관식</t>
        </is>
      </c>
      <c r="J6" s="23" t="inlineStr">
        <is>
          <t>7
객관식</t>
        </is>
      </c>
      <c r="K6" s="23" t="inlineStr">
        <is>
          <t>8
객관식</t>
        </is>
      </c>
      <c r="L6" s="23" t="inlineStr">
        <is>
          <t>9
객관식</t>
        </is>
      </c>
      <c r="M6" s="23" t="inlineStr">
        <is>
          <t>10
객관식</t>
        </is>
      </c>
      <c r="N6" s="23" t="inlineStr">
        <is>
          <t>11
객관식</t>
        </is>
      </c>
      <c r="O6" s="23" t="inlineStr">
        <is>
          <t>12
객관식</t>
        </is>
      </c>
      <c r="P6" s="23" t="inlineStr">
        <is>
          <t>13
객관식</t>
        </is>
      </c>
      <c r="Q6" s="23" t="inlineStr">
        <is>
          <t>14
객관식</t>
        </is>
      </c>
      <c r="R6" s="24" t="inlineStr">
        <is>
          <t>15
단답형</t>
        </is>
      </c>
      <c r="S6" s="24" t="inlineStr">
        <is>
          <t>16
단답형</t>
        </is>
      </c>
      <c r="T6" s="24" t="inlineStr">
        <is>
          <t>17
단답형</t>
        </is>
      </c>
      <c r="U6" s="24" t="inlineStr">
        <is>
          <t>18
단답형</t>
        </is>
      </c>
      <c r="V6" s="24" t="inlineStr">
        <is>
          <t>19
단답형</t>
        </is>
      </c>
      <c r="W6" s="24" t="inlineStr">
        <is>
          <t>20
단답형</t>
        </is>
      </c>
      <c r="X6" s="4" t="inlineStr">
        <is>
          <t>맞힌
개수</t>
        </is>
      </c>
      <c r="Y6" s="4" t="inlineStr">
        <is>
          <t>총점</t>
        </is>
      </c>
      <c r="Z6" s="25">
        <f>'설정'!B24</f>
        <v/>
      </c>
      <c r="AA6" s="25">
        <f>'설정'!B25</f>
        <v/>
      </c>
      <c r="AB6" s="25">
        <f>'설정'!B26</f>
        <v/>
      </c>
    </row>
    <row r="7">
      <c r="A7" s="5" t="n">
        <v>1</v>
      </c>
      <c r="B7" s="5">
        <f>IF('학생명단'!B7="","",'학생명단'!B7)</f>
        <v/>
      </c>
      <c r="C7" s="17">
        <f>IF('학생명단'!C7="","",'학생명단'!C7)</f>
        <v/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10">
        <f>IF(COUNTA(D7:W7)=0,"",SUMPRODUCT((D7:W7=$D$2:$W$2)*(D7:W7&lt;&gt;"")))</f>
        <v/>
      </c>
      <c r="Y7" s="26">
        <f>IF(COUNTA(D7:W7)=0,"",SUMPRODUCT((D7:W7=$D$2:$W$2)*(D7:W7&lt;&gt;"")*$D$3:$W$3))</f>
        <v/>
      </c>
      <c r="Z7" s="10">
        <f>IF($Y7="","",SUMPRODUCT(($D7:$W7=$D$2:$W$2)*($D7:$W7&lt;&gt;"")*$D$3:$W$3*($D$4:$W$4=Z$6)))</f>
        <v/>
      </c>
      <c r="AA7" s="10">
        <f>IF($Y7="","",SUMPRODUCT(($D7:$W7=$D$2:$W$2)*($D7:$W7&lt;&gt;"")*$D$3:$W$3*($D$4:$W$4=AA$6)))</f>
        <v/>
      </c>
      <c r="AB7" s="10">
        <f>IF($Y7="","",SUMPRODUCT(($D7:$W7=$D$2:$W$2)*($D7:$W7&lt;&gt;"")*$D$3:$W$3*($D$4:$W$4=AB$6)))</f>
        <v/>
      </c>
    </row>
    <row r="8">
      <c r="A8" s="5" t="n">
        <v>2</v>
      </c>
      <c r="B8" s="5">
        <f>IF('학생명단'!B8="","",'학생명단'!B8)</f>
        <v/>
      </c>
      <c r="C8" s="17">
        <f>IF('학생명단'!C8="","",'학생명단'!C8)</f>
        <v/>
      </c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7" t="n"/>
      <c r="S8" s="7" t="n"/>
      <c r="T8" s="7" t="n"/>
      <c r="U8" s="7" t="n"/>
      <c r="V8" s="7" t="n"/>
      <c r="W8" s="7" t="n"/>
      <c r="X8" s="10">
        <f>IF(COUNTA(D8:W8)=0,"",SUMPRODUCT((D8:W8=$D$2:$W$2)*(D8:W8&lt;&gt;"")))</f>
        <v/>
      </c>
      <c r="Y8" s="26">
        <f>IF(COUNTA(D8:W8)=0,"",SUMPRODUCT((D8:W8=$D$2:$W$2)*(D8:W8&lt;&gt;"")*$D$3:$W$3))</f>
        <v/>
      </c>
      <c r="Z8" s="10">
        <f>IF($Y8="","",SUMPRODUCT(($D8:$W8=$D$2:$W$2)*($D8:$W8&lt;&gt;"")*$D$3:$W$3*($D$4:$W$4=Z$6)))</f>
        <v/>
      </c>
      <c r="AA8" s="10">
        <f>IF($Y8="","",SUMPRODUCT(($D8:$W8=$D$2:$W$2)*($D8:$W8&lt;&gt;"")*$D$3:$W$3*($D$4:$W$4=AA$6)))</f>
        <v/>
      </c>
      <c r="AB8" s="10">
        <f>IF($Y8="","",SUMPRODUCT(($D8:$W8=$D$2:$W$2)*($D8:$W8&lt;&gt;"")*$D$3:$W$3*($D$4:$W$4=AB$6)))</f>
        <v/>
      </c>
    </row>
    <row r="9">
      <c r="A9" s="5" t="n">
        <v>3</v>
      </c>
      <c r="B9" s="5">
        <f>IF('학생명단'!B9="","",'학생명단'!B9)</f>
        <v/>
      </c>
      <c r="C9" s="17">
        <f>IF('학생명단'!C9="","",'학생명단'!C9)</f>
        <v/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10">
        <f>IF(COUNTA(D9:W9)=0,"",SUMPRODUCT((D9:W9=$D$2:$W$2)*(D9:W9&lt;&gt;"")))</f>
        <v/>
      </c>
      <c r="Y9" s="26">
        <f>IF(COUNTA(D9:W9)=0,"",SUMPRODUCT((D9:W9=$D$2:$W$2)*(D9:W9&lt;&gt;"")*$D$3:$W$3))</f>
        <v/>
      </c>
      <c r="Z9" s="10">
        <f>IF($Y9="","",SUMPRODUCT(($D9:$W9=$D$2:$W$2)*($D9:$W9&lt;&gt;"")*$D$3:$W$3*($D$4:$W$4=Z$6)))</f>
        <v/>
      </c>
      <c r="AA9" s="10">
        <f>IF($Y9="","",SUMPRODUCT(($D9:$W9=$D$2:$W$2)*($D9:$W9&lt;&gt;"")*$D$3:$W$3*($D$4:$W$4=AA$6)))</f>
        <v/>
      </c>
      <c r="AB9" s="10">
        <f>IF($Y9="","",SUMPRODUCT(($D9:$W9=$D$2:$W$2)*($D9:$W9&lt;&gt;"")*$D$3:$W$3*($D$4:$W$4=AB$6)))</f>
        <v/>
      </c>
    </row>
    <row r="10">
      <c r="A10" s="5" t="n">
        <v>4</v>
      </c>
      <c r="B10" s="5">
        <f>IF('학생명단'!B10="","",'학생명단'!B10)</f>
        <v/>
      </c>
      <c r="C10" s="17">
        <f>IF('학생명단'!C10="","",'학생명단'!C10)</f>
        <v/>
      </c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7" t="n"/>
      <c r="S10" s="7" t="n"/>
      <c r="T10" s="7" t="n"/>
      <c r="U10" s="7" t="n"/>
      <c r="V10" s="7" t="n"/>
      <c r="W10" s="7" t="n"/>
      <c r="X10" s="10">
        <f>IF(COUNTA(D10:W10)=0,"",SUMPRODUCT((D10:W10=$D$2:$W$2)*(D10:W10&lt;&gt;"")))</f>
        <v/>
      </c>
      <c r="Y10" s="26">
        <f>IF(COUNTA(D10:W10)=0,"",SUMPRODUCT((D10:W10=$D$2:$W$2)*(D10:W10&lt;&gt;"")*$D$3:$W$3))</f>
        <v/>
      </c>
      <c r="Z10" s="10">
        <f>IF($Y10="","",SUMPRODUCT(($D10:$W10=$D$2:$W$2)*($D10:$W10&lt;&gt;"")*$D$3:$W$3*($D$4:$W$4=Z$6)))</f>
        <v/>
      </c>
      <c r="AA10" s="10">
        <f>IF($Y10="","",SUMPRODUCT(($D10:$W10=$D$2:$W$2)*($D10:$W10&lt;&gt;"")*$D$3:$W$3*($D$4:$W$4=AA$6)))</f>
        <v/>
      </c>
      <c r="AB10" s="10">
        <f>IF($Y10="","",SUMPRODUCT(($D10:$W10=$D$2:$W$2)*($D10:$W10&lt;&gt;"")*$D$3:$W$3*($D$4:$W$4=AB$6)))</f>
        <v/>
      </c>
    </row>
    <row r="11">
      <c r="A11" s="5" t="n">
        <v>5</v>
      </c>
      <c r="B11" s="5">
        <f>IF('학생명단'!B11="","",'학생명단'!B11)</f>
        <v/>
      </c>
      <c r="C11" s="17">
        <f>IF('학생명단'!C11="","",'학생명단'!C11)</f>
        <v/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7" t="n"/>
      <c r="S11" s="7" t="n"/>
      <c r="T11" s="7" t="n"/>
      <c r="U11" s="7" t="n"/>
      <c r="V11" s="7" t="n"/>
      <c r="W11" s="7" t="n"/>
      <c r="X11" s="10">
        <f>IF(COUNTA(D11:W11)=0,"",SUMPRODUCT((D11:W11=$D$2:$W$2)*(D11:W11&lt;&gt;"")))</f>
        <v/>
      </c>
      <c r="Y11" s="26">
        <f>IF(COUNTA(D11:W11)=0,"",SUMPRODUCT((D11:W11=$D$2:$W$2)*(D11:W11&lt;&gt;"")*$D$3:$W$3))</f>
        <v/>
      </c>
      <c r="Z11" s="10">
        <f>IF($Y11="","",SUMPRODUCT(($D11:$W11=$D$2:$W$2)*($D11:$W11&lt;&gt;"")*$D$3:$W$3*($D$4:$W$4=Z$6)))</f>
        <v/>
      </c>
      <c r="AA11" s="10">
        <f>IF($Y11="","",SUMPRODUCT(($D11:$W11=$D$2:$W$2)*($D11:$W11&lt;&gt;"")*$D$3:$W$3*($D$4:$W$4=AA$6)))</f>
        <v/>
      </c>
      <c r="AB11" s="10">
        <f>IF($Y11="","",SUMPRODUCT(($D11:$W11=$D$2:$W$2)*($D11:$W11&lt;&gt;"")*$D$3:$W$3*($D$4:$W$4=AB$6)))</f>
        <v/>
      </c>
    </row>
    <row r="12">
      <c r="A12" s="5" t="n">
        <v>6</v>
      </c>
      <c r="B12" s="5">
        <f>IF('학생명단'!B12="","",'학생명단'!B12)</f>
        <v/>
      </c>
      <c r="C12" s="17">
        <f>IF('학생명단'!C12="","",'학생명단'!C12)</f>
        <v/>
      </c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7" t="n"/>
      <c r="S12" s="7" t="n"/>
      <c r="T12" s="7" t="n"/>
      <c r="U12" s="7" t="n"/>
      <c r="V12" s="7" t="n"/>
      <c r="W12" s="7" t="n"/>
      <c r="X12" s="10">
        <f>IF(COUNTA(D12:W12)=0,"",SUMPRODUCT((D12:W12=$D$2:$W$2)*(D12:W12&lt;&gt;"")))</f>
        <v/>
      </c>
      <c r="Y12" s="26">
        <f>IF(COUNTA(D12:W12)=0,"",SUMPRODUCT((D12:W12=$D$2:$W$2)*(D12:W12&lt;&gt;"")*$D$3:$W$3))</f>
        <v/>
      </c>
      <c r="Z12" s="10">
        <f>IF($Y12="","",SUMPRODUCT(($D12:$W12=$D$2:$W$2)*($D12:$W12&lt;&gt;"")*$D$3:$W$3*($D$4:$W$4=Z$6)))</f>
        <v/>
      </c>
      <c r="AA12" s="10">
        <f>IF($Y12="","",SUMPRODUCT(($D12:$W12=$D$2:$W$2)*($D12:$W12&lt;&gt;"")*$D$3:$W$3*($D$4:$W$4=AA$6)))</f>
        <v/>
      </c>
      <c r="AB12" s="10">
        <f>IF($Y12="","",SUMPRODUCT(($D12:$W12=$D$2:$W$2)*($D12:$W12&lt;&gt;"")*$D$3:$W$3*($D$4:$W$4=AB$6)))</f>
        <v/>
      </c>
    </row>
    <row r="13">
      <c r="A13" s="5" t="n">
        <v>7</v>
      </c>
      <c r="B13" s="5">
        <f>IF('학생명단'!B13="","",'학생명단'!B13)</f>
        <v/>
      </c>
      <c r="C13" s="17">
        <f>IF('학생명단'!C13="","",'학생명단'!C13)</f>
        <v/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7" t="n"/>
      <c r="S13" s="7" t="n"/>
      <c r="T13" s="7" t="n"/>
      <c r="U13" s="7" t="n"/>
      <c r="V13" s="7" t="n"/>
      <c r="W13" s="7" t="n"/>
      <c r="X13" s="10">
        <f>IF(COUNTA(D13:W13)=0,"",SUMPRODUCT((D13:W13=$D$2:$W$2)*(D13:W13&lt;&gt;"")))</f>
        <v/>
      </c>
      <c r="Y13" s="26">
        <f>IF(COUNTA(D13:W13)=0,"",SUMPRODUCT((D13:W13=$D$2:$W$2)*(D13:W13&lt;&gt;"")*$D$3:$W$3))</f>
        <v/>
      </c>
      <c r="Z13" s="10">
        <f>IF($Y13="","",SUMPRODUCT(($D13:$W13=$D$2:$W$2)*($D13:$W13&lt;&gt;"")*$D$3:$W$3*($D$4:$W$4=Z$6)))</f>
        <v/>
      </c>
      <c r="AA13" s="10">
        <f>IF($Y13="","",SUMPRODUCT(($D13:$W13=$D$2:$W$2)*($D13:$W13&lt;&gt;"")*$D$3:$W$3*($D$4:$W$4=AA$6)))</f>
        <v/>
      </c>
      <c r="AB13" s="10">
        <f>IF($Y13="","",SUMPRODUCT(($D13:$W13=$D$2:$W$2)*($D13:$W13&lt;&gt;"")*$D$3:$W$3*($D$4:$W$4=AB$6)))</f>
        <v/>
      </c>
    </row>
    <row r="14">
      <c r="A14" s="5" t="n">
        <v>8</v>
      </c>
      <c r="B14" s="5">
        <f>IF('학생명단'!B14="","",'학생명단'!B14)</f>
        <v/>
      </c>
      <c r="C14" s="17">
        <f>IF('학생명단'!C14="","",'학생명단'!C14)</f>
        <v/>
      </c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10">
        <f>IF(COUNTA(D14:W14)=0,"",SUMPRODUCT((D14:W14=$D$2:$W$2)*(D14:W14&lt;&gt;"")))</f>
        <v/>
      </c>
      <c r="Y14" s="26">
        <f>IF(COUNTA(D14:W14)=0,"",SUMPRODUCT((D14:W14=$D$2:$W$2)*(D14:W14&lt;&gt;"")*$D$3:$W$3))</f>
        <v/>
      </c>
      <c r="Z14" s="10">
        <f>IF($Y14="","",SUMPRODUCT(($D14:$W14=$D$2:$W$2)*($D14:$W14&lt;&gt;"")*$D$3:$W$3*($D$4:$W$4=Z$6)))</f>
        <v/>
      </c>
      <c r="AA14" s="10">
        <f>IF($Y14="","",SUMPRODUCT(($D14:$W14=$D$2:$W$2)*($D14:$W14&lt;&gt;"")*$D$3:$W$3*($D$4:$W$4=AA$6)))</f>
        <v/>
      </c>
      <c r="AB14" s="10">
        <f>IF($Y14="","",SUMPRODUCT(($D14:$W14=$D$2:$W$2)*($D14:$W14&lt;&gt;"")*$D$3:$W$3*($D$4:$W$4=AB$6)))</f>
        <v/>
      </c>
    </row>
    <row r="15">
      <c r="A15" s="5" t="n">
        <v>9</v>
      </c>
      <c r="B15" s="5">
        <f>IF('학생명단'!B15="","",'학생명단'!B15)</f>
        <v/>
      </c>
      <c r="C15" s="17">
        <f>IF('학생명단'!C15="","",'학생명단'!C15)</f>
        <v/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10">
        <f>IF(COUNTA(D15:W15)=0,"",SUMPRODUCT((D15:W15=$D$2:$W$2)*(D15:W15&lt;&gt;"")))</f>
        <v/>
      </c>
      <c r="Y15" s="26">
        <f>IF(COUNTA(D15:W15)=0,"",SUMPRODUCT((D15:W15=$D$2:$W$2)*(D15:W15&lt;&gt;"")*$D$3:$W$3))</f>
        <v/>
      </c>
      <c r="Z15" s="10">
        <f>IF($Y15="","",SUMPRODUCT(($D15:$W15=$D$2:$W$2)*($D15:$W15&lt;&gt;"")*$D$3:$W$3*($D$4:$W$4=Z$6)))</f>
        <v/>
      </c>
      <c r="AA15" s="10">
        <f>IF($Y15="","",SUMPRODUCT(($D15:$W15=$D$2:$W$2)*($D15:$W15&lt;&gt;"")*$D$3:$W$3*($D$4:$W$4=AA$6)))</f>
        <v/>
      </c>
      <c r="AB15" s="10">
        <f>IF($Y15="","",SUMPRODUCT(($D15:$W15=$D$2:$W$2)*($D15:$W15&lt;&gt;"")*$D$3:$W$3*($D$4:$W$4=AB$6)))</f>
        <v/>
      </c>
    </row>
    <row r="16">
      <c r="A16" s="5" t="n">
        <v>10</v>
      </c>
      <c r="B16" s="5">
        <f>IF('학생명단'!B16="","",'학생명단'!B16)</f>
        <v/>
      </c>
      <c r="C16" s="17">
        <f>IF('학생명단'!C16="","",'학생명단'!C16)</f>
        <v/>
      </c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10">
        <f>IF(COUNTA(D16:W16)=0,"",SUMPRODUCT((D16:W16=$D$2:$W$2)*(D16:W16&lt;&gt;"")))</f>
        <v/>
      </c>
      <c r="Y16" s="26">
        <f>IF(COUNTA(D16:W16)=0,"",SUMPRODUCT((D16:W16=$D$2:$W$2)*(D16:W16&lt;&gt;"")*$D$3:$W$3))</f>
        <v/>
      </c>
      <c r="Z16" s="10">
        <f>IF($Y16="","",SUMPRODUCT(($D16:$W16=$D$2:$W$2)*($D16:$W16&lt;&gt;"")*$D$3:$W$3*($D$4:$W$4=Z$6)))</f>
        <v/>
      </c>
      <c r="AA16" s="10">
        <f>IF($Y16="","",SUMPRODUCT(($D16:$W16=$D$2:$W$2)*($D16:$W16&lt;&gt;"")*$D$3:$W$3*($D$4:$W$4=AA$6)))</f>
        <v/>
      </c>
      <c r="AB16" s="10">
        <f>IF($Y16="","",SUMPRODUCT(($D16:$W16=$D$2:$W$2)*($D16:$W16&lt;&gt;"")*$D$3:$W$3*($D$4:$W$4=AB$6)))</f>
        <v/>
      </c>
    </row>
    <row r="17">
      <c r="A17" s="5" t="n">
        <v>11</v>
      </c>
      <c r="B17" s="5">
        <f>IF('학생명단'!B17="","",'학생명단'!B17)</f>
        <v/>
      </c>
      <c r="C17" s="17">
        <f>IF('학생명단'!C17="","",'학생명단'!C17)</f>
        <v/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7" t="n"/>
      <c r="S17" s="7" t="n"/>
      <c r="T17" s="7" t="n"/>
      <c r="U17" s="7" t="n"/>
      <c r="V17" s="7" t="n"/>
      <c r="W17" s="7" t="n"/>
      <c r="X17" s="10">
        <f>IF(COUNTA(D17:W17)=0,"",SUMPRODUCT((D17:W17=$D$2:$W$2)*(D17:W17&lt;&gt;"")))</f>
        <v/>
      </c>
      <c r="Y17" s="26">
        <f>IF(COUNTA(D17:W17)=0,"",SUMPRODUCT((D17:W17=$D$2:$W$2)*(D17:W17&lt;&gt;"")*$D$3:$W$3))</f>
        <v/>
      </c>
      <c r="Z17" s="10">
        <f>IF($Y17="","",SUMPRODUCT(($D17:$W17=$D$2:$W$2)*($D17:$W17&lt;&gt;"")*$D$3:$W$3*($D$4:$W$4=Z$6)))</f>
        <v/>
      </c>
      <c r="AA17" s="10">
        <f>IF($Y17="","",SUMPRODUCT(($D17:$W17=$D$2:$W$2)*($D17:$W17&lt;&gt;"")*$D$3:$W$3*($D$4:$W$4=AA$6)))</f>
        <v/>
      </c>
      <c r="AB17" s="10">
        <f>IF($Y17="","",SUMPRODUCT(($D17:$W17=$D$2:$W$2)*($D17:$W17&lt;&gt;"")*$D$3:$W$3*($D$4:$W$4=AB$6)))</f>
        <v/>
      </c>
    </row>
    <row r="18">
      <c r="A18" s="5" t="n">
        <v>12</v>
      </c>
      <c r="B18" s="5">
        <f>IF('학생명단'!B18="","",'학생명단'!B18)</f>
        <v/>
      </c>
      <c r="C18" s="17">
        <f>IF('학생명단'!C18="","",'학생명단'!C18)</f>
        <v/>
      </c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7" t="n"/>
      <c r="S18" s="7" t="n"/>
      <c r="T18" s="7" t="n"/>
      <c r="U18" s="7" t="n"/>
      <c r="V18" s="7" t="n"/>
      <c r="W18" s="7" t="n"/>
      <c r="X18" s="10">
        <f>IF(COUNTA(D18:W18)=0,"",SUMPRODUCT((D18:W18=$D$2:$W$2)*(D18:W18&lt;&gt;"")))</f>
        <v/>
      </c>
      <c r="Y18" s="26">
        <f>IF(COUNTA(D18:W18)=0,"",SUMPRODUCT((D18:W18=$D$2:$W$2)*(D18:W18&lt;&gt;"")*$D$3:$W$3))</f>
        <v/>
      </c>
      <c r="Z18" s="10">
        <f>IF($Y18="","",SUMPRODUCT(($D18:$W18=$D$2:$W$2)*($D18:$W18&lt;&gt;"")*$D$3:$W$3*($D$4:$W$4=Z$6)))</f>
        <v/>
      </c>
      <c r="AA18" s="10">
        <f>IF($Y18="","",SUMPRODUCT(($D18:$W18=$D$2:$W$2)*($D18:$W18&lt;&gt;"")*$D$3:$W$3*($D$4:$W$4=AA$6)))</f>
        <v/>
      </c>
      <c r="AB18" s="10">
        <f>IF($Y18="","",SUMPRODUCT(($D18:$W18=$D$2:$W$2)*($D18:$W18&lt;&gt;"")*$D$3:$W$3*($D$4:$W$4=AB$6)))</f>
        <v/>
      </c>
    </row>
    <row r="19">
      <c r="A19" s="5" t="n">
        <v>13</v>
      </c>
      <c r="B19" s="5">
        <f>IF('학생명단'!B19="","",'학생명단'!B19)</f>
        <v/>
      </c>
      <c r="C19" s="17">
        <f>IF('학생명단'!C19="","",'학생명단'!C19)</f>
        <v/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7" t="n"/>
      <c r="S19" s="7" t="n"/>
      <c r="T19" s="7" t="n"/>
      <c r="U19" s="7" t="n"/>
      <c r="V19" s="7" t="n"/>
      <c r="W19" s="7" t="n"/>
      <c r="X19" s="10">
        <f>IF(COUNTA(D19:W19)=0,"",SUMPRODUCT((D19:W19=$D$2:$W$2)*(D19:W19&lt;&gt;"")))</f>
        <v/>
      </c>
      <c r="Y19" s="26">
        <f>IF(COUNTA(D19:W19)=0,"",SUMPRODUCT((D19:W19=$D$2:$W$2)*(D19:W19&lt;&gt;"")*$D$3:$W$3))</f>
        <v/>
      </c>
      <c r="Z19" s="10">
        <f>IF($Y19="","",SUMPRODUCT(($D19:$W19=$D$2:$W$2)*($D19:$W19&lt;&gt;"")*$D$3:$W$3*($D$4:$W$4=Z$6)))</f>
        <v/>
      </c>
      <c r="AA19" s="10">
        <f>IF($Y19="","",SUMPRODUCT(($D19:$W19=$D$2:$W$2)*($D19:$W19&lt;&gt;"")*$D$3:$W$3*($D$4:$W$4=AA$6)))</f>
        <v/>
      </c>
      <c r="AB19" s="10">
        <f>IF($Y19="","",SUMPRODUCT(($D19:$W19=$D$2:$W$2)*($D19:$W19&lt;&gt;"")*$D$3:$W$3*($D$4:$W$4=AB$6)))</f>
        <v/>
      </c>
    </row>
    <row r="20">
      <c r="A20" s="5" t="n">
        <v>14</v>
      </c>
      <c r="B20" s="5">
        <f>IF('학생명단'!B20="","",'학생명단'!B20)</f>
        <v/>
      </c>
      <c r="C20" s="17">
        <f>IF('학생명단'!C20="","",'학생명단'!C20)</f>
        <v/>
      </c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10">
        <f>IF(COUNTA(D20:W20)=0,"",SUMPRODUCT((D20:W20=$D$2:$W$2)*(D20:W20&lt;&gt;"")))</f>
        <v/>
      </c>
      <c r="Y20" s="26">
        <f>IF(COUNTA(D20:W20)=0,"",SUMPRODUCT((D20:W20=$D$2:$W$2)*(D20:W20&lt;&gt;"")*$D$3:$W$3))</f>
        <v/>
      </c>
      <c r="Z20" s="10">
        <f>IF($Y20="","",SUMPRODUCT(($D20:$W20=$D$2:$W$2)*($D20:$W20&lt;&gt;"")*$D$3:$W$3*($D$4:$W$4=Z$6)))</f>
        <v/>
      </c>
      <c r="AA20" s="10">
        <f>IF($Y20="","",SUMPRODUCT(($D20:$W20=$D$2:$W$2)*($D20:$W20&lt;&gt;"")*$D$3:$W$3*($D$4:$W$4=AA$6)))</f>
        <v/>
      </c>
      <c r="AB20" s="10">
        <f>IF($Y20="","",SUMPRODUCT(($D20:$W20=$D$2:$W$2)*($D20:$W20&lt;&gt;"")*$D$3:$W$3*($D$4:$W$4=AB$6)))</f>
        <v/>
      </c>
    </row>
    <row r="21">
      <c r="A21" s="5" t="n">
        <v>15</v>
      </c>
      <c r="B21" s="5">
        <f>IF('학생명단'!B21="","",'학생명단'!B21)</f>
        <v/>
      </c>
      <c r="C21" s="17">
        <f>IF('학생명단'!C21="","",'학생명단'!C21)</f>
        <v/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7" t="n"/>
      <c r="S21" s="7" t="n"/>
      <c r="T21" s="7" t="n"/>
      <c r="U21" s="7" t="n"/>
      <c r="V21" s="7" t="n"/>
      <c r="W21" s="7" t="n"/>
      <c r="X21" s="10">
        <f>IF(COUNTA(D21:W21)=0,"",SUMPRODUCT((D21:W21=$D$2:$W$2)*(D21:W21&lt;&gt;"")))</f>
        <v/>
      </c>
      <c r="Y21" s="26">
        <f>IF(COUNTA(D21:W21)=0,"",SUMPRODUCT((D21:W21=$D$2:$W$2)*(D21:W21&lt;&gt;"")*$D$3:$W$3))</f>
        <v/>
      </c>
      <c r="Z21" s="10">
        <f>IF($Y21="","",SUMPRODUCT(($D21:$W21=$D$2:$W$2)*($D21:$W21&lt;&gt;"")*$D$3:$W$3*($D$4:$W$4=Z$6)))</f>
        <v/>
      </c>
      <c r="AA21" s="10">
        <f>IF($Y21="","",SUMPRODUCT(($D21:$W21=$D$2:$W$2)*($D21:$W21&lt;&gt;"")*$D$3:$W$3*($D$4:$W$4=AA$6)))</f>
        <v/>
      </c>
      <c r="AB21" s="10">
        <f>IF($Y21="","",SUMPRODUCT(($D21:$W21=$D$2:$W$2)*($D21:$W21&lt;&gt;"")*$D$3:$W$3*($D$4:$W$4=AB$6)))</f>
        <v/>
      </c>
    </row>
    <row r="22">
      <c r="A22" s="5" t="n">
        <v>16</v>
      </c>
      <c r="B22" s="5">
        <f>IF('학생명단'!B22="","",'학생명단'!B22)</f>
        <v/>
      </c>
      <c r="C22" s="17">
        <f>IF('학생명단'!C22="","",'학생명단'!C22)</f>
        <v/>
      </c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7" t="n"/>
      <c r="S22" s="7" t="n"/>
      <c r="T22" s="7" t="n"/>
      <c r="U22" s="7" t="n"/>
      <c r="V22" s="7" t="n"/>
      <c r="W22" s="7" t="n"/>
      <c r="X22" s="10">
        <f>IF(COUNTA(D22:W22)=0,"",SUMPRODUCT((D22:W22=$D$2:$W$2)*(D22:W22&lt;&gt;"")))</f>
        <v/>
      </c>
      <c r="Y22" s="26">
        <f>IF(COUNTA(D22:W22)=0,"",SUMPRODUCT((D22:W22=$D$2:$W$2)*(D22:W22&lt;&gt;"")*$D$3:$W$3))</f>
        <v/>
      </c>
      <c r="Z22" s="10">
        <f>IF($Y22="","",SUMPRODUCT(($D22:$W22=$D$2:$W$2)*($D22:$W22&lt;&gt;"")*$D$3:$W$3*($D$4:$W$4=Z$6)))</f>
        <v/>
      </c>
      <c r="AA22" s="10">
        <f>IF($Y22="","",SUMPRODUCT(($D22:$W22=$D$2:$W$2)*($D22:$W22&lt;&gt;"")*$D$3:$W$3*($D$4:$W$4=AA$6)))</f>
        <v/>
      </c>
      <c r="AB22" s="10">
        <f>IF($Y22="","",SUMPRODUCT(($D22:$W22=$D$2:$W$2)*($D22:$W22&lt;&gt;"")*$D$3:$W$3*($D$4:$W$4=AB$6)))</f>
        <v/>
      </c>
    </row>
    <row r="23">
      <c r="A23" s="5" t="n">
        <v>17</v>
      </c>
      <c r="B23" s="5">
        <f>IF('학생명단'!B23="","",'학생명단'!B23)</f>
        <v/>
      </c>
      <c r="C23" s="17">
        <f>IF('학생명단'!C23="","",'학생명단'!C23)</f>
        <v/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7" t="n"/>
      <c r="S23" s="7" t="n"/>
      <c r="T23" s="7" t="n"/>
      <c r="U23" s="7" t="n"/>
      <c r="V23" s="7" t="n"/>
      <c r="W23" s="7" t="n"/>
      <c r="X23" s="10">
        <f>IF(COUNTA(D23:W23)=0,"",SUMPRODUCT((D23:W23=$D$2:$W$2)*(D23:W23&lt;&gt;"")))</f>
        <v/>
      </c>
      <c r="Y23" s="26">
        <f>IF(COUNTA(D23:W23)=0,"",SUMPRODUCT((D23:W23=$D$2:$W$2)*(D23:W23&lt;&gt;"")*$D$3:$W$3))</f>
        <v/>
      </c>
      <c r="Z23" s="10">
        <f>IF($Y23="","",SUMPRODUCT(($D23:$W23=$D$2:$W$2)*($D23:$W23&lt;&gt;"")*$D$3:$W$3*($D$4:$W$4=Z$6)))</f>
        <v/>
      </c>
      <c r="AA23" s="10">
        <f>IF($Y23="","",SUMPRODUCT(($D23:$W23=$D$2:$W$2)*($D23:$W23&lt;&gt;"")*$D$3:$W$3*($D$4:$W$4=AA$6)))</f>
        <v/>
      </c>
      <c r="AB23" s="10">
        <f>IF($Y23="","",SUMPRODUCT(($D23:$W23=$D$2:$W$2)*($D23:$W23&lt;&gt;"")*$D$3:$W$3*($D$4:$W$4=AB$6)))</f>
        <v/>
      </c>
    </row>
    <row r="24">
      <c r="A24" s="5" t="n">
        <v>18</v>
      </c>
      <c r="B24" s="5">
        <f>IF('학생명단'!B24="","",'학생명단'!B24)</f>
        <v/>
      </c>
      <c r="C24" s="17">
        <f>IF('학생명단'!C24="","",'학생명단'!C24)</f>
        <v/>
      </c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10">
        <f>IF(COUNTA(D24:W24)=0,"",SUMPRODUCT((D24:W24=$D$2:$W$2)*(D24:W24&lt;&gt;"")))</f>
        <v/>
      </c>
      <c r="Y24" s="26">
        <f>IF(COUNTA(D24:W24)=0,"",SUMPRODUCT((D24:W24=$D$2:$W$2)*(D24:W24&lt;&gt;"")*$D$3:$W$3))</f>
        <v/>
      </c>
      <c r="Z24" s="10">
        <f>IF($Y24="","",SUMPRODUCT(($D24:$W24=$D$2:$W$2)*($D24:$W24&lt;&gt;"")*$D$3:$W$3*($D$4:$W$4=Z$6)))</f>
        <v/>
      </c>
      <c r="AA24" s="10">
        <f>IF($Y24="","",SUMPRODUCT(($D24:$W24=$D$2:$W$2)*($D24:$W24&lt;&gt;"")*$D$3:$W$3*($D$4:$W$4=AA$6)))</f>
        <v/>
      </c>
      <c r="AB24" s="10">
        <f>IF($Y24="","",SUMPRODUCT(($D24:$W24=$D$2:$W$2)*($D24:$W24&lt;&gt;"")*$D$3:$W$3*($D$4:$W$4=AB$6)))</f>
        <v/>
      </c>
    </row>
    <row r="25">
      <c r="A25" s="5" t="n">
        <v>19</v>
      </c>
      <c r="B25" s="5">
        <f>IF('학생명단'!B25="","",'학생명단'!B25)</f>
        <v/>
      </c>
      <c r="C25" s="17">
        <f>IF('학생명단'!C25="","",'학생명단'!C25)</f>
        <v/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10">
        <f>IF(COUNTA(D25:W25)=0,"",SUMPRODUCT((D25:W25=$D$2:$W$2)*(D25:W25&lt;&gt;"")))</f>
        <v/>
      </c>
      <c r="Y25" s="26">
        <f>IF(COUNTA(D25:W25)=0,"",SUMPRODUCT((D25:W25=$D$2:$W$2)*(D25:W25&lt;&gt;"")*$D$3:$W$3))</f>
        <v/>
      </c>
      <c r="Z25" s="10">
        <f>IF($Y25="","",SUMPRODUCT(($D25:$W25=$D$2:$W$2)*($D25:$W25&lt;&gt;"")*$D$3:$W$3*($D$4:$W$4=Z$6)))</f>
        <v/>
      </c>
      <c r="AA25" s="10">
        <f>IF($Y25="","",SUMPRODUCT(($D25:$W25=$D$2:$W$2)*($D25:$W25&lt;&gt;"")*$D$3:$W$3*($D$4:$W$4=AA$6)))</f>
        <v/>
      </c>
      <c r="AB25" s="10">
        <f>IF($Y25="","",SUMPRODUCT(($D25:$W25=$D$2:$W$2)*($D25:$W25&lt;&gt;"")*$D$3:$W$3*($D$4:$W$4=AB$6)))</f>
        <v/>
      </c>
    </row>
    <row r="26">
      <c r="A26" s="5" t="n">
        <v>20</v>
      </c>
      <c r="B26" s="5">
        <f>IF('학생명단'!B26="","",'학생명단'!B26)</f>
        <v/>
      </c>
      <c r="C26" s="17">
        <f>IF('학생명단'!C26="","",'학생명단'!C26)</f>
        <v/>
      </c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7" t="n"/>
      <c r="S26" s="7" t="n"/>
      <c r="T26" s="7" t="n"/>
      <c r="U26" s="7" t="n"/>
      <c r="V26" s="7" t="n"/>
      <c r="W26" s="7" t="n"/>
      <c r="X26" s="10">
        <f>IF(COUNTA(D26:W26)=0,"",SUMPRODUCT((D26:W26=$D$2:$W$2)*(D26:W26&lt;&gt;"")))</f>
        <v/>
      </c>
      <c r="Y26" s="26">
        <f>IF(COUNTA(D26:W26)=0,"",SUMPRODUCT((D26:W26=$D$2:$W$2)*(D26:W26&lt;&gt;"")*$D$3:$W$3))</f>
        <v/>
      </c>
      <c r="Z26" s="10">
        <f>IF($Y26="","",SUMPRODUCT(($D26:$W26=$D$2:$W$2)*($D26:$W26&lt;&gt;"")*$D$3:$W$3*($D$4:$W$4=Z$6)))</f>
        <v/>
      </c>
      <c r="AA26" s="10">
        <f>IF($Y26="","",SUMPRODUCT(($D26:$W26=$D$2:$W$2)*($D26:$W26&lt;&gt;"")*$D$3:$W$3*($D$4:$W$4=AA$6)))</f>
        <v/>
      </c>
      <c r="AB26" s="10">
        <f>IF($Y26="","",SUMPRODUCT(($D26:$W26=$D$2:$W$2)*($D26:$W26&lt;&gt;"")*$D$3:$W$3*($D$4:$W$4=AB$6)))</f>
        <v/>
      </c>
    </row>
    <row r="27">
      <c r="A27" s="5" t="n">
        <v>21</v>
      </c>
      <c r="B27" s="5">
        <f>IF('학생명단'!B27="","",'학생명단'!B27)</f>
        <v/>
      </c>
      <c r="C27" s="17">
        <f>IF('학생명단'!C27="","",'학생명단'!C27)</f>
        <v/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7" t="n"/>
      <c r="S27" s="7" t="n"/>
      <c r="T27" s="7" t="n"/>
      <c r="U27" s="7" t="n"/>
      <c r="V27" s="7" t="n"/>
      <c r="W27" s="7" t="n"/>
      <c r="X27" s="10">
        <f>IF(COUNTA(D27:W27)=0,"",SUMPRODUCT((D27:W27=$D$2:$W$2)*(D27:W27&lt;&gt;"")))</f>
        <v/>
      </c>
      <c r="Y27" s="26">
        <f>IF(COUNTA(D27:W27)=0,"",SUMPRODUCT((D27:W27=$D$2:$W$2)*(D27:W27&lt;&gt;"")*$D$3:$W$3))</f>
        <v/>
      </c>
      <c r="Z27" s="10">
        <f>IF($Y27="","",SUMPRODUCT(($D27:$W27=$D$2:$W$2)*($D27:$W27&lt;&gt;"")*$D$3:$W$3*($D$4:$W$4=Z$6)))</f>
        <v/>
      </c>
      <c r="AA27" s="10">
        <f>IF($Y27="","",SUMPRODUCT(($D27:$W27=$D$2:$W$2)*($D27:$W27&lt;&gt;"")*$D$3:$W$3*($D$4:$W$4=AA$6)))</f>
        <v/>
      </c>
      <c r="AB27" s="10">
        <f>IF($Y27="","",SUMPRODUCT(($D27:$W27=$D$2:$W$2)*($D27:$W27&lt;&gt;"")*$D$3:$W$3*($D$4:$W$4=AB$6)))</f>
        <v/>
      </c>
    </row>
    <row r="28">
      <c r="A28" s="5" t="n">
        <v>22</v>
      </c>
      <c r="B28" s="5">
        <f>IF('학생명단'!B28="","",'학생명단'!B28)</f>
        <v/>
      </c>
      <c r="C28" s="17">
        <f>IF('학생명단'!C28="","",'학생명단'!C28)</f>
        <v/>
      </c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10">
        <f>IF(COUNTA(D28:W28)=0,"",SUMPRODUCT((D28:W28=$D$2:$W$2)*(D28:W28&lt;&gt;"")))</f>
        <v/>
      </c>
      <c r="Y28" s="26">
        <f>IF(COUNTA(D28:W28)=0,"",SUMPRODUCT((D28:W28=$D$2:$W$2)*(D28:W28&lt;&gt;"")*$D$3:$W$3))</f>
        <v/>
      </c>
      <c r="Z28" s="10">
        <f>IF($Y28="","",SUMPRODUCT(($D28:$W28=$D$2:$W$2)*($D28:$W28&lt;&gt;"")*$D$3:$W$3*($D$4:$W$4=Z$6)))</f>
        <v/>
      </c>
      <c r="AA28" s="10">
        <f>IF($Y28="","",SUMPRODUCT(($D28:$W28=$D$2:$W$2)*($D28:$W28&lt;&gt;"")*$D$3:$W$3*($D$4:$W$4=AA$6)))</f>
        <v/>
      </c>
      <c r="AB28" s="10">
        <f>IF($Y28="","",SUMPRODUCT(($D28:$W28=$D$2:$W$2)*($D28:$W28&lt;&gt;"")*$D$3:$W$3*($D$4:$W$4=AB$6)))</f>
        <v/>
      </c>
    </row>
    <row r="29">
      <c r="A29" s="5" t="n">
        <v>23</v>
      </c>
      <c r="B29" s="5">
        <f>IF('학생명단'!B29="","",'학생명단'!B29)</f>
        <v/>
      </c>
      <c r="C29" s="17">
        <f>IF('학생명단'!C29="","",'학생명단'!C29)</f>
        <v/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7" t="n"/>
      <c r="S29" s="7" t="n"/>
      <c r="T29" s="7" t="n"/>
      <c r="U29" s="7" t="n"/>
      <c r="V29" s="7" t="n"/>
      <c r="W29" s="7" t="n"/>
      <c r="X29" s="10">
        <f>IF(COUNTA(D29:W29)=0,"",SUMPRODUCT((D29:W29=$D$2:$W$2)*(D29:W29&lt;&gt;"")))</f>
        <v/>
      </c>
      <c r="Y29" s="26">
        <f>IF(COUNTA(D29:W29)=0,"",SUMPRODUCT((D29:W29=$D$2:$W$2)*(D29:W29&lt;&gt;"")*$D$3:$W$3))</f>
        <v/>
      </c>
      <c r="Z29" s="10">
        <f>IF($Y29="","",SUMPRODUCT(($D29:$W29=$D$2:$W$2)*($D29:$W29&lt;&gt;"")*$D$3:$W$3*($D$4:$W$4=Z$6)))</f>
        <v/>
      </c>
      <c r="AA29" s="10">
        <f>IF($Y29="","",SUMPRODUCT(($D29:$W29=$D$2:$W$2)*($D29:$W29&lt;&gt;"")*$D$3:$W$3*($D$4:$W$4=AA$6)))</f>
        <v/>
      </c>
      <c r="AB29" s="10">
        <f>IF($Y29="","",SUMPRODUCT(($D29:$W29=$D$2:$W$2)*($D29:$W29&lt;&gt;"")*$D$3:$W$3*($D$4:$W$4=AB$6)))</f>
        <v/>
      </c>
    </row>
    <row r="30">
      <c r="A30" s="5" t="n">
        <v>24</v>
      </c>
      <c r="B30" s="5">
        <f>IF('학생명단'!B30="","",'학생명단'!B30)</f>
        <v/>
      </c>
      <c r="C30" s="17">
        <f>IF('학생명단'!C30="","",'학생명단'!C30)</f>
        <v/>
      </c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7" t="n"/>
      <c r="S30" s="7" t="n"/>
      <c r="T30" s="7" t="n"/>
      <c r="U30" s="7" t="n"/>
      <c r="V30" s="7" t="n"/>
      <c r="W30" s="7" t="n"/>
      <c r="X30" s="10">
        <f>IF(COUNTA(D30:W30)=0,"",SUMPRODUCT((D30:W30=$D$2:$W$2)*(D30:W30&lt;&gt;"")))</f>
        <v/>
      </c>
      <c r="Y30" s="26">
        <f>IF(COUNTA(D30:W30)=0,"",SUMPRODUCT((D30:W30=$D$2:$W$2)*(D30:W30&lt;&gt;"")*$D$3:$W$3))</f>
        <v/>
      </c>
      <c r="Z30" s="10">
        <f>IF($Y30="","",SUMPRODUCT(($D30:$W30=$D$2:$W$2)*($D30:$W30&lt;&gt;"")*$D$3:$W$3*($D$4:$W$4=Z$6)))</f>
        <v/>
      </c>
      <c r="AA30" s="10">
        <f>IF($Y30="","",SUMPRODUCT(($D30:$W30=$D$2:$W$2)*($D30:$W30&lt;&gt;"")*$D$3:$W$3*($D$4:$W$4=AA$6)))</f>
        <v/>
      </c>
      <c r="AB30" s="10">
        <f>IF($Y30="","",SUMPRODUCT(($D30:$W30=$D$2:$W$2)*($D30:$W30&lt;&gt;"")*$D$3:$W$3*($D$4:$W$4=AB$6)))</f>
        <v/>
      </c>
    </row>
    <row r="31">
      <c r="A31" s="5" t="n">
        <v>25</v>
      </c>
      <c r="B31" s="5">
        <f>IF('학생명단'!B31="","",'학생명단'!B31)</f>
        <v/>
      </c>
      <c r="C31" s="17">
        <f>IF('학생명단'!C31="","",'학생명단'!C31)</f>
        <v/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7" t="n"/>
      <c r="S31" s="7" t="n"/>
      <c r="T31" s="7" t="n"/>
      <c r="U31" s="7" t="n"/>
      <c r="V31" s="7" t="n"/>
      <c r="W31" s="7" t="n"/>
      <c r="X31" s="10">
        <f>IF(COUNTA(D31:W31)=0,"",SUMPRODUCT((D31:W31=$D$2:$W$2)*(D31:W31&lt;&gt;"")))</f>
        <v/>
      </c>
      <c r="Y31" s="26">
        <f>IF(COUNTA(D31:W31)=0,"",SUMPRODUCT((D31:W31=$D$2:$W$2)*(D31:W31&lt;&gt;"")*$D$3:$W$3))</f>
        <v/>
      </c>
      <c r="Z31" s="10">
        <f>IF($Y31="","",SUMPRODUCT(($D31:$W31=$D$2:$W$2)*($D31:$W31&lt;&gt;"")*$D$3:$W$3*($D$4:$W$4=Z$6)))</f>
        <v/>
      </c>
      <c r="AA31" s="10">
        <f>IF($Y31="","",SUMPRODUCT(($D31:$W31=$D$2:$W$2)*($D31:$W31&lt;&gt;"")*$D$3:$W$3*($D$4:$W$4=AA$6)))</f>
        <v/>
      </c>
      <c r="AB31" s="10">
        <f>IF($Y31="","",SUMPRODUCT(($D31:$W31=$D$2:$W$2)*($D31:$W31&lt;&gt;"")*$D$3:$W$3*($D$4:$W$4=AB$6)))</f>
        <v/>
      </c>
    </row>
    <row r="32">
      <c r="A32" s="5" t="n">
        <v>26</v>
      </c>
      <c r="B32" s="5">
        <f>IF('학생명단'!B32="","",'학생명단'!B32)</f>
        <v/>
      </c>
      <c r="C32" s="17">
        <f>IF('학생명단'!C32="","",'학생명단'!C32)</f>
        <v/>
      </c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7" t="n"/>
      <c r="S32" s="7" t="n"/>
      <c r="T32" s="7" t="n"/>
      <c r="U32" s="7" t="n"/>
      <c r="V32" s="7" t="n"/>
      <c r="W32" s="7" t="n"/>
      <c r="X32" s="10">
        <f>IF(COUNTA(D32:W32)=0,"",SUMPRODUCT((D32:W32=$D$2:$W$2)*(D32:W32&lt;&gt;"")))</f>
        <v/>
      </c>
      <c r="Y32" s="26">
        <f>IF(COUNTA(D32:W32)=0,"",SUMPRODUCT((D32:W32=$D$2:$W$2)*(D32:W32&lt;&gt;"")*$D$3:$W$3))</f>
        <v/>
      </c>
      <c r="Z32" s="10">
        <f>IF($Y32="","",SUMPRODUCT(($D32:$W32=$D$2:$W$2)*($D32:$W32&lt;&gt;"")*$D$3:$W$3*($D$4:$W$4=Z$6)))</f>
        <v/>
      </c>
      <c r="AA32" s="10">
        <f>IF($Y32="","",SUMPRODUCT(($D32:$W32=$D$2:$W$2)*($D32:$W32&lt;&gt;"")*$D$3:$W$3*($D$4:$W$4=AA$6)))</f>
        <v/>
      </c>
      <c r="AB32" s="10">
        <f>IF($Y32="","",SUMPRODUCT(($D32:$W32=$D$2:$W$2)*($D32:$W32&lt;&gt;"")*$D$3:$W$3*($D$4:$W$4=AB$6)))</f>
        <v/>
      </c>
    </row>
    <row r="33">
      <c r="A33" s="5" t="n">
        <v>27</v>
      </c>
      <c r="B33" s="5">
        <f>IF('학생명단'!B33="","",'학생명단'!B33)</f>
        <v/>
      </c>
      <c r="C33" s="17">
        <f>IF('학생명단'!C33="","",'학생명단'!C33)</f>
        <v/>
      </c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10">
        <f>IF(COUNTA(D33:W33)=0,"",SUMPRODUCT((D33:W33=$D$2:$W$2)*(D33:W33&lt;&gt;"")))</f>
        <v/>
      </c>
      <c r="Y33" s="26">
        <f>IF(COUNTA(D33:W33)=0,"",SUMPRODUCT((D33:W33=$D$2:$W$2)*(D33:W33&lt;&gt;"")*$D$3:$W$3))</f>
        <v/>
      </c>
      <c r="Z33" s="10">
        <f>IF($Y33="","",SUMPRODUCT(($D33:$W33=$D$2:$W$2)*($D33:$W33&lt;&gt;"")*$D$3:$W$3*($D$4:$W$4=Z$6)))</f>
        <v/>
      </c>
      <c r="AA33" s="10">
        <f>IF($Y33="","",SUMPRODUCT(($D33:$W33=$D$2:$W$2)*($D33:$W33&lt;&gt;"")*$D$3:$W$3*($D$4:$W$4=AA$6)))</f>
        <v/>
      </c>
      <c r="AB33" s="10">
        <f>IF($Y33="","",SUMPRODUCT(($D33:$W33=$D$2:$W$2)*($D33:$W33&lt;&gt;"")*$D$3:$W$3*($D$4:$W$4=AB$6)))</f>
        <v/>
      </c>
    </row>
    <row r="34">
      <c r="A34" s="5" t="n">
        <v>28</v>
      </c>
      <c r="B34" s="5">
        <f>IF('학생명단'!B34="","",'학생명단'!B34)</f>
        <v/>
      </c>
      <c r="C34" s="17">
        <f>IF('학생명단'!C34="","",'학생명단'!C34)</f>
        <v/>
      </c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10">
        <f>IF(COUNTA(D34:W34)=0,"",SUMPRODUCT((D34:W34=$D$2:$W$2)*(D34:W34&lt;&gt;"")))</f>
        <v/>
      </c>
      <c r="Y34" s="26">
        <f>IF(COUNTA(D34:W34)=0,"",SUMPRODUCT((D34:W34=$D$2:$W$2)*(D34:W34&lt;&gt;"")*$D$3:$W$3))</f>
        <v/>
      </c>
      <c r="Z34" s="10">
        <f>IF($Y34="","",SUMPRODUCT(($D34:$W34=$D$2:$W$2)*($D34:$W34&lt;&gt;"")*$D$3:$W$3*($D$4:$W$4=Z$6)))</f>
        <v/>
      </c>
      <c r="AA34" s="10">
        <f>IF($Y34="","",SUMPRODUCT(($D34:$W34=$D$2:$W$2)*($D34:$W34&lt;&gt;"")*$D$3:$W$3*($D$4:$W$4=AA$6)))</f>
        <v/>
      </c>
      <c r="AB34" s="10">
        <f>IF($Y34="","",SUMPRODUCT(($D34:$W34=$D$2:$W$2)*($D34:$W34&lt;&gt;"")*$D$3:$W$3*($D$4:$W$4=AB$6)))</f>
        <v/>
      </c>
    </row>
    <row r="35">
      <c r="A35" s="5" t="n">
        <v>29</v>
      </c>
      <c r="B35" s="5">
        <f>IF('학생명단'!B35="","",'학생명단'!B35)</f>
        <v/>
      </c>
      <c r="C35" s="17">
        <f>IF('학생명단'!C35="","",'학생명단'!C35)</f>
        <v/>
      </c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10">
        <f>IF(COUNTA(D35:W35)=0,"",SUMPRODUCT((D35:W35=$D$2:$W$2)*(D35:W35&lt;&gt;"")))</f>
        <v/>
      </c>
      <c r="Y35" s="26">
        <f>IF(COUNTA(D35:W35)=0,"",SUMPRODUCT((D35:W35=$D$2:$W$2)*(D35:W35&lt;&gt;"")*$D$3:$W$3))</f>
        <v/>
      </c>
      <c r="Z35" s="10">
        <f>IF($Y35="","",SUMPRODUCT(($D35:$W35=$D$2:$W$2)*($D35:$W35&lt;&gt;"")*$D$3:$W$3*($D$4:$W$4=Z$6)))</f>
        <v/>
      </c>
      <c r="AA35" s="10">
        <f>IF($Y35="","",SUMPRODUCT(($D35:$W35=$D$2:$W$2)*($D35:$W35&lt;&gt;"")*$D$3:$W$3*($D$4:$W$4=AA$6)))</f>
        <v/>
      </c>
      <c r="AB35" s="10">
        <f>IF($Y35="","",SUMPRODUCT(($D35:$W35=$D$2:$W$2)*($D35:$W35&lt;&gt;"")*$D$3:$W$3*($D$4:$W$4=AB$6)))</f>
        <v/>
      </c>
    </row>
    <row r="36">
      <c r="A36" s="5" t="n">
        <v>30</v>
      </c>
      <c r="B36" s="5">
        <f>IF('학생명단'!B36="","",'학생명단'!B36)</f>
        <v/>
      </c>
      <c r="C36" s="17">
        <f>IF('학생명단'!C36="","",'학생명단'!C36)</f>
        <v/>
      </c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10">
        <f>IF(COUNTA(D36:W36)=0,"",SUMPRODUCT((D36:W36=$D$2:$W$2)*(D36:W36&lt;&gt;"")))</f>
        <v/>
      </c>
      <c r="Y36" s="26">
        <f>IF(COUNTA(D36:W36)=0,"",SUMPRODUCT((D36:W36=$D$2:$W$2)*(D36:W36&lt;&gt;"")*$D$3:$W$3))</f>
        <v/>
      </c>
      <c r="Z36" s="10">
        <f>IF($Y36="","",SUMPRODUCT(($D36:$W36=$D$2:$W$2)*($D36:$W36&lt;&gt;"")*$D$3:$W$3*($D$4:$W$4=Z$6)))</f>
        <v/>
      </c>
      <c r="AA36" s="10">
        <f>IF($Y36="","",SUMPRODUCT(($D36:$W36=$D$2:$W$2)*($D36:$W36&lt;&gt;"")*$D$3:$W$3*($D$4:$W$4=AA$6)))</f>
        <v/>
      </c>
      <c r="AB36" s="10">
        <f>IF($Y36="","",SUMPRODUCT(($D36:$W36=$D$2:$W$2)*($D36:$W36&lt;&gt;"")*$D$3:$W$3*($D$4:$W$4=AB$6)))</f>
        <v/>
      </c>
    </row>
    <row r="37">
      <c r="A37" s="5" t="n">
        <v>31</v>
      </c>
      <c r="B37" s="5">
        <f>IF('학생명단'!B37="","",'학생명단'!B37)</f>
        <v/>
      </c>
      <c r="C37" s="17">
        <f>IF('학생명단'!C37="","",'학생명단'!C37)</f>
        <v/>
      </c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10">
        <f>IF(COUNTA(D37:W37)=0,"",SUMPRODUCT((D37:W37=$D$2:$W$2)*(D37:W37&lt;&gt;"")))</f>
        <v/>
      </c>
      <c r="Y37" s="26">
        <f>IF(COUNTA(D37:W37)=0,"",SUMPRODUCT((D37:W37=$D$2:$W$2)*(D37:W37&lt;&gt;"")*$D$3:$W$3))</f>
        <v/>
      </c>
      <c r="Z37" s="10">
        <f>IF($Y37="","",SUMPRODUCT(($D37:$W37=$D$2:$W$2)*($D37:$W37&lt;&gt;"")*$D$3:$W$3*($D$4:$W$4=Z$6)))</f>
        <v/>
      </c>
      <c r="AA37" s="10">
        <f>IF($Y37="","",SUMPRODUCT(($D37:$W37=$D$2:$W$2)*($D37:$W37&lt;&gt;"")*$D$3:$W$3*($D$4:$W$4=AA$6)))</f>
        <v/>
      </c>
      <c r="AB37" s="10">
        <f>IF($Y37="","",SUMPRODUCT(($D37:$W37=$D$2:$W$2)*($D37:$W37&lt;&gt;"")*$D$3:$W$3*($D$4:$W$4=AB$6)))</f>
        <v/>
      </c>
    </row>
    <row r="38">
      <c r="A38" s="5" t="n">
        <v>32</v>
      </c>
      <c r="B38" s="5">
        <f>IF('학생명단'!B38="","",'학생명단'!B38)</f>
        <v/>
      </c>
      <c r="C38" s="17">
        <f>IF('학생명단'!C38="","",'학생명단'!C38)</f>
        <v/>
      </c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7" t="n"/>
      <c r="S38" s="7" t="n"/>
      <c r="T38" s="7" t="n"/>
      <c r="U38" s="7" t="n"/>
      <c r="V38" s="7" t="n"/>
      <c r="W38" s="7" t="n"/>
      <c r="X38" s="10">
        <f>IF(COUNTA(D38:W38)=0,"",SUMPRODUCT((D38:W38=$D$2:$W$2)*(D38:W38&lt;&gt;"")))</f>
        <v/>
      </c>
      <c r="Y38" s="26">
        <f>IF(COUNTA(D38:W38)=0,"",SUMPRODUCT((D38:W38=$D$2:$W$2)*(D38:W38&lt;&gt;"")*$D$3:$W$3))</f>
        <v/>
      </c>
      <c r="Z38" s="10">
        <f>IF($Y38="","",SUMPRODUCT(($D38:$W38=$D$2:$W$2)*($D38:$W38&lt;&gt;"")*$D$3:$W$3*($D$4:$W$4=Z$6)))</f>
        <v/>
      </c>
      <c r="AA38" s="10">
        <f>IF($Y38="","",SUMPRODUCT(($D38:$W38=$D$2:$W$2)*($D38:$W38&lt;&gt;"")*$D$3:$W$3*($D$4:$W$4=AA$6)))</f>
        <v/>
      </c>
      <c r="AB38" s="10">
        <f>IF($Y38="","",SUMPRODUCT(($D38:$W38=$D$2:$W$2)*($D38:$W38&lt;&gt;"")*$D$3:$W$3*($D$4:$W$4=AB$6)))</f>
        <v/>
      </c>
    </row>
    <row r="39">
      <c r="A39" s="5" t="n">
        <v>33</v>
      </c>
      <c r="B39" s="5">
        <f>IF('학생명단'!B39="","",'학생명단'!B39)</f>
        <v/>
      </c>
      <c r="C39" s="17">
        <f>IF('학생명단'!C39="","",'학생명단'!C39)</f>
        <v/>
      </c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10">
        <f>IF(COUNTA(D39:W39)=0,"",SUMPRODUCT((D39:W39=$D$2:$W$2)*(D39:W39&lt;&gt;"")))</f>
        <v/>
      </c>
      <c r="Y39" s="26">
        <f>IF(COUNTA(D39:W39)=0,"",SUMPRODUCT((D39:W39=$D$2:$W$2)*(D39:W39&lt;&gt;"")*$D$3:$W$3))</f>
        <v/>
      </c>
      <c r="Z39" s="10">
        <f>IF($Y39="","",SUMPRODUCT(($D39:$W39=$D$2:$W$2)*($D39:$W39&lt;&gt;"")*$D$3:$W$3*($D$4:$W$4=Z$6)))</f>
        <v/>
      </c>
      <c r="AA39" s="10">
        <f>IF($Y39="","",SUMPRODUCT(($D39:$W39=$D$2:$W$2)*($D39:$W39&lt;&gt;"")*$D$3:$W$3*($D$4:$W$4=AA$6)))</f>
        <v/>
      </c>
      <c r="AB39" s="10">
        <f>IF($Y39="","",SUMPRODUCT(($D39:$W39=$D$2:$W$2)*($D39:$W39&lt;&gt;"")*$D$3:$W$3*($D$4:$W$4=AB$6)))</f>
        <v/>
      </c>
    </row>
    <row r="40">
      <c r="A40" s="5" t="n">
        <v>34</v>
      </c>
      <c r="B40" s="5">
        <f>IF('학생명단'!B40="","",'학생명단'!B40)</f>
        <v/>
      </c>
      <c r="C40" s="17">
        <f>IF('학생명단'!C40="","",'학생명단'!C40)</f>
        <v/>
      </c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10">
        <f>IF(COUNTA(D40:W40)=0,"",SUMPRODUCT((D40:W40=$D$2:$W$2)*(D40:W40&lt;&gt;"")))</f>
        <v/>
      </c>
      <c r="Y40" s="26">
        <f>IF(COUNTA(D40:W40)=0,"",SUMPRODUCT((D40:W40=$D$2:$W$2)*(D40:W40&lt;&gt;"")*$D$3:$W$3))</f>
        <v/>
      </c>
      <c r="Z40" s="10">
        <f>IF($Y40="","",SUMPRODUCT(($D40:$W40=$D$2:$W$2)*($D40:$W40&lt;&gt;"")*$D$3:$W$3*($D$4:$W$4=Z$6)))</f>
        <v/>
      </c>
      <c r="AA40" s="10">
        <f>IF($Y40="","",SUMPRODUCT(($D40:$W40=$D$2:$W$2)*($D40:$W40&lt;&gt;"")*$D$3:$W$3*($D$4:$W$4=AA$6)))</f>
        <v/>
      </c>
      <c r="AB40" s="10">
        <f>IF($Y40="","",SUMPRODUCT(($D40:$W40=$D$2:$W$2)*($D40:$W40&lt;&gt;"")*$D$3:$W$3*($D$4:$W$4=AB$6)))</f>
        <v/>
      </c>
    </row>
    <row r="41">
      <c r="A41" s="5" t="n">
        <v>35</v>
      </c>
      <c r="B41" s="5">
        <f>IF('학생명단'!B41="","",'학생명단'!B41)</f>
        <v/>
      </c>
      <c r="C41" s="17">
        <f>IF('학생명단'!C41="","",'학생명단'!C41)</f>
        <v/>
      </c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10">
        <f>IF(COUNTA(D41:W41)=0,"",SUMPRODUCT((D41:W41=$D$2:$W$2)*(D41:W41&lt;&gt;"")))</f>
        <v/>
      </c>
      <c r="Y41" s="26">
        <f>IF(COUNTA(D41:W41)=0,"",SUMPRODUCT((D41:W41=$D$2:$W$2)*(D41:W41&lt;&gt;"")*$D$3:$W$3))</f>
        <v/>
      </c>
      <c r="Z41" s="10">
        <f>IF($Y41="","",SUMPRODUCT(($D41:$W41=$D$2:$W$2)*($D41:$W41&lt;&gt;"")*$D$3:$W$3*($D$4:$W$4=Z$6)))</f>
        <v/>
      </c>
      <c r="AA41" s="10">
        <f>IF($Y41="","",SUMPRODUCT(($D41:$W41=$D$2:$W$2)*($D41:$W41&lt;&gt;"")*$D$3:$W$3*($D$4:$W$4=AA$6)))</f>
        <v/>
      </c>
      <c r="AB41" s="10">
        <f>IF($Y41="","",SUMPRODUCT(($D41:$W41=$D$2:$W$2)*($D41:$W41&lt;&gt;"")*$D$3:$W$3*($D$4:$W$4=AB$6)))</f>
        <v/>
      </c>
    </row>
    <row r="42">
      <c r="A42" s="5" t="n">
        <v>36</v>
      </c>
      <c r="B42" s="5">
        <f>IF('학생명단'!B42="","",'학생명단'!B42)</f>
        <v/>
      </c>
      <c r="C42" s="17">
        <f>IF('학생명단'!C42="","",'학생명단'!C42)</f>
        <v/>
      </c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10">
        <f>IF(COUNTA(D42:W42)=0,"",SUMPRODUCT((D42:W42=$D$2:$W$2)*(D42:W42&lt;&gt;"")))</f>
        <v/>
      </c>
      <c r="Y42" s="26">
        <f>IF(COUNTA(D42:W42)=0,"",SUMPRODUCT((D42:W42=$D$2:$W$2)*(D42:W42&lt;&gt;"")*$D$3:$W$3))</f>
        <v/>
      </c>
      <c r="Z42" s="10">
        <f>IF($Y42="","",SUMPRODUCT(($D42:$W42=$D$2:$W$2)*($D42:$W42&lt;&gt;"")*$D$3:$W$3*($D$4:$W$4=Z$6)))</f>
        <v/>
      </c>
      <c r="AA42" s="10">
        <f>IF($Y42="","",SUMPRODUCT(($D42:$W42=$D$2:$W$2)*($D42:$W42&lt;&gt;"")*$D$3:$W$3*($D$4:$W$4=AA$6)))</f>
        <v/>
      </c>
      <c r="AB42" s="10">
        <f>IF($Y42="","",SUMPRODUCT(($D42:$W42=$D$2:$W$2)*($D42:$W42&lt;&gt;"")*$D$3:$W$3*($D$4:$W$4=AB$6)))</f>
        <v/>
      </c>
    </row>
    <row r="43">
      <c r="A43" s="5" t="n">
        <v>37</v>
      </c>
      <c r="B43" s="5">
        <f>IF('학생명단'!B43="","",'학생명단'!B43)</f>
        <v/>
      </c>
      <c r="C43" s="17">
        <f>IF('학생명단'!C43="","",'학생명단'!C43)</f>
        <v/>
      </c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10">
        <f>IF(COUNTA(D43:W43)=0,"",SUMPRODUCT((D43:W43=$D$2:$W$2)*(D43:W43&lt;&gt;"")))</f>
        <v/>
      </c>
      <c r="Y43" s="26">
        <f>IF(COUNTA(D43:W43)=0,"",SUMPRODUCT((D43:W43=$D$2:$W$2)*(D43:W43&lt;&gt;"")*$D$3:$W$3))</f>
        <v/>
      </c>
      <c r="Z43" s="10">
        <f>IF($Y43="","",SUMPRODUCT(($D43:$W43=$D$2:$W$2)*($D43:$W43&lt;&gt;"")*$D$3:$W$3*($D$4:$W$4=Z$6)))</f>
        <v/>
      </c>
      <c r="AA43" s="10">
        <f>IF($Y43="","",SUMPRODUCT(($D43:$W43=$D$2:$W$2)*($D43:$W43&lt;&gt;"")*$D$3:$W$3*($D$4:$W$4=AA$6)))</f>
        <v/>
      </c>
      <c r="AB43" s="10">
        <f>IF($Y43="","",SUMPRODUCT(($D43:$W43=$D$2:$W$2)*($D43:$W43&lt;&gt;"")*$D$3:$W$3*($D$4:$W$4=AB$6)))</f>
        <v/>
      </c>
    </row>
    <row r="44">
      <c r="A44" s="5" t="n">
        <v>38</v>
      </c>
      <c r="B44" s="5">
        <f>IF('학생명단'!B44="","",'학생명단'!B44)</f>
        <v/>
      </c>
      <c r="C44" s="17">
        <f>IF('학생명단'!C44="","",'학생명단'!C44)</f>
        <v/>
      </c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10">
        <f>IF(COUNTA(D44:W44)=0,"",SUMPRODUCT((D44:W44=$D$2:$W$2)*(D44:W44&lt;&gt;"")))</f>
        <v/>
      </c>
      <c r="Y44" s="26">
        <f>IF(COUNTA(D44:W44)=0,"",SUMPRODUCT((D44:W44=$D$2:$W$2)*(D44:W44&lt;&gt;"")*$D$3:$W$3))</f>
        <v/>
      </c>
      <c r="Z44" s="10">
        <f>IF($Y44="","",SUMPRODUCT(($D44:$W44=$D$2:$W$2)*($D44:$W44&lt;&gt;"")*$D$3:$W$3*($D$4:$W$4=Z$6)))</f>
        <v/>
      </c>
      <c r="AA44" s="10">
        <f>IF($Y44="","",SUMPRODUCT(($D44:$W44=$D$2:$W$2)*($D44:$W44&lt;&gt;"")*$D$3:$W$3*($D$4:$W$4=AA$6)))</f>
        <v/>
      </c>
      <c r="AB44" s="10">
        <f>IF($Y44="","",SUMPRODUCT(($D44:$W44=$D$2:$W$2)*($D44:$W44&lt;&gt;"")*$D$3:$W$3*($D$4:$W$4=AB$6)))</f>
        <v/>
      </c>
    </row>
    <row r="45">
      <c r="A45" s="5" t="n">
        <v>39</v>
      </c>
      <c r="B45" s="5">
        <f>IF('학생명단'!B45="","",'학생명단'!B45)</f>
        <v/>
      </c>
      <c r="C45" s="17">
        <f>IF('학생명단'!C45="","",'학생명단'!C45)</f>
        <v/>
      </c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7" t="n"/>
      <c r="S45" s="7" t="n"/>
      <c r="T45" s="7" t="n"/>
      <c r="U45" s="7" t="n"/>
      <c r="V45" s="7" t="n"/>
      <c r="W45" s="7" t="n"/>
      <c r="X45" s="10">
        <f>IF(COUNTA(D45:W45)=0,"",SUMPRODUCT((D45:W45=$D$2:$W$2)*(D45:W45&lt;&gt;"")))</f>
        <v/>
      </c>
      <c r="Y45" s="26">
        <f>IF(COUNTA(D45:W45)=0,"",SUMPRODUCT((D45:W45=$D$2:$W$2)*(D45:W45&lt;&gt;"")*$D$3:$W$3))</f>
        <v/>
      </c>
      <c r="Z45" s="10">
        <f>IF($Y45="","",SUMPRODUCT(($D45:$W45=$D$2:$W$2)*($D45:$W45&lt;&gt;"")*$D$3:$W$3*($D$4:$W$4=Z$6)))</f>
        <v/>
      </c>
      <c r="AA45" s="10">
        <f>IF($Y45="","",SUMPRODUCT(($D45:$W45=$D$2:$W$2)*($D45:$W45&lt;&gt;"")*$D$3:$W$3*($D$4:$W$4=AA$6)))</f>
        <v/>
      </c>
      <c r="AB45" s="10">
        <f>IF($Y45="","",SUMPRODUCT(($D45:$W45=$D$2:$W$2)*($D45:$W45&lt;&gt;"")*$D$3:$W$3*($D$4:$W$4=AB$6)))</f>
        <v/>
      </c>
    </row>
    <row r="46">
      <c r="A46" s="5" t="n">
        <v>40</v>
      </c>
      <c r="B46" s="5">
        <f>IF('학생명단'!B46="","",'학생명단'!B46)</f>
        <v/>
      </c>
      <c r="C46" s="17">
        <f>IF('학생명단'!C46="","",'학생명단'!C46)</f>
        <v/>
      </c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7" t="n"/>
      <c r="S46" s="7" t="n"/>
      <c r="T46" s="7" t="n"/>
      <c r="U46" s="7" t="n"/>
      <c r="V46" s="7" t="n"/>
      <c r="W46" s="7" t="n"/>
      <c r="X46" s="10">
        <f>IF(COUNTA(D46:W46)=0,"",SUMPRODUCT((D46:W46=$D$2:$W$2)*(D46:W46&lt;&gt;"")))</f>
        <v/>
      </c>
      <c r="Y46" s="26">
        <f>IF(COUNTA(D46:W46)=0,"",SUMPRODUCT((D46:W46=$D$2:$W$2)*(D46:W46&lt;&gt;"")*$D$3:$W$3))</f>
        <v/>
      </c>
      <c r="Z46" s="10">
        <f>IF($Y46="","",SUMPRODUCT(($D46:$W46=$D$2:$W$2)*($D46:$W46&lt;&gt;"")*$D$3:$W$3*($D$4:$W$4=Z$6)))</f>
        <v/>
      </c>
      <c r="AA46" s="10">
        <f>IF($Y46="","",SUMPRODUCT(($D46:$W46=$D$2:$W$2)*($D46:$W46&lt;&gt;"")*$D$3:$W$3*($D$4:$W$4=AA$6)))</f>
        <v/>
      </c>
      <c r="AB46" s="10">
        <f>IF($Y46="","",SUMPRODUCT(($D46:$W46=$D$2:$W$2)*($D46:$W46&lt;&gt;"")*$D$3:$W$3*($D$4:$W$4=AB$6)))</f>
        <v/>
      </c>
    </row>
    <row r="47">
      <c r="A47" s="5" t="n">
        <v>41</v>
      </c>
      <c r="B47" s="5">
        <f>IF('학생명단'!B47="","",'학생명단'!B47)</f>
        <v/>
      </c>
      <c r="C47" s="17">
        <f>IF('학생명단'!C47="","",'학생명단'!C47)</f>
        <v/>
      </c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7" t="n"/>
      <c r="S47" s="7" t="n"/>
      <c r="T47" s="7" t="n"/>
      <c r="U47" s="7" t="n"/>
      <c r="V47" s="7" t="n"/>
      <c r="W47" s="7" t="n"/>
      <c r="X47" s="10">
        <f>IF(COUNTA(D47:W47)=0,"",SUMPRODUCT((D47:W47=$D$2:$W$2)*(D47:W47&lt;&gt;"")))</f>
        <v/>
      </c>
      <c r="Y47" s="26">
        <f>IF(COUNTA(D47:W47)=0,"",SUMPRODUCT((D47:W47=$D$2:$W$2)*(D47:W47&lt;&gt;"")*$D$3:$W$3))</f>
        <v/>
      </c>
      <c r="Z47" s="10">
        <f>IF($Y47="","",SUMPRODUCT(($D47:$W47=$D$2:$W$2)*($D47:$W47&lt;&gt;"")*$D$3:$W$3*($D$4:$W$4=Z$6)))</f>
        <v/>
      </c>
      <c r="AA47" s="10">
        <f>IF($Y47="","",SUMPRODUCT(($D47:$W47=$D$2:$W$2)*($D47:$W47&lt;&gt;"")*$D$3:$W$3*($D$4:$W$4=AA$6)))</f>
        <v/>
      </c>
      <c r="AB47" s="10">
        <f>IF($Y47="","",SUMPRODUCT(($D47:$W47=$D$2:$W$2)*($D47:$W47&lt;&gt;"")*$D$3:$W$3*($D$4:$W$4=AB$6)))</f>
        <v/>
      </c>
    </row>
    <row r="48">
      <c r="A48" s="5" t="n">
        <v>42</v>
      </c>
      <c r="B48" s="5">
        <f>IF('학생명단'!B48="","",'학생명단'!B48)</f>
        <v/>
      </c>
      <c r="C48" s="17">
        <f>IF('학생명단'!C48="","",'학생명단'!C48)</f>
        <v/>
      </c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7" t="n"/>
      <c r="S48" s="7" t="n"/>
      <c r="T48" s="7" t="n"/>
      <c r="U48" s="7" t="n"/>
      <c r="V48" s="7" t="n"/>
      <c r="W48" s="7" t="n"/>
      <c r="X48" s="10">
        <f>IF(COUNTA(D48:W48)=0,"",SUMPRODUCT((D48:W48=$D$2:$W$2)*(D48:W48&lt;&gt;"")))</f>
        <v/>
      </c>
      <c r="Y48" s="26">
        <f>IF(COUNTA(D48:W48)=0,"",SUMPRODUCT((D48:W48=$D$2:$W$2)*(D48:W48&lt;&gt;"")*$D$3:$W$3))</f>
        <v/>
      </c>
      <c r="Z48" s="10">
        <f>IF($Y48="","",SUMPRODUCT(($D48:$W48=$D$2:$W$2)*($D48:$W48&lt;&gt;"")*$D$3:$W$3*($D$4:$W$4=Z$6)))</f>
        <v/>
      </c>
      <c r="AA48" s="10">
        <f>IF($Y48="","",SUMPRODUCT(($D48:$W48=$D$2:$W$2)*($D48:$W48&lt;&gt;"")*$D$3:$W$3*($D$4:$W$4=AA$6)))</f>
        <v/>
      </c>
      <c r="AB48" s="10">
        <f>IF($Y48="","",SUMPRODUCT(($D48:$W48=$D$2:$W$2)*($D48:$W48&lt;&gt;"")*$D$3:$W$3*($D$4:$W$4=AB$6)))</f>
        <v/>
      </c>
    </row>
    <row r="49">
      <c r="A49" s="5" t="n">
        <v>43</v>
      </c>
      <c r="B49" s="5">
        <f>IF('학생명단'!B49="","",'학생명단'!B49)</f>
        <v/>
      </c>
      <c r="C49" s="17">
        <f>IF('학생명단'!C49="","",'학생명단'!C49)</f>
        <v/>
      </c>
      <c r="D49" s="7" t="n"/>
      <c r="E49" s="7" t="n"/>
      <c r="F49" s="7" t="n"/>
      <c r="G49" s="7" t="n"/>
      <c r="H49" s="7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7" t="n"/>
      <c r="S49" s="7" t="n"/>
      <c r="T49" s="7" t="n"/>
      <c r="U49" s="7" t="n"/>
      <c r="V49" s="7" t="n"/>
      <c r="W49" s="7" t="n"/>
      <c r="X49" s="10">
        <f>IF(COUNTA(D49:W49)=0,"",SUMPRODUCT((D49:W49=$D$2:$W$2)*(D49:W49&lt;&gt;"")))</f>
        <v/>
      </c>
      <c r="Y49" s="26">
        <f>IF(COUNTA(D49:W49)=0,"",SUMPRODUCT((D49:W49=$D$2:$W$2)*(D49:W49&lt;&gt;"")*$D$3:$W$3))</f>
        <v/>
      </c>
      <c r="Z49" s="10">
        <f>IF($Y49="","",SUMPRODUCT(($D49:$W49=$D$2:$W$2)*($D49:$W49&lt;&gt;"")*$D$3:$W$3*($D$4:$W$4=Z$6)))</f>
        <v/>
      </c>
      <c r="AA49" s="10">
        <f>IF($Y49="","",SUMPRODUCT(($D49:$W49=$D$2:$W$2)*($D49:$W49&lt;&gt;"")*$D$3:$W$3*($D$4:$W$4=AA$6)))</f>
        <v/>
      </c>
      <c r="AB49" s="10">
        <f>IF($Y49="","",SUMPRODUCT(($D49:$W49=$D$2:$W$2)*($D49:$W49&lt;&gt;"")*$D$3:$W$3*($D$4:$W$4=AB$6)))</f>
        <v/>
      </c>
    </row>
    <row r="50">
      <c r="A50" s="5" t="n">
        <v>44</v>
      </c>
      <c r="B50" s="5">
        <f>IF('학생명단'!B50="","",'학생명단'!B50)</f>
        <v/>
      </c>
      <c r="C50" s="17">
        <f>IF('학생명단'!C50="","",'학생명단'!C50)</f>
        <v/>
      </c>
      <c r="D50" s="7" t="n"/>
      <c r="E50" s="7" t="n"/>
      <c r="F50" s="7" t="n"/>
      <c r="G50" s="7" t="n"/>
      <c r="H50" s="7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7" t="n"/>
      <c r="S50" s="7" t="n"/>
      <c r="T50" s="7" t="n"/>
      <c r="U50" s="7" t="n"/>
      <c r="V50" s="7" t="n"/>
      <c r="W50" s="7" t="n"/>
      <c r="X50" s="10">
        <f>IF(COUNTA(D50:W50)=0,"",SUMPRODUCT((D50:W50=$D$2:$W$2)*(D50:W50&lt;&gt;"")))</f>
        <v/>
      </c>
      <c r="Y50" s="26">
        <f>IF(COUNTA(D50:W50)=0,"",SUMPRODUCT((D50:W50=$D$2:$W$2)*(D50:W50&lt;&gt;"")*$D$3:$W$3))</f>
        <v/>
      </c>
      <c r="Z50" s="10">
        <f>IF($Y50="","",SUMPRODUCT(($D50:$W50=$D$2:$W$2)*($D50:$W50&lt;&gt;"")*$D$3:$W$3*($D$4:$W$4=Z$6)))</f>
        <v/>
      </c>
      <c r="AA50" s="10">
        <f>IF($Y50="","",SUMPRODUCT(($D50:$W50=$D$2:$W$2)*($D50:$W50&lt;&gt;"")*$D$3:$W$3*($D$4:$W$4=AA$6)))</f>
        <v/>
      </c>
      <c r="AB50" s="10">
        <f>IF($Y50="","",SUMPRODUCT(($D50:$W50=$D$2:$W$2)*($D50:$W50&lt;&gt;"")*$D$3:$W$3*($D$4:$W$4=AB$6)))</f>
        <v/>
      </c>
    </row>
    <row r="51">
      <c r="A51" s="5" t="n">
        <v>45</v>
      </c>
      <c r="B51" s="5">
        <f>IF('학생명단'!B51="","",'학생명단'!B51)</f>
        <v/>
      </c>
      <c r="C51" s="17">
        <f>IF('학생명단'!C51="","",'학생명단'!C51)</f>
        <v/>
      </c>
      <c r="D51" s="7" t="n"/>
      <c r="E51" s="7" t="n"/>
      <c r="F51" s="7" t="n"/>
      <c r="G51" s="7" t="n"/>
      <c r="H51" s="7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7" t="n"/>
      <c r="S51" s="7" t="n"/>
      <c r="T51" s="7" t="n"/>
      <c r="U51" s="7" t="n"/>
      <c r="V51" s="7" t="n"/>
      <c r="W51" s="7" t="n"/>
      <c r="X51" s="10">
        <f>IF(COUNTA(D51:W51)=0,"",SUMPRODUCT((D51:W51=$D$2:$W$2)*(D51:W51&lt;&gt;"")))</f>
        <v/>
      </c>
      <c r="Y51" s="26">
        <f>IF(COUNTA(D51:W51)=0,"",SUMPRODUCT((D51:W51=$D$2:$W$2)*(D51:W51&lt;&gt;"")*$D$3:$W$3))</f>
        <v/>
      </c>
      <c r="Z51" s="10">
        <f>IF($Y51="","",SUMPRODUCT(($D51:$W51=$D$2:$W$2)*($D51:$W51&lt;&gt;"")*$D$3:$W$3*($D$4:$W$4=Z$6)))</f>
        <v/>
      </c>
      <c r="AA51" s="10">
        <f>IF($Y51="","",SUMPRODUCT(($D51:$W51=$D$2:$W$2)*($D51:$W51&lt;&gt;"")*$D$3:$W$3*($D$4:$W$4=AA$6)))</f>
        <v/>
      </c>
      <c r="AB51" s="10">
        <f>IF($Y51="","",SUMPRODUCT(($D51:$W51=$D$2:$W$2)*($D51:$W51&lt;&gt;"")*$D$3:$W$3*($D$4:$W$4=AB$6)))</f>
        <v/>
      </c>
    </row>
    <row r="52">
      <c r="A52" s="5" t="n">
        <v>46</v>
      </c>
      <c r="B52" s="5">
        <f>IF('학생명단'!B52="","",'학생명단'!B52)</f>
        <v/>
      </c>
      <c r="C52" s="17">
        <f>IF('학생명단'!C52="","",'학생명단'!C52)</f>
        <v/>
      </c>
      <c r="D52" s="7" t="n"/>
      <c r="E52" s="7" t="n"/>
      <c r="F52" s="7" t="n"/>
      <c r="G52" s="7" t="n"/>
      <c r="H52" s="7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10">
        <f>IF(COUNTA(D52:W52)=0,"",SUMPRODUCT((D52:W52=$D$2:$W$2)*(D52:W52&lt;&gt;"")))</f>
        <v/>
      </c>
      <c r="Y52" s="26">
        <f>IF(COUNTA(D52:W52)=0,"",SUMPRODUCT((D52:W52=$D$2:$W$2)*(D52:W52&lt;&gt;"")*$D$3:$W$3))</f>
        <v/>
      </c>
      <c r="Z52" s="10">
        <f>IF($Y52="","",SUMPRODUCT(($D52:$W52=$D$2:$W$2)*($D52:$W52&lt;&gt;"")*$D$3:$W$3*($D$4:$W$4=Z$6)))</f>
        <v/>
      </c>
      <c r="AA52" s="10">
        <f>IF($Y52="","",SUMPRODUCT(($D52:$W52=$D$2:$W$2)*($D52:$W52&lt;&gt;"")*$D$3:$W$3*($D$4:$W$4=AA$6)))</f>
        <v/>
      </c>
      <c r="AB52" s="10">
        <f>IF($Y52="","",SUMPRODUCT(($D52:$W52=$D$2:$W$2)*($D52:$W52&lt;&gt;"")*$D$3:$W$3*($D$4:$W$4=AB$6)))</f>
        <v/>
      </c>
    </row>
    <row r="53">
      <c r="A53" s="5" t="n">
        <v>47</v>
      </c>
      <c r="B53" s="5">
        <f>IF('학생명단'!B53="","",'학생명단'!B53)</f>
        <v/>
      </c>
      <c r="C53" s="17">
        <f>IF('학생명단'!C53="","",'학생명단'!C53)</f>
        <v/>
      </c>
      <c r="D53" s="7" t="n"/>
      <c r="E53" s="7" t="n"/>
      <c r="F53" s="7" t="n"/>
      <c r="G53" s="7" t="n"/>
      <c r="H53" s="7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7" t="n"/>
      <c r="S53" s="7" t="n"/>
      <c r="T53" s="7" t="n"/>
      <c r="U53" s="7" t="n"/>
      <c r="V53" s="7" t="n"/>
      <c r="W53" s="7" t="n"/>
      <c r="X53" s="10">
        <f>IF(COUNTA(D53:W53)=0,"",SUMPRODUCT((D53:W53=$D$2:$W$2)*(D53:W53&lt;&gt;"")))</f>
        <v/>
      </c>
      <c r="Y53" s="26">
        <f>IF(COUNTA(D53:W53)=0,"",SUMPRODUCT((D53:W53=$D$2:$W$2)*(D53:W53&lt;&gt;"")*$D$3:$W$3))</f>
        <v/>
      </c>
      <c r="Z53" s="10">
        <f>IF($Y53="","",SUMPRODUCT(($D53:$W53=$D$2:$W$2)*($D53:$W53&lt;&gt;"")*$D$3:$W$3*($D$4:$W$4=Z$6)))</f>
        <v/>
      </c>
      <c r="AA53" s="10">
        <f>IF($Y53="","",SUMPRODUCT(($D53:$W53=$D$2:$W$2)*($D53:$W53&lt;&gt;"")*$D$3:$W$3*($D$4:$W$4=AA$6)))</f>
        <v/>
      </c>
      <c r="AB53" s="10">
        <f>IF($Y53="","",SUMPRODUCT(($D53:$W53=$D$2:$W$2)*($D53:$W53&lt;&gt;"")*$D$3:$W$3*($D$4:$W$4=AB$6)))</f>
        <v/>
      </c>
    </row>
    <row r="54">
      <c r="A54" s="5" t="n">
        <v>48</v>
      </c>
      <c r="B54" s="5">
        <f>IF('학생명단'!B54="","",'학생명단'!B54)</f>
        <v/>
      </c>
      <c r="C54" s="17">
        <f>IF('학생명단'!C54="","",'학생명단'!C54)</f>
        <v/>
      </c>
      <c r="D54" s="7" t="n"/>
      <c r="E54" s="7" t="n"/>
      <c r="F54" s="7" t="n"/>
      <c r="G54" s="7" t="n"/>
      <c r="H54" s="7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7" t="n"/>
      <c r="S54" s="7" t="n"/>
      <c r="T54" s="7" t="n"/>
      <c r="U54" s="7" t="n"/>
      <c r="V54" s="7" t="n"/>
      <c r="W54" s="7" t="n"/>
      <c r="X54" s="10">
        <f>IF(COUNTA(D54:W54)=0,"",SUMPRODUCT((D54:W54=$D$2:$W$2)*(D54:W54&lt;&gt;"")))</f>
        <v/>
      </c>
      <c r="Y54" s="26">
        <f>IF(COUNTA(D54:W54)=0,"",SUMPRODUCT((D54:W54=$D$2:$W$2)*(D54:W54&lt;&gt;"")*$D$3:$W$3))</f>
        <v/>
      </c>
      <c r="Z54" s="10">
        <f>IF($Y54="","",SUMPRODUCT(($D54:$W54=$D$2:$W$2)*($D54:$W54&lt;&gt;"")*$D$3:$W$3*($D$4:$W$4=Z$6)))</f>
        <v/>
      </c>
      <c r="AA54" s="10">
        <f>IF($Y54="","",SUMPRODUCT(($D54:$W54=$D$2:$W$2)*($D54:$W54&lt;&gt;"")*$D$3:$W$3*($D$4:$W$4=AA$6)))</f>
        <v/>
      </c>
      <c r="AB54" s="10">
        <f>IF($Y54="","",SUMPRODUCT(($D54:$W54=$D$2:$W$2)*($D54:$W54&lt;&gt;"")*$D$3:$W$3*($D$4:$W$4=AB$6)))</f>
        <v/>
      </c>
    </row>
    <row r="55">
      <c r="A55" s="5" t="n">
        <v>49</v>
      </c>
      <c r="B55" s="5">
        <f>IF('학생명단'!B55="","",'학생명단'!B55)</f>
        <v/>
      </c>
      <c r="C55" s="17">
        <f>IF('학생명단'!C55="","",'학생명단'!C55)</f>
        <v/>
      </c>
      <c r="D55" s="7" t="n"/>
      <c r="E55" s="7" t="n"/>
      <c r="F55" s="7" t="n"/>
      <c r="G55" s="7" t="n"/>
      <c r="H55" s="7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7" t="n"/>
      <c r="S55" s="7" t="n"/>
      <c r="T55" s="7" t="n"/>
      <c r="U55" s="7" t="n"/>
      <c r="V55" s="7" t="n"/>
      <c r="W55" s="7" t="n"/>
      <c r="X55" s="10">
        <f>IF(COUNTA(D55:W55)=0,"",SUMPRODUCT((D55:W55=$D$2:$W$2)*(D55:W55&lt;&gt;"")))</f>
        <v/>
      </c>
      <c r="Y55" s="26">
        <f>IF(COUNTA(D55:W55)=0,"",SUMPRODUCT((D55:W55=$D$2:$W$2)*(D55:W55&lt;&gt;"")*$D$3:$W$3))</f>
        <v/>
      </c>
      <c r="Z55" s="10">
        <f>IF($Y55="","",SUMPRODUCT(($D55:$W55=$D$2:$W$2)*($D55:$W55&lt;&gt;"")*$D$3:$W$3*($D$4:$W$4=Z$6)))</f>
        <v/>
      </c>
      <c r="AA55" s="10">
        <f>IF($Y55="","",SUMPRODUCT(($D55:$W55=$D$2:$W$2)*($D55:$W55&lt;&gt;"")*$D$3:$W$3*($D$4:$W$4=AA$6)))</f>
        <v/>
      </c>
      <c r="AB55" s="10">
        <f>IF($Y55="","",SUMPRODUCT(($D55:$W55=$D$2:$W$2)*($D55:$W55&lt;&gt;"")*$D$3:$W$3*($D$4:$W$4=AB$6)))</f>
        <v/>
      </c>
    </row>
    <row r="56">
      <c r="A56" s="5" t="n">
        <v>50</v>
      </c>
      <c r="B56" s="5">
        <f>IF('학생명단'!B56="","",'학생명단'!B56)</f>
        <v/>
      </c>
      <c r="C56" s="17">
        <f>IF('학생명단'!C56="","",'학생명단'!C56)</f>
        <v/>
      </c>
      <c r="D56" s="7" t="n"/>
      <c r="E56" s="7" t="n"/>
      <c r="F56" s="7" t="n"/>
      <c r="G56" s="7" t="n"/>
      <c r="H56" s="7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7" t="n"/>
      <c r="S56" s="7" t="n"/>
      <c r="T56" s="7" t="n"/>
      <c r="U56" s="7" t="n"/>
      <c r="V56" s="7" t="n"/>
      <c r="W56" s="7" t="n"/>
      <c r="X56" s="10">
        <f>IF(COUNTA(D56:W56)=0,"",SUMPRODUCT((D56:W56=$D$2:$W$2)*(D56:W56&lt;&gt;"")))</f>
        <v/>
      </c>
      <c r="Y56" s="26">
        <f>IF(COUNTA(D56:W56)=0,"",SUMPRODUCT((D56:W56=$D$2:$W$2)*(D56:W56&lt;&gt;"")*$D$3:$W$3))</f>
        <v/>
      </c>
      <c r="Z56" s="10">
        <f>IF($Y56="","",SUMPRODUCT(($D56:$W56=$D$2:$W$2)*($D56:$W56&lt;&gt;"")*$D$3:$W$3*($D$4:$W$4=Z$6)))</f>
        <v/>
      </c>
      <c r="AA56" s="10">
        <f>IF($Y56="","",SUMPRODUCT(($D56:$W56=$D$2:$W$2)*($D56:$W56&lt;&gt;"")*$D$3:$W$3*($D$4:$W$4=AA$6)))</f>
        <v/>
      </c>
      <c r="AB56" s="10">
        <f>IF($Y56="","",SUMPRODUCT(($D56:$W56=$D$2:$W$2)*($D56:$W56&lt;&gt;"")*$D$3:$W$3*($D$4:$W$4=AB$6)))</f>
        <v/>
      </c>
    </row>
    <row r="57">
      <c r="A57" s="5" t="n">
        <v>51</v>
      </c>
      <c r="B57" s="5">
        <f>IF('학생명단'!B57="","",'학생명단'!B57)</f>
        <v/>
      </c>
      <c r="C57" s="17">
        <f>IF('학생명단'!C57="","",'학생명단'!C57)</f>
        <v/>
      </c>
      <c r="D57" s="7" t="n"/>
      <c r="E57" s="7" t="n"/>
      <c r="F57" s="7" t="n"/>
      <c r="G57" s="7" t="n"/>
      <c r="H57" s="7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7" t="n"/>
      <c r="S57" s="7" t="n"/>
      <c r="T57" s="7" t="n"/>
      <c r="U57" s="7" t="n"/>
      <c r="V57" s="7" t="n"/>
      <c r="W57" s="7" t="n"/>
      <c r="X57" s="10">
        <f>IF(COUNTA(D57:W57)=0,"",SUMPRODUCT((D57:W57=$D$2:$W$2)*(D57:W57&lt;&gt;"")))</f>
        <v/>
      </c>
      <c r="Y57" s="26">
        <f>IF(COUNTA(D57:W57)=0,"",SUMPRODUCT((D57:W57=$D$2:$W$2)*(D57:W57&lt;&gt;"")*$D$3:$W$3))</f>
        <v/>
      </c>
      <c r="Z57" s="10">
        <f>IF($Y57="","",SUMPRODUCT(($D57:$W57=$D$2:$W$2)*($D57:$W57&lt;&gt;"")*$D$3:$W$3*($D$4:$W$4=Z$6)))</f>
        <v/>
      </c>
      <c r="AA57" s="10">
        <f>IF($Y57="","",SUMPRODUCT(($D57:$W57=$D$2:$W$2)*($D57:$W57&lt;&gt;"")*$D$3:$W$3*($D$4:$W$4=AA$6)))</f>
        <v/>
      </c>
      <c r="AB57" s="10">
        <f>IF($Y57="","",SUMPRODUCT(($D57:$W57=$D$2:$W$2)*($D57:$W57&lt;&gt;"")*$D$3:$W$3*($D$4:$W$4=AB$6)))</f>
        <v/>
      </c>
    </row>
    <row r="58">
      <c r="A58" s="5" t="n">
        <v>52</v>
      </c>
      <c r="B58" s="5">
        <f>IF('학생명단'!B58="","",'학생명단'!B58)</f>
        <v/>
      </c>
      <c r="C58" s="17">
        <f>IF('학생명단'!C58="","",'학생명단'!C58)</f>
        <v/>
      </c>
      <c r="D58" s="7" t="n"/>
      <c r="E58" s="7" t="n"/>
      <c r="F58" s="7" t="n"/>
      <c r="G58" s="7" t="n"/>
      <c r="H58" s="7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7" t="n"/>
      <c r="S58" s="7" t="n"/>
      <c r="T58" s="7" t="n"/>
      <c r="U58" s="7" t="n"/>
      <c r="V58" s="7" t="n"/>
      <c r="W58" s="7" t="n"/>
      <c r="X58" s="10">
        <f>IF(COUNTA(D58:W58)=0,"",SUMPRODUCT((D58:W58=$D$2:$W$2)*(D58:W58&lt;&gt;"")))</f>
        <v/>
      </c>
      <c r="Y58" s="26">
        <f>IF(COUNTA(D58:W58)=0,"",SUMPRODUCT((D58:W58=$D$2:$W$2)*(D58:W58&lt;&gt;"")*$D$3:$W$3))</f>
        <v/>
      </c>
      <c r="Z58" s="10">
        <f>IF($Y58="","",SUMPRODUCT(($D58:$W58=$D$2:$W$2)*($D58:$W58&lt;&gt;"")*$D$3:$W$3*($D$4:$W$4=Z$6)))</f>
        <v/>
      </c>
      <c r="AA58" s="10">
        <f>IF($Y58="","",SUMPRODUCT(($D58:$W58=$D$2:$W$2)*($D58:$W58&lt;&gt;"")*$D$3:$W$3*($D$4:$W$4=AA$6)))</f>
        <v/>
      </c>
      <c r="AB58" s="10">
        <f>IF($Y58="","",SUMPRODUCT(($D58:$W58=$D$2:$W$2)*($D58:$W58&lt;&gt;"")*$D$3:$W$3*($D$4:$W$4=AB$6)))</f>
        <v/>
      </c>
    </row>
    <row r="59">
      <c r="A59" s="5" t="n">
        <v>53</v>
      </c>
      <c r="B59" s="5">
        <f>IF('학생명단'!B59="","",'학생명단'!B59)</f>
        <v/>
      </c>
      <c r="C59" s="17">
        <f>IF('학생명단'!C59="","",'학생명단'!C59)</f>
        <v/>
      </c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10">
        <f>IF(COUNTA(D59:W59)=0,"",SUMPRODUCT((D59:W59=$D$2:$W$2)*(D59:W59&lt;&gt;"")))</f>
        <v/>
      </c>
      <c r="Y59" s="26">
        <f>IF(COUNTA(D59:W59)=0,"",SUMPRODUCT((D59:W59=$D$2:$W$2)*(D59:W59&lt;&gt;"")*$D$3:$W$3))</f>
        <v/>
      </c>
      <c r="Z59" s="10">
        <f>IF($Y59="","",SUMPRODUCT(($D59:$W59=$D$2:$W$2)*($D59:$W59&lt;&gt;"")*$D$3:$W$3*($D$4:$W$4=Z$6)))</f>
        <v/>
      </c>
      <c r="AA59" s="10">
        <f>IF($Y59="","",SUMPRODUCT(($D59:$W59=$D$2:$W$2)*($D59:$W59&lt;&gt;"")*$D$3:$W$3*($D$4:$W$4=AA$6)))</f>
        <v/>
      </c>
      <c r="AB59" s="10">
        <f>IF($Y59="","",SUMPRODUCT(($D59:$W59=$D$2:$W$2)*($D59:$W59&lt;&gt;"")*$D$3:$W$3*($D$4:$W$4=AB$6)))</f>
        <v/>
      </c>
    </row>
    <row r="60">
      <c r="A60" s="5" t="n">
        <v>54</v>
      </c>
      <c r="B60" s="5">
        <f>IF('학생명단'!B60="","",'학생명단'!B60)</f>
        <v/>
      </c>
      <c r="C60" s="17">
        <f>IF('학생명단'!C60="","",'학생명단'!C60)</f>
        <v/>
      </c>
      <c r="D60" s="7" t="n"/>
      <c r="E60" s="7" t="n"/>
      <c r="F60" s="7" t="n"/>
      <c r="G60" s="7" t="n"/>
      <c r="H60" s="7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7" t="n"/>
      <c r="S60" s="7" t="n"/>
      <c r="T60" s="7" t="n"/>
      <c r="U60" s="7" t="n"/>
      <c r="V60" s="7" t="n"/>
      <c r="W60" s="7" t="n"/>
      <c r="X60" s="10">
        <f>IF(COUNTA(D60:W60)=0,"",SUMPRODUCT((D60:W60=$D$2:$W$2)*(D60:W60&lt;&gt;"")))</f>
        <v/>
      </c>
      <c r="Y60" s="26">
        <f>IF(COUNTA(D60:W60)=0,"",SUMPRODUCT((D60:W60=$D$2:$W$2)*(D60:W60&lt;&gt;"")*$D$3:$W$3))</f>
        <v/>
      </c>
      <c r="Z60" s="10">
        <f>IF($Y60="","",SUMPRODUCT(($D60:$W60=$D$2:$W$2)*($D60:$W60&lt;&gt;"")*$D$3:$W$3*($D$4:$W$4=Z$6)))</f>
        <v/>
      </c>
      <c r="AA60" s="10">
        <f>IF($Y60="","",SUMPRODUCT(($D60:$W60=$D$2:$W$2)*($D60:$W60&lt;&gt;"")*$D$3:$W$3*($D$4:$W$4=AA$6)))</f>
        <v/>
      </c>
      <c r="AB60" s="10">
        <f>IF($Y60="","",SUMPRODUCT(($D60:$W60=$D$2:$W$2)*($D60:$W60&lt;&gt;"")*$D$3:$W$3*($D$4:$W$4=AB$6)))</f>
        <v/>
      </c>
    </row>
    <row r="61">
      <c r="A61" s="5" t="n">
        <v>55</v>
      </c>
      <c r="B61" s="5">
        <f>IF('학생명단'!B61="","",'학생명단'!B61)</f>
        <v/>
      </c>
      <c r="C61" s="17">
        <f>IF('학생명단'!C61="","",'학생명단'!C61)</f>
        <v/>
      </c>
      <c r="D61" s="7" t="n"/>
      <c r="E61" s="7" t="n"/>
      <c r="F61" s="7" t="n"/>
      <c r="G61" s="7" t="n"/>
      <c r="H61" s="7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7" t="n"/>
      <c r="S61" s="7" t="n"/>
      <c r="T61" s="7" t="n"/>
      <c r="U61" s="7" t="n"/>
      <c r="V61" s="7" t="n"/>
      <c r="W61" s="7" t="n"/>
      <c r="X61" s="10">
        <f>IF(COUNTA(D61:W61)=0,"",SUMPRODUCT((D61:W61=$D$2:$W$2)*(D61:W61&lt;&gt;"")))</f>
        <v/>
      </c>
      <c r="Y61" s="26">
        <f>IF(COUNTA(D61:W61)=0,"",SUMPRODUCT((D61:W61=$D$2:$W$2)*(D61:W61&lt;&gt;"")*$D$3:$W$3))</f>
        <v/>
      </c>
      <c r="Z61" s="10">
        <f>IF($Y61="","",SUMPRODUCT(($D61:$W61=$D$2:$W$2)*($D61:$W61&lt;&gt;"")*$D$3:$W$3*($D$4:$W$4=Z$6)))</f>
        <v/>
      </c>
      <c r="AA61" s="10">
        <f>IF($Y61="","",SUMPRODUCT(($D61:$W61=$D$2:$W$2)*($D61:$W61&lt;&gt;"")*$D$3:$W$3*($D$4:$W$4=AA$6)))</f>
        <v/>
      </c>
      <c r="AB61" s="10">
        <f>IF($Y61="","",SUMPRODUCT(($D61:$W61=$D$2:$W$2)*($D61:$W61&lt;&gt;"")*$D$3:$W$3*($D$4:$W$4=AB$6)))</f>
        <v/>
      </c>
    </row>
    <row r="62">
      <c r="A62" s="5" t="n">
        <v>56</v>
      </c>
      <c r="B62" s="5">
        <f>IF('학생명단'!B62="","",'학생명단'!B62)</f>
        <v/>
      </c>
      <c r="C62" s="17">
        <f>IF('학생명단'!C62="","",'학생명단'!C62)</f>
        <v/>
      </c>
      <c r="D62" s="7" t="n"/>
      <c r="E62" s="7" t="n"/>
      <c r="F62" s="7" t="n"/>
      <c r="G62" s="7" t="n"/>
      <c r="H62" s="7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7" t="n"/>
      <c r="S62" s="7" t="n"/>
      <c r="T62" s="7" t="n"/>
      <c r="U62" s="7" t="n"/>
      <c r="V62" s="7" t="n"/>
      <c r="W62" s="7" t="n"/>
      <c r="X62" s="10">
        <f>IF(COUNTA(D62:W62)=0,"",SUMPRODUCT((D62:W62=$D$2:$W$2)*(D62:W62&lt;&gt;"")))</f>
        <v/>
      </c>
      <c r="Y62" s="26">
        <f>IF(COUNTA(D62:W62)=0,"",SUMPRODUCT((D62:W62=$D$2:$W$2)*(D62:W62&lt;&gt;"")*$D$3:$W$3))</f>
        <v/>
      </c>
      <c r="Z62" s="10">
        <f>IF($Y62="","",SUMPRODUCT(($D62:$W62=$D$2:$W$2)*($D62:$W62&lt;&gt;"")*$D$3:$W$3*($D$4:$W$4=Z$6)))</f>
        <v/>
      </c>
      <c r="AA62" s="10">
        <f>IF($Y62="","",SUMPRODUCT(($D62:$W62=$D$2:$W$2)*($D62:$W62&lt;&gt;"")*$D$3:$W$3*($D$4:$W$4=AA$6)))</f>
        <v/>
      </c>
      <c r="AB62" s="10">
        <f>IF($Y62="","",SUMPRODUCT(($D62:$W62=$D$2:$W$2)*($D62:$W62&lt;&gt;"")*$D$3:$W$3*($D$4:$W$4=AB$6)))</f>
        <v/>
      </c>
    </row>
    <row r="63">
      <c r="A63" s="5" t="n">
        <v>57</v>
      </c>
      <c r="B63" s="5">
        <f>IF('학생명단'!B63="","",'학생명단'!B63)</f>
        <v/>
      </c>
      <c r="C63" s="17">
        <f>IF('학생명단'!C63="","",'학생명단'!C63)</f>
        <v/>
      </c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7" t="n"/>
      <c r="S63" s="7" t="n"/>
      <c r="T63" s="7" t="n"/>
      <c r="U63" s="7" t="n"/>
      <c r="V63" s="7" t="n"/>
      <c r="W63" s="7" t="n"/>
      <c r="X63" s="10">
        <f>IF(COUNTA(D63:W63)=0,"",SUMPRODUCT((D63:W63=$D$2:$W$2)*(D63:W63&lt;&gt;"")))</f>
        <v/>
      </c>
      <c r="Y63" s="26">
        <f>IF(COUNTA(D63:W63)=0,"",SUMPRODUCT((D63:W63=$D$2:$W$2)*(D63:W63&lt;&gt;"")*$D$3:$W$3))</f>
        <v/>
      </c>
      <c r="Z63" s="10">
        <f>IF($Y63="","",SUMPRODUCT(($D63:$W63=$D$2:$W$2)*($D63:$W63&lt;&gt;"")*$D$3:$W$3*($D$4:$W$4=Z$6)))</f>
        <v/>
      </c>
      <c r="AA63" s="10">
        <f>IF($Y63="","",SUMPRODUCT(($D63:$W63=$D$2:$W$2)*($D63:$W63&lt;&gt;"")*$D$3:$W$3*($D$4:$W$4=AA$6)))</f>
        <v/>
      </c>
      <c r="AB63" s="10">
        <f>IF($Y63="","",SUMPRODUCT(($D63:$W63=$D$2:$W$2)*($D63:$W63&lt;&gt;"")*$D$3:$W$3*($D$4:$W$4=AB$6)))</f>
        <v/>
      </c>
    </row>
    <row r="64">
      <c r="A64" s="5" t="n">
        <v>58</v>
      </c>
      <c r="B64" s="5">
        <f>IF('학생명단'!B64="","",'학생명단'!B64)</f>
        <v/>
      </c>
      <c r="C64" s="17">
        <f>IF('학생명단'!C64="","",'학생명단'!C64)</f>
        <v/>
      </c>
      <c r="D64" s="7" t="n"/>
      <c r="E64" s="7" t="n"/>
      <c r="F64" s="7" t="n"/>
      <c r="G64" s="7" t="n"/>
      <c r="H64" s="7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7" t="n"/>
      <c r="S64" s="7" t="n"/>
      <c r="T64" s="7" t="n"/>
      <c r="U64" s="7" t="n"/>
      <c r="V64" s="7" t="n"/>
      <c r="W64" s="7" t="n"/>
      <c r="X64" s="10">
        <f>IF(COUNTA(D64:W64)=0,"",SUMPRODUCT((D64:W64=$D$2:$W$2)*(D64:W64&lt;&gt;"")))</f>
        <v/>
      </c>
      <c r="Y64" s="26">
        <f>IF(COUNTA(D64:W64)=0,"",SUMPRODUCT((D64:W64=$D$2:$W$2)*(D64:W64&lt;&gt;"")*$D$3:$W$3))</f>
        <v/>
      </c>
      <c r="Z64" s="10">
        <f>IF($Y64="","",SUMPRODUCT(($D64:$W64=$D$2:$W$2)*($D64:$W64&lt;&gt;"")*$D$3:$W$3*($D$4:$W$4=Z$6)))</f>
        <v/>
      </c>
      <c r="AA64" s="10">
        <f>IF($Y64="","",SUMPRODUCT(($D64:$W64=$D$2:$W$2)*($D64:$W64&lt;&gt;"")*$D$3:$W$3*($D$4:$W$4=AA$6)))</f>
        <v/>
      </c>
      <c r="AB64" s="10">
        <f>IF($Y64="","",SUMPRODUCT(($D64:$W64=$D$2:$W$2)*($D64:$W64&lt;&gt;"")*$D$3:$W$3*($D$4:$W$4=AB$6)))</f>
        <v/>
      </c>
    </row>
    <row r="65">
      <c r="A65" s="5" t="n">
        <v>59</v>
      </c>
      <c r="B65" s="5">
        <f>IF('학생명단'!B65="","",'학생명단'!B65)</f>
        <v/>
      </c>
      <c r="C65" s="17">
        <f>IF('학생명단'!C65="","",'학생명단'!C65)</f>
        <v/>
      </c>
      <c r="D65" s="7" t="n"/>
      <c r="E65" s="7" t="n"/>
      <c r="F65" s="7" t="n"/>
      <c r="G65" s="7" t="n"/>
      <c r="H65" s="7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7" t="n"/>
      <c r="S65" s="7" t="n"/>
      <c r="T65" s="7" t="n"/>
      <c r="U65" s="7" t="n"/>
      <c r="V65" s="7" t="n"/>
      <c r="W65" s="7" t="n"/>
      <c r="X65" s="10">
        <f>IF(COUNTA(D65:W65)=0,"",SUMPRODUCT((D65:W65=$D$2:$W$2)*(D65:W65&lt;&gt;"")))</f>
        <v/>
      </c>
      <c r="Y65" s="26">
        <f>IF(COUNTA(D65:W65)=0,"",SUMPRODUCT((D65:W65=$D$2:$W$2)*(D65:W65&lt;&gt;"")*$D$3:$W$3))</f>
        <v/>
      </c>
      <c r="Z65" s="10">
        <f>IF($Y65="","",SUMPRODUCT(($D65:$W65=$D$2:$W$2)*($D65:$W65&lt;&gt;"")*$D$3:$W$3*($D$4:$W$4=Z$6)))</f>
        <v/>
      </c>
      <c r="AA65" s="10">
        <f>IF($Y65="","",SUMPRODUCT(($D65:$W65=$D$2:$W$2)*($D65:$W65&lt;&gt;"")*$D$3:$W$3*($D$4:$W$4=AA$6)))</f>
        <v/>
      </c>
      <c r="AB65" s="10">
        <f>IF($Y65="","",SUMPRODUCT(($D65:$W65=$D$2:$W$2)*($D65:$W65&lt;&gt;"")*$D$3:$W$3*($D$4:$W$4=AB$6)))</f>
        <v/>
      </c>
    </row>
    <row r="66">
      <c r="A66" s="5" t="n">
        <v>60</v>
      </c>
      <c r="B66" s="5">
        <f>IF('학생명단'!B66="","",'학생명단'!B66)</f>
        <v/>
      </c>
      <c r="C66" s="17">
        <f>IF('학생명단'!C66="","",'학생명단'!C66)</f>
        <v/>
      </c>
      <c r="D66" s="7" t="n"/>
      <c r="E66" s="7" t="n"/>
      <c r="F66" s="7" t="n"/>
      <c r="G66" s="7" t="n"/>
      <c r="H66" s="7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7" t="n"/>
      <c r="S66" s="7" t="n"/>
      <c r="T66" s="7" t="n"/>
      <c r="U66" s="7" t="n"/>
      <c r="V66" s="7" t="n"/>
      <c r="W66" s="7" t="n"/>
      <c r="X66" s="10">
        <f>IF(COUNTA(D66:W66)=0,"",SUMPRODUCT((D66:W66=$D$2:$W$2)*(D66:W66&lt;&gt;"")))</f>
        <v/>
      </c>
      <c r="Y66" s="26">
        <f>IF(COUNTA(D66:W66)=0,"",SUMPRODUCT((D66:W66=$D$2:$W$2)*(D66:W66&lt;&gt;"")*$D$3:$W$3))</f>
        <v/>
      </c>
      <c r="Z66" s="10">
        <f>IF($Y66="","",SUMPRODUCT(($D66:$W66=$D$2:$W$2)*($D66:$W66&lt;&gt;"")*$D$3:$W$3*($D$4:$W$4=Z$6)))</f>
        <v/>
      </c>
      <c r="AA66" s="10">
        <f>IF($Y66="","",SUMPRODUCT(($D66:$W66=$D$2:$W$2)*($D66:$W66&lt;&gt;"")*$D$3:$W$3*($D$4:$W$4=AA$6)))</f>
        <v/>
      </c>
      <c r="AB66" s="10">
        <f>IF($Y66="","",SUMPRODUCT(($D66:$W66=$D$2:$W$2)*($D66:$W66&lt;&gt;"")*$D$3:$W$3*($D$4:$W$4=AB$6)))</f>
        <v/>
      </c>
    </row>
    <row r="67">
      <c r="A67" s="5" t="n">
        <v>61</v>
      </c>
      <c r="B67" s="5">
        <f>IF('학생명단'!B67="","",'학생명단'!B67)</f>
        <v/>
      </c>
      <c r="C67" s="17">
        <f>IF('학생명단'!C67="","",'학생명단'!C67)</f>
        <v/>
      </c>
      <c r="D67" s="7" t="n"/>
      <c r="E67" s="7" t="n"/>
      <c r="F67" s="7" t="n"/>
      <c r="G67" s="7" t="n"/>
      <c r="H67" s="7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7" t="n"/>
      <c r="S67" s="7" t="n"/>
      <c r="T67" s="7" t="n"/>
      <c r="U67" s="7" t="n"/>
      <c r="V67" s="7" t="n"/>
      <c r="W67" s="7" t="n"/>
      <c r="X67" s="10">
        <f>IF(COUNTA(D67:W67)=0,"",SUMPRODUCT((D67:W67=$D$2:$W$2)*(D67:W67&lt;&gt;"")))</f>
        <v/>
      </c>
      <c r="Y67" s="26">
        <f>IF(COUNTA(D67:W67)=0,"",SUMPRODUCT((D67:W67=$D$2:$W$2)*(D67:W67&lt;&gt;"")*$D$3:$W$3))</f>
        <v/>
      </c>
      <c r="Z67" s="10">
        <f>IF($Y67="","",SUMPRODUCT(($D67:$W67=$D$2:$W$2)*($D67:$W67&lt;&gt;"")*$D$3:$W$3*($D$4:$W$4=Z$6)))</f>
        <v/>
      </c>
      <c r="AA67" s="10">
        <f>IF($Y67="","",SUMPRODUCT(($D67:$W67=$D$2:$W$2)*($D67:$W67&lt;&gt;"")*$D$3:$W$3*($D$4:$W$4=AA$6)))</f>
        <v/>
      </c>
      <c r="AB67" s="10">
        <f>IF($Y67="","",SUMPRODUCT(($D67:$W67=$D$2:$W$2)*($D67:$W67&lt;&gt;"")*$D$3:$W$3*($D$4:$W$4=AB$6)))</f>
        <v/>
      </c>
    </row>
    <row r="68">
      <c r="A68" s="5" t="n">
        <v>62</v>
      </c>
      <c r="B68" s="5">
        <f>IF('학생명단'!B68="","",'학생명단'!B68)</f>
        <v/>
      </c>
      <c r="C68" s="17">
        <f>IF('학생명단'!C68="","",'학생명단'!C68)</f>
        <v/>
      </c>
      <c r="D68" s="7" t="n"/>
      <c r="E68" s="7" t="n"/>
      <c r="F68" s="7" t="n"/>
      <c r="G68" s="7" t="n"/>
      <c r="H68" s="7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7" t="n"/>
      <c r="S68" s="7" t="n"/>
      <c r="T68" s="7" t="n"/>
      <c r="U68" s="7" t="n"/>
      <c r="V68" s="7" t="n"/>
      <c r="W68" s="7" t="n"/>
      <c r="X68" s="10">
        <f>IF(COUNTA(D68:W68)=0,"",SUMPRODUCT((D68:W68=$D$2:$W$2)*(D68:W68&lt;&gt;"")))</f>
        <v/>
      </c>
      <c r="Y68" s="26">
        <f>IF(COUNTA(D68:W68)=0,"",SUMPRODUCT((D68:W68=$D$2:$W$2)*(D68:W68&lt;&gt;"")*$D$3:$W$3))</f>
        <v/>
      </c>
      <c r="Z68" s="10">
        <f>IF($Y68="","",SUMPRODUCT(($D68:$W68=$D$2:$W$2)*($D68:$W68&lt;&gt;"")*$D$3:$W$3*($D$4:$W$4=Z$6)))</f>
        <v/>
      </c>
      <c r="AA68" s="10">
        <f>IF($Y68="","",SUMPRODUCT(($D68:$W68=$D$2:$W$2)*($D68:$W68&lt;&gt;"")*$D$3:$W$3*($D$4:$W$4=AA$6)))</f>
        <v/>
      </c>
      <c r="AB68" s="10">
        <f>IF($Y68="","",SUMPRODUCT(($D68:$W68=$D$2:$W$2)*($D68:$W68&lt;&gt;"")*$D$3:$W$3*($D$4:$W$4=AB$6)))</f>
        <v/>
      </c>
    </row>
    <row r="69">
      <c r="A69" s="5" t="n">
        <v>63</v>
      </c>
      <c r="B69" s="5">
        <f>IF('학생명단'!B69="","",'학생명단'!B69)</f>
        <v/>
      </c>
      <c r="C69" s="17">
        <f>IF('학생명단'!C69="","",'학생명단'!C69)</f>
        <v/>
      </c>
      <c r="D69" s="7" t="n"/>
      <c r="E69" s="7" t="n"/>
      <c r="F69" s="7" t="n"/>
      <c r="G69" s="7" t="n"/>
      <c r="H69" s="7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7" t="n"/>
      <c r="S69" s="7" t="n"/>
      <c r="T69" s="7" t="n"/>
      <c r="U69" s="7" t="n"/>
      <c r="V69" s="7" t="n"/>
      <c r="W69" s="7" t="n"/>
      <c r="X69" s="10">
        <f>IF(COUNTA(D69:W69)=0,"",SUMPRODUCT((D69:W69=$D$2:$W$2)*(D69:W69&lt;&gt;"")))</f>
        <v/>
      </c>
      <c r="Y69" s="26">
        <f>IF(COUNTA(D69:W69)=0,"",SUMPRODUCT((D69:W69=$D$2:$W$2)*(D69:W69&lt;&gt;"")*$D$3:$W$3))</f>
        <v/>
      </c>
      <c r="Z69" s="10">
        <f>IF($Y69="","",SUMPRODUCT(($D69:$W69=$D$2:$W$2)*($D69:$W69&lt;&gt;"")*$D$3:$W$3*($D$4:$W$4=Z$6)))</f>
        <v/>
      </c>
      <c r="AA69" s="10">
        <f>IF($Y69="","",SUMPRODUCT(($D69:$W69=$D$2:$W$2)*($D69:$W69&lt;&gt;"")*$D$3:$W$3*($D$4:$W$4=AA$6)))</f>
        <v/>
      </c>
      <c r="AB69" s="10">
        <f>IF($Y69="","",SUMPRODUCT(($D69:$W69=$D$2:$W$2)*($D69:$W69&lt;&gt;"")*$D$3:$W$3*($D$4:$W$4=AB$6)))</f>
        <v/>
      </c>
    </row>
    <row r="70">
      <c r="A70" s="5" t="n">
        <v>64</v>
      </c>
      <c r="B70" s="5">
        <f>IF('학생명단'!B70="","",'학생명단'!B70)</f>
        <v/>
      </c>
      <c r="C70" s="17">
        <f>IF('학생명단'!C70="","",'학생명단'!C70)</f>
        <v/>
      </c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7" t="n"/>
      <c r="S70" s="7" t="n"/>
      <c r="T70" s="7" t="n"/>
      <c r="U70" s="7" t="n"/>
      <c r="V70" s="7" t="n"/>
      <c r="W70" s="7" t="n"/>
      <c r="X70" s="10">
        <f>IF(COUNTA(D70:W70)=0,"",SUMPRODUCT((D70:W70=$D$2:$W$2)*(D70:W70&lt;&gt;"")))</f>
        <v/>
      </c>
      <c r="Y70" s="26">
        <f>IF(COUNTA(D70:W70)=0,"",SUMPRODUCT((D70:W70=$D$2:$W$2)*(D70:W70&lt;&gt;"")*$D$3:$W$3))</f>
        <v/>
      </c>
      <c r="Z70" s="10">
        <f>IF($Y70="","",SUMPRODUCT(($D70:$W70=$D$2:$W$2)*($D70:$W70&lt;&gt;"")*$D$3:$W$3*($D$4:$W$4=Z$6)))</f>
        <v/>
      </c>
      <c r="AA70" s="10">
        <f>IF($Y70="","",SUMPRODUCT(($D70:$W70=$D$2:$W$2)*($D70:$W70&lt;&gt;"")*$D$3:$W$3*($D$4:$W$4=AA$6)))</f>
        <v/>
      </c>
      <c r="AB70" s="10">
        <f>IF($Y70="","",SUMPRODUCT(($D70:$W70=$D$2:$W$2)*($D70:$W70&lt;&gt;"")*$D$3:$W$3*($D$4:$W$4=AB$6)))</f>
        <v/>
      </c>
    </row>
    <row r="71">
      <c r="A71" s="5" t="n">
        <v>65</v>
      </c>
      <c r="B71" s="5">
        <f>IF('학생명단'!B71="","",'학생명단'!B71)</f>
        <v/>
      </c>
      <c r="C71" s="17">
        <f>IF('학생명단'!C71="","",'학생명단'!C71)</f>
        <v/>
      </c>
      <c r="D71" s="7" t="n"/>
      <c r="E71" s="7" t="n"/>
      <c r="F71" s="7" t="n"/>
      <c r="G71" s="7" t="n"/>
      <c r="H71" s="7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7" t="n"/>
      <c r="S71" s="7" t="n"/>
      <c r="T71" s="7" t="n"/>
      <c r="U71" s="7" t="n"/>
      <c r="V71" s="7" t="n"/>
      <c r="W71" s="7" t="n"/>
      <c r="X71" s="10">
        <f>IF(COUNTA(D71:W71)=0,"",SUMPRODUCT((D71:W71=$D$2:$W$2)*(D71:W71&lt;&gt;"")))</f>
        <v/>
      </c>
      <c r="Y71" s="26">
        <f>IF(COUNTA(D71:W71)=0,"",SUMPRODUCT((D71:W71=$D$2:$W$2)*(D71:W71&lt;&gt;"")*$D$3:$W$3))</f>
        <v/>
      </c>
      <c r="Z71" s="10">
        <f>IF($Y71="","",SUMPRODUCT(($D71:$W71=$D$2:$W$2)*($D71:$W71&lt;&gt;"")*$D$3:$W$3*($D$4:$W$4=Z$6)))</f>
        <v/>
      </c>
      <c r="AA71" s="10">
        <f>IF($Y71="","",SUMPRODUCT(($D71:$W71=$D$2:$W$2)*($D71:$W71&lt;&gt;"")*$D$3:$W$3*($D$4:$W$4=AA$6)))</f>
        <v/>
      </c>
      <c r="AB71" s="10">
        <f>IF($Y71="","",SUMPRODUCT(($D71:$W71=$D$2:$W$2)*($D71:$W71&lt;&gt;"")*$D$3:$W$3*($D$4:$W$4=AB$6)))</f>
        <v/>
      </c>
    </row>
    <row r="72">
      <c r="A72" s="5" t="n">
        <v>66</v>
      </c>
      <c r="B72" s="5">
        <f>IF('학생명단'!B72="","",'학생명단'!B72)</f>
        <v/>
      </c>
      <c r="C72" s="17">
        <f>IF('학생명단'!C72="","",'학생명단'!C72)</f>
        <v/>
      </c>
      <c r="D72" s="7" t="n"/>
      <c r="E72" s="7" t="n"/>
      <c r="F72" s="7" t="n"/>
      <c r="G72" s="7" t="n"/>
      <c r="H72" s="7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7" t="n"/>
      <c r="S72" s="7" t="n"/>
      <c r="T72" s="7" t="n"/>
      <c r="U72" s="7" t="n"/>
      <c r="V72" s="7" t="n"/>
      <c r="W72" s="7" t="n"/>
      <c r="X72" s="10">
        <f>IF(COUNTA(D72:W72)=0,"",SUMPRODUCT((D72:W72=$D$2:$W$2)*(D72:W72&lt;&gt;"")))</f>
        <v/>
      </c>
      <c r="Y72" s="26">
        <f>IF(COUNTA(D72:W72)=0,"",SUMPRODUCT((D72:W72=$D$2:$W$2)*(D72:W72&lt;&gt;"")*$D$3:$W$3))</f>
        <v/>
      </c>
      <c r="Z72" s="10">
        <f>IF($Y72="","",SUMPRODUCT(($D72:$W72=$D$2:$W$2)*($D72:$W72&lt;&gt;"")*$D$3:$W$3*($D$4:$W$4=Z$6)))</f>
        <v/>
      </c>
      <c r="AA72" s="10">
        <f>IF($Y72="","",SUMPRODUCT(($D72:$W72=$D$2:$W$2)*($D72:$W72&lt;&gt;"")*$D$3:$W$3*($D$4:$W$4=AA$6)))</f>
        <v/>
      </c>
      <c r="AB72" s="10">
        <f>IF($Y72="","",SUMPRODUCT(($D72:$W72=$D$2:$W$2)*($D72:$W72&lt;&gt;"")*$D$3:$W$3*($D$4:$W$4=AB$6)))</f>
        <v/>
      </c>
    </row>
    <row r="73">
      <c r="A73" s="5" t="n">
        <v>67</v>
      </c>
      <c r="B73" s="5">
        <f>IF('학생명단'!B73="","",'학생명단'!B73)</f>
        <v/>
      </c>
      <c r="C73" s="17">
        <f>IF('학생명단'!C73="","",'학생명단'!C73)</f>
        <v/>
      </c>
      <c r="D73" s="7" t="n"/>
      <c r="E73" s="7" t="n"/>
      <c r="F73" s="7" t="n"/>
      <c r="G73" s="7" t="n"/>
      <c r="H73" s="7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7" t="n"/>
      <c r="S73" s="7" t="n"/>
      <c r="T73" s="7" t="n"/>
      <c r="U73" s="7" t="n"/>
      <c r="V73" s="7" t="n"/>
      <c r="W73" s="7" t="n"/>
      <c r="X73" s="10">
        <f>IF(COUNTA(D73:W73)=0,"",SUMPRODUCT((D73:W73=$D$2:$W$2)*(D73:W73&lt;&gt;"")))</f>
        <v/>
      </c>
      <c r="Y73" s="26">
        <f>IF(COUNTA(D73:W73)=0,"",SUMPRODUCT((D73:W73=$D$2:$W$2)*(D73:W73&lt;&gt;"")*$D$3:$W$3))</f>
        <v/>
      </c>
      <c r="Z73" s="10">
        <f>IF($Y73="","",SUMPRODUCT(($D73:$W73=$D$2:$W$2)*($D73:$W73&lt;&gt;"")*$D$3:$W$3*($D$4:$W$4=Z$6)))</f>
        <v/>
      </c>
      <c r="AA73" s="10">
        <f>IF($Y73="","",SUMPRODUCT(($D73:$W73=$D$2:$W$2)*($D73:$W73&lt;&gt;"")*$D$3:$W$3*($D$4:$W$4=AA$6)))</f>
        <v/>
      </c>
      <c r="AB73" s="10">
        <f>IF($Y73="","",SUMPRODUCT(($D73:$W73=$D$2:$W$2)*($D73:$W73&lt;&gt;"")*$D$3:$W$3*($D$4:$W$4=AB$6)))</f>
        <v/>
      </c>
    </row>
    <row r="74">
      <c r="A74" s="5" t="n">
        <v>68</v>
      </c>
      <c r="B74" s="5">
        <f>IF('학생명단'!B74="","",'학생명단'!B74)</f>
        <v/>
      </c>
      <c r="C74" s="17">
        <f>IF('학생명단'!C74="","",'학생명단'!C74)</f>
        <v/>
      </c>
      <c r="D74" s="7" t="n"/>
      <c r="E74" s="7" t="n"/>
      <c r="F74" s="7" t="n"/>
      <c r="G74" s="7" t="n"/>
      <c r="H74" s="7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7" t="n"/>
      <c r="S74" s="7" t="n"/>
      <c r="T74" s="7" t="n"/>
      <c r="U74" s="7" t="n"/>
      <c r="V74" s="7" t="n"/>
      <c r="W74" s="7" t="n"/>
      <c r="X74" s="10">
        <f>IF(COUNTA(D74:W74)=0,"",SUMPRODUCT((D74:W74=$D$2:$W$2)*(D74:W74&lt;&gt;"")))</f>
        <v/>
      </c>
      <c r="Y74" s="26">
        <f>IF(COUNTA(D74:W74)=0,"",SUMPRODUCT((D74:W74=$D$2:$W$2)*(D74:W74&lt;&gt;"")*$D$3:$W$3))</f>
        <v/>
      </c>
      <c r="Z74" s="10">
        <f>IF($Y74="","",SUMPRODUCT(($D74:$W74=$D$2:$W$2)*($D74:$W74&lt;&gt;"")*$D$3:$W$3*($D$4:$W$4=Z$6)))</f>
        <v/>
      </c>
      <c r="AA74" s="10">
        <f>IF($Y74="","",SUMPRODUCT(($D74:$W74=$D$2:$W$2)*($D74:$W74&lt;&gt;"")*$D$3:$W$3*($D$4:$W$4=AA$6)))</f>
        <v/>
      </c>
      <c r="AB74" s="10">
        <f>IF($Y74="","",SUMPRODUCT(($D74:$W74=$D$2:$W$2)*($D74:$W74&lt;&gt;"")*$D$3:$W$3*($D$4:$W$4=AB$6)))</f>
        <v/>
      </c>
    </row>
    <row r="75">
      <c r="A75" s="5" t="n">
        <v>69</v>
      </c>
      <c r="B75" s="5">
        <f>IF('학생명단'!B75="","",'학생명단'!B75)</f>
        <v/>
      </c>
      <c r="C75" s="17">
        <f>IF('학생명단'!C75="","",'학생명단'!C75)</f>
        <v/>
      </c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7" t="n"/>
      <c r="S75" s="7" t="n"/>
      <c r="T75" s="7" t="n"/>
      <c r="U75" s="7" t="n"/>
      <c r="V75" s="7" t="n"/>
      <c r="W75" s="7" t="n"/>
      <c r="X75" s="10">
        <f>IF(COUNTA(D75:W75)=0,"",SUMPRODUCT((D75:W75=$D$2:$W$2)*(D75:W75&lt;&gt;"")))</f>
        <v/>
      </c>
      <c r="Y75" s="26">
        <f>IF(COUNTA(D75:W75)=0,"",SUMPRODUCT((D75:W75=$D$2:$W$2)*(D75:W75&lt;&gt;"")*$D$3:$W$3))</f>
        <v/>
      </c>
      <c r="Z75" s="10">
        <f>IF($Y75="","",SUMPRODUCT(($D75:$W75=$D$2:$W$2)*($D75:$W75&lt;&gt;"")*$D$3:$W$3*($D$4:$W$4=Z$6)))</f>
        <v/>
      </c>
      <c r="AA75" s="10">
        <f>IF($Y75="","",SUMPRODUCT(($D75:$W75=$D$2:$W$2)*($D75:$W75&lt;&gt;"")*$D$3:$W$3*($D$4:$W$4=AA$6)))</f>
        <v/>
      </c>
      <c r="AB75" s="10">
        <f>IF($Y75="","",SUMPRODUCT(($D75:$W75=$D$2:$W$2)*($D75:$W75&lt;&gt;"")*$D$3:$W$3*($D$4:$W$4=AB$6)))</f>
        <v/>
      </c>
    </row>
    <row r="76">
      <c r="A76" s="5" t="n">
        <v>70</v>
      </c>
      <c r="B76" s="5">
        <f>IF('학생명단'!B76="","",'학생명단'!B76)</f>
        <v/>
      </c>
      <c r="C76" s="17">
        <f>IF('학생명단'!C76="","",'학생명단'!C76)</f>
        <v/>
      </c>
      <c r="D76" s="7" t="n"/>
      <c r="E76" s="7" t="n"/>
      <c r="F76" s="7" t="n"/>
      <c r="G76" s="7" t="n"/>
      <c r="H76" s="7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7" t="n"/>
      <c r="S76" s="7" t="n"/>
      <c r="T76" s="7" t="n"/>
      <c r="U76" s="7" t="n"/>
      <c r="V76" s="7" t="n"/>
      <c r="W76" s="7" t="n"/>
      <c r="X76" s="10">
        <f>IF(COUNTA(D76:W76)=0,"",SUMPRODUCT((D76:W76=$D$2:$W$2)*(D76:W76&lt;&gt;"")))</f>
        <v/>
      </c>
      <c r="Y76" s="26">
        <f>IF(COUNTA(D76:W76)=0,"",SUMPRODUCT((D76:W76=$D$2:$W$2)*(D76:W76&lt;&gt;"")*$D$3:$W$3))</f>
        <v/>
      </c>
      <c r="Z76" s="10">
        <f>IF($Y76="","",SUMPRODUCT(($D76:$W76=$D$2:$W$2)*($D76:$W76&lt;&gt;"")*$D$3:$W$3*($D$4:$W$4=Z$6)))</f>
        <v/>
      </c>
      <c r="AA76" s="10">
        <f>IF($Y76="","",SUMPRODUCT(($D76:$W76=$D$2:$W$2)*($D76:$W76&lt;&gt;"")*$D$3:$W$3*($D$4:$W$4=AA$6)))</f>
        <v/>
      </c>
      <c r="AB76" s="10">
        <f>IF($Y76="","",SUMPRODUCT(($D76:$W76=$D$2:$W$2)*($D76:$W76&lt;&gt;"")*$D$3:$W$3*($D$4:$W$4=AB$6)))</f>
        <v/>
      </c>
    </row>
    <row r="77">
      <c r="A77" s="5" t="n">
        <v>71</v>
      </c>
      <c r="B77" s="5">
        <f>IF('학생명단'!B77="","",'학생명단'!B77)</f>
        <v/>
      </c>
      <c r="C77" s="17">
        <f>IF('학생명단'!C77="","",'학생명단'!C77)</f>
        <v/>
      </c>
      <c r="D77" s="7" t="n"/>
      <c r="E77" s="7" t="n"/>
      <c r="F77" s="7" t="n"/>
      <c r="G77" s="7" t="n"/>
      <c r="H77" s="7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7" t="n"/>
      <c r="S77" s="7" t="n"/>
      <c r="T77" s="7" t="n"/>
      <c r="U77" s="7" t="n"/>
      <c r="V77" s="7" t="n"/>
      <c r="W77" s="7" t="n"/>
      <c r="X77" s="10">
        <f>IF(COUNTA(D77:W77)=0,"",SUMPRODUCT((D77:W77=$D$2:$W$2)*(D77:W77&lt;&gt;"")))</f>
        <v/>
      </c>
      <c r="Y77" s="26">
        <f>IF(COUNTA(D77:W77)=0,"",SUMPRODUCT((D77:W77=$D$2:$W$2)*(D77:W77&lt;&gt;"")*$D$3:$W$3))</f>
        <v/>
      </c>
      <c r="Z77" s="10">
        <f>IF($Y77="","",SUMPRODUCT(($D77:$W77=$D$2:$W$2)*($D77:$W77&lt;&gt;"")*$D$3:$W$3*($D$4:$W$4=Z$6)))</f>
        <v/>
      </c>
      <c r="AA77" s="10">
        <f>IF($Y77="","",SUMPRODUCT(($D77:$W77=$D$2:$W$2)*($D77:$W77&lt;&gt;"")*$D$3:$W$3*($D$4:$W$4=AA$6)))</f>
        <v/>
      </c>
      <c r="AB77" s="10">
        <f>IF($Y77="","",SUMPRODUCT(($D77:$W77=$D$2:$W$2)*($D77:$W77&lt;&gt;"")*$D$3:$W$3*($D$4:$W$4=AB$6)))</f>
        <v/>
      </c>
    </row>
    <row r="78">
      <c r="A78" s="5" t="n">
        <v>72</v>
      </c>
      <c r="B78" s="5">
        <f>IF('학생명단'!B78="","",'학생명단'!B78)</f>
        <v/>
      </c>
      <c r="C78" s="17">
        <f>IF('학생명단'!C78="","",'학생명단'!C78)</f>
        <v/>
      </c>
      <c r="D78" s="7" t="n"/>
      <c r="E78" s="7" t="n"/>
      <c r="F78" s="7" t="n"/>
      <c r="G78" s="7" t="n"/>
      <c r="H78" s="7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7" t="n"/>
      <c r="S78" s="7" t="n"/>
      <c r="T78" s="7" t="n"/>
      <c r="U78" s="7" t="n"/>
      <c r="V78" s="7" t="n"/>
      <c r="W78" s="7" t="n"/>
      <c r="X78" s="10">
        <f>IF(COUNTA(D78:W78)=0,"",SUMPRODUCT((D78:W78=$D$2:$W$2)*(D78:W78&lt;&gt;"")))</f>
        <v/>
      </c>
      <c r="Y78" s="26">
        <f>IF(COUNTA(D78:W78)=0,"",SUMPRODUCT((D78:W78=$D$2:$W$2)*(D78:W78&lt;&gt;"")*$D$3:$W$3))</f>
        <v/>
      </c>
      <c r="Z78" s="10">
        <f>IF($Y78="","",SUMPRODUCT(($D78:$W78=$D$2:$W$2)*($D78:$W78&lt;&gt;"")*$D$3:$W$3*($D$4:$W$4=Z$6)))</f>
        <v/>
      </c>
      <c r="AA78" s="10">
        <f>IF($Y78="","",SUMPRODUCT(($D78:$W78=$D$2:$W$2)*($D78:$W78&lt;&gt;"")*$D$3:$W$3*($D$4:$W$4=AA$6)))</f>
        <v/>
      </c>
      <c r="AB78" s="10">
        <f>IF($Y78="","",SUMPRODUCT(($D78:$W78=$D$2:$W$2)*($D78:$W78&lt;&gt;"")*$D$3:$W$3*($D$4:$W$4=AB$6)))</f>
        <v/>
      </c>
    </row>
    <row r="79">
      <c r="A79" s="5" t="n">
        <v>73</v>
      </c>
      <c r="B79" s="5">
        <f>IF('학생명단'!B79="","",'학생명단'!B79)</f>
        <v/>
      </c>
      <c r="C79" s="17">
        <f>IF('학생명단'!C79="","",'학생명단'!C79)</f>
        <v/>
      </c>
      <c r="D79" s="7" t="n"/>
      <c r="E79" s="7" t="n"/>
      <c r="F79" s="7" t="n"/>
      <c r="G79" s="7" t="n"/>
      <c r="H79" s="7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7" t="n"/>
      <c r="S79" s="7" t="n"/>
      <c r="T79" s="7" t="n"/>
      <c r="U79" s="7" t="n"/>
      <c r="V79" s="7" t="n"/>
      <c r="W79" s="7" t="n"/>
      <c r="X79" s="10">
        <f>IF(COUNTA(D79:W79)=0,"",SUMPRODUCT((D79:W79=$D$2:$W$2)*(D79:W79&lt;&gt;"")))</f>
        <v/>
      </c>
      <c r="Y79" s="26">
        <f>IF(COUNTA(D79:W79)=0,"",SUMPRODUCT((D79:W79=$D$2:$W$2)*(D79:W79&lt;&gt;"")*$D$3:$W$3))</f>
        <v/>
      </c>
      <c r="Z79" s="10">
        <f>IF($Y79="","",SUMPRODUCT(($D79:$W79=$D$2:$W$2)*($D79:$W79&lt;&gt;"")*$D$3:$W$3*($D$4:$W$4=Z$6)))</f>
        <v/>
      </c>
      <c r="AA79" s="10">
        <f>IF($Y79="","",SUMPRODUCT(($D79:$W79=$D$2:$W$2)*($D79:$W79&lt;&gt;"")*$D$3:$W$3*($D$4:$W$4=AA$6)))</f>
        <v/>
      </c>
      <c r="AB79" s="10">
        <f>IF($Y79="","",SUMPRODUCT(($D79:$W79=$D$2:$W$2)*($D79:$W79&lt;&gt;"")*$D$3:$W$3*($D$4:$W$4=AB$6)))</f>
        <v/>
      </c>
    </row>
    <row r="80">
      <c r="A80" s="5" t="n">
        <v>74</v>
      </c>
      <c r="B80" s="5">
        <f>IF('학생명단'!B80="","",'학생명단'!B80)</f>
        <v/>
      </c>
      <c r="C80" s="17">
        <f>IF('학생명단'!C80="","",'학생명단'!C80)</f>
        <v/>
      </c>
      <c r="D80" s="7" t="n"/>
      <c r="E80" s="7" t="n"/>
      <c r="F80" s="7" t="n"/>
      <c r="G80" s="7" t="n"/>
      <c r="H80" s="7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7" t="n"/>
      <c r="S80" s="7" t="n"/>
      <c r="T80" s="7" t="n"/>
      <c r="U80" s="7" t="n"/>
      <c r="V80" s="7" t="n"/>
      <c r="W80" s="7" t="n"/>
      <c r="X80" s="10">
        <f>IF(COUNTA(D80:W80)=0,"",SUMPRODUCT((D80:W80=$D$2:$W$2)*(D80:W80&lt;&gt;"")))</f>
        <v/>
      </c>
      <c r="Y80" s="26">
        <f>IF(COUNTA(D80:W80)=0,"",SUMPRODUCT((D80:W80=$D$2:$W$2)*(D80:W80&lt;&gt;"")*$D$3:$W$3))</f>
        <v/>
      </c>
      <c r="Z80" s="10">
        <f>IF($Y80="","",SUMPRODUCT(($D80:$W80=$D$2:$W$2)*($D80:$W80&lt;&gt;"")*$D$3:$W$3*($D$4:$W$4=Z$6)))</f>
        <v/>
      </c>
      <c r="AA80" s="10">
        <f>IF($Y80="","",SUMPRODUCT(($D80:$W80=$D$2:$W$2)*($D80:$W80&lt;&gt;"")*$D$3:$W$3*($D$4:$W$4=AA$6)))</f>
        <v/>
      </c>
      <c r="AB80" s="10">
        <f>IF($Y80="","",SUMPRODUCT(($D80:$W80=$D$2:$W$2)*($D80:$W80&lt;&gt;"")*$D$3:$W$3*($D$4:$W$4=AB$6)))</f>
        <v/>
      </c>
    </row>
    <row r="81">
      <c r="A81" s="5" t="n">
        <v>75</v>
      </c>
      <c r="B81" s="5">
        <f>IF('학생명단'!B81="","",'학생명단'!B81)</f>
        <v/>
      </c>
      <c r="C81" s="17">
        <f>IF('학생명단'!C81="","",'학생명단'!C81)</f>
        <v/>
      </c>
      <c r="D81" s="7" t="n"/>
      <c r="E81" s="7" t="n"/>
      <c r="F81" s="7" t="n"/>
      <c r="G81" s="7" t="n"/>
      <c r="H81" s="7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7" t="n"/>
      <c r="S81" s="7" t="n"/>
      <c r="T81" s="7" t="n"/>
      <c r="U81" s="7" t="n"/>
      <c r="V81" s="7" t="n"/>
      <c r="W81" s="7" t="n"/>
      <c r="X81" s="10">
        <f>IF(COUNTA(D81:W81)=0,"",SUMPRODUCT((D81:W81=$D$2:$W$2)*(D81:W81&lt;&gt;"")))</f>
        <v/>
      </c>
      <c r="Y81" s="26">
        <f>IF(COUNTA(D81:W81)=0,"",SUMPRODUCT((D81:W81=$D$2:$W$2)*(D81:W81&lt;&gt;"")*$D$3:$W$3))</f>
        <v/>
      </c>
      <c r="Z81" s="10">
        <f>IF($Y81="","",SUMPRODUCT(($D81:$W81=$D$2:$W$2)*($D81:$W81&lt;&gt;"")*$D$3:$W$3*($D$4:$W$4=Z$6)))</f>
        <v/>
      </c>
      <c r="AA81" s="10">
        <f>IF($Y81="","",SUMPRODUCT(($D81:$W81=$D$2:$W$2)*($D81:$W81&lt;&gt;"")*$D$3:$W$3*($D$4:$W$4=AA$6)))</f>
        <v/>
      </c>
      <c r="AB81" s="10">
        <f>IF($Y81="","",SUMPRODUCT(($D81:$W81=$D$2:$W$2)*($D81:$W81&lt;&gt;"")*$D$3:$W$3*($D$4:$W$4=AB$6)))</f>
        <v/>
      </c>
    </row>
    <row r="82">
      <c r="A82" s="5" t="n">
        <v>76</v>
      </c>
      <c r="B82" s="5">
        <f>IF('학생명단'!B82="","",'학생명단'!B82)</f>
        <v/>
      </c>
      <c r="C82" s="17">
        <f>IF('학생명단'!C82="","",'학생명단'!C82)</f>
        <v/>
      </c>
      <c r="D82" s="7" t="n"/>
      <c r="E82" s="7" t="n"/>
      <c r="F82" s="7" t="n"/>
      <c r="G82" s="7" t="n"/>
      <c r="H82" s="7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7" t="n"/>
      <c r="S82" s="7" t="n"/>
      <c r="T82" s="7" t="n"/>
      <c r="U82" s="7" t="n"/>
      <c r="V82" s="7" t="n"/>
      <c r="W82" s="7" t="n"/>
      <c r="X82" s="10">
        <f>IF(COUNTA(D82:W82)=0,"",SUMPRODUCT((D82:W82=$D$2:$W$2)*(D82:W82&lt;&gt;"")))</f>
        <v/>
      </c>
      <c r="Y82" s="26">
        <f>IF(COUNTA(D82:W82)=0,"",SUMPRODUCT((D82:W82=$D$2:$W$2)*(D82:W82&lt;&gt;"")*$D$3:$W$3))</f>
        <v/>
      </c>
      <c r="Z82" s="10">
        <f>IF($Y82="","",SUMPRODUCT(($D82:$W82=$D$2:$W$2)*($D82:$W82&lt;&gt;"")*$D$3:$W$3*($D$4:$W$4=Z$6)))</f>
        <v/>
      </c>
      <c r="AA82" s="10">
        <f>IF($Y82="","",SUMPRODUCT(($D82:$W82=$D$2:$W$2)*($D82:$W82&lt;&gt;"")*$D$3:$W$3*($D$4:$W$4=AA$6)))</f>
        <v/>
      </c>
      <c r="AB82" s="10">
        <f>IF($Y82="","",SUMPRODUCT(($D82:$W82=$D$2:$W$2)*($D82:$W82&lt;&gt;"")*$D$3:$W$3*($D$4:$W$4=AB$6)))</f>
        <v/>
      </c>
    </row>
    <row r="83">
      <c r="A83" s="5" t="n">
        <v>77</v>
      </c>
      <c r="B83" s="5">
        <f>IF('학생명단'!B83="","",'학생명단'!B83)</f>
        <v/>
      </c>
      <c r="C83" s="17">
        <f>IF('학생명단'!C83="","",'학생명단'!C83)</f>
        <v/>
      </c>
      <c r="D83" s="7" t="n"/>
      <c r="E83" s="7" t="n"/>
      <c r="F83" s="7" t="n"/>
      <c r="G83" s="7" t="n"/>
      <c r="H83" s="7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7" t="n"/>
      <c r="S83" s="7" t="n"/>
      <c r="T83" s="7" t="n"/>
      <c r="U83" s="7" t="n"/>
      <c r="V83" s="7" t="n"/>
      <c r="W83" s="7" t="n"/>
      <c r="X83" s="10">
        <f>IF(COUNTA(D83:W83)=0,"",SUMPRODUCT((D83:W83=$D$2:$W$2)*(D83:W83&lt;&gt;"")))</f>
        <v/>
      </c>
      <c r="Y83" s="26">
        <f>IF(COUNTA(D83:W83)=0,"",SUMPRODUCT((D83:W83=$D$2:$W$2)*(D83:W83&lt;&gt;"")*$D$3:$W$3))</f>
        <v/>
      </c>
      <c r="Z83" s="10">
        <f>IF($Y83="","",SUMPRODUCT(($D83:$W83=$D$2:$W$2)*($D83:$W83&lt;&gt;"")*$D$3:$W$3*($D$4:$W$4=Z$6)))</f>
        <v/>
      </c>
      <c r="AA83" s="10">
        <f>IF($Y83="","",SUMPRODUCT(($D83:$W83=$D$2:$W$2)*($D83:$W83&lt;&gt;"")*$D$3:$W$3*($D$4:$W$4=AA$6)))</f>
        <v/>
      </c>
      <c r="AB83" s="10">
        <f>IF($Y83="","",SUMPRODUCT(($D83:$W83=$D$2:$W$2)*($D83:$W83&lt;&gt;"")*$D$3:$W$3*($D$4:$W$4=AB$6)))</f>
        <v/>
      </c>
    </row>
    <row r="84">
      <c r="A84" s="5" t="n">
        <v>78</v>
      </c>
      <c r="B84" s="5">
        <f>IF('학생명단'!B84="","",'학생명단'!B84)</f>
        <v/>
      </c>
      <c r="C84" s="17">
        <f>IF('학생명단'!C84="","",'학생명단'!C84)</f>
        <v/>
      </c>
      <c r="D84" s="7" t="n"/>
      <c r="E84" s="7" t="n"/>
      <c r="F84" s="7" t="n"/>
      <c r="G84" s="7" t="n"/>
      <c r="H84" s="7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7" t="n"/>
      <c r="S84" s="7" t="n"/>
      <c r="T84" s="7" t="n"/>
      <c r="U84" s="7" t="n"/>
      <c r="V84" s="7" t="n"/>
      <c r="W84" s="7" t="n"/>
      <c r="X84" s="10">
        <f>IF(COUNTA(D84:W84)=0,"",SUMPRODUCT((D84:W84=$D$2:$W$2)*(D84:W84&lt;&gt;"")))</f>
        <v/>
      </c>
      <c r="Y84" s="26">
        <f>IF(COUNTA(D84:W84)=0,"",SUMPRODUCT((D84:W84=$D$2:$W$2)*(D84:W84&lt;&gt;"")*$D$3:$W$3))</f>
        <v/>
      </c>
      <c r="Z84" s="10">
        <f>IF($Y84="","",SUMPRODUCT(($D84:$W84=$D$2:$W$2)*($D84:$W84&lt;&gt;"")*$D$3:$W$3*($D$4:$W$4=Z$6)))</f>
        <v/>
      </c>
      <c r="AA84" s="10">
        <f>IF($Y84="","",SUMPRODUCT(($D84:$W84=$D$2:$W$2)*($D84:$W84&lt;&gt;"")*$D$3:$W$3*($D$4:$W$4=AA$6)))</f>
        <v/>
      </c>
      <c r="AB84" s="10">
        <f>IF($Y84="","",SUMPRODUCT(($D84:$W84=$D$2:$W$2)*($D84:$W84&lt;&gt;"")*$D$3:$W$3*($D$4:$W$4=AB$6)))</f>
        <v/>
      </c>
    </row>
    <row r="85">
      <c r="A85" s="5" t="n">
        <v>79</v>
      </c>
      <c r="B85" s="5">
        <f>IF('학생명단'!B85="","",'학생명단'!B85)</f>
        <v/>
      </c>
      <c r="C85" s="17">
        <f>IF('학생명단'!C85="","",'학생명단'!C85)</f>
        <v/>
      </c>
      <c r="D85" s="7" t="n"/>
      <c r="E85" s="7" t="n"/>
      <c r="F85" s="7" t="n"/>
      <c r="G85" s="7" t="n"/>
      <c r="H85" s="7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10">
        <f>IF(COUNTA(D85:W85)=0,"",SUMPRODUCT((D85:W85=$D$2:$W$2)*(D85:W85&lt;&gt;"")))</f>
        <v/>
      </c>
      <c r="Y85" s="26">
        <f>IF(COUNTA(D85:W85)=0,"",SUMPRODUCT((D85:W85=$D$2:$W$2)*(D85:W85&lt;&gt;"")*$D$3:$W$3))</f>
        <v/>
      </c>
      <c r="Z85" s="10">
        <f>IF($Y85="","",SUMPRODUCT(($D85:$W85=$D$2:$W$2)*($D85:$W85&lt;&gt;"")*$D$3:$W$3*($D$4:$W$4=Z$6)))</f>
        <v/>
      </c>
      <c r="AA85" s="10">
        <f>IF($Y85="","",SUMPRODUCT(($D85:$W85=$D$2:$W$2)*($D85:$W85&lt;&gt;"")*$D$3:$W$3*($D$4:$W$4=AA$6)))</f>
        <v/>
      </c>
      <c r="AB85" s="10">
        <f>IF($Y85="","",SUMPRODUCT(($D85:$W85=$D$2:$W$2)*($D85:$W85&lt;&gt;"")*$D$3:$W$3*($D$4:$W$4=AB$6)))</f>
        <v/>
      </c>
    </row>
    <row r="86">
      <c r="A86" s="5" t="n">
        <v>80</v>
      </c>
      <c r="B86" s="5">
        <f>IF('학생명단'!B86="","",'학생명단'!B86)</f>
        <v/>
      </c>
      <c r="C86" s="17">
        <f>IF('학생명단'!C86="","",'학생명단'!C86)</f>
        <v/>
      </c>
      <c r="D86" s="7" t="n"/>
      <c r="E86" s="7" t="n"/>
      <c r="F86" s="7" t="n"/>
      <c r="G86" s="7" t="n"/>
      <c r="H86" s="7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7" t="n"/>
      <c r="S86" s="7" t="n"/>
      <c r="T86" s="7" t="n"/>
      <c r="U86" s="7" t="n"/>
      <c r="V86" s="7" t="n"/>
      <c r="W86" s="7" t="n"/>
      <c r="X86" s="10">
        <f>IF(COUNTA(D86:W86)=0,"",SUMPRODUCT((D86:W86=$D$2:$W$2)*(D86:W86&lt;&gt;"")))</f>
        <v/>
      </c>
      <c r="Y86" s="26">
        <f>IF(COUNTA(D86:W86)=0,"",SUMPRODUCT((D86:W86=$D$2:$W$2)*(D86:W86&lt;&gt;"")*$D$3:$W$3))</f>
        <v/>
      </c>
      <c r="Z86" s="10">
        <f>IF($Y86="","",SUMPRODUCT(($D86:$W86=$D$2:$W$2)*($D86:$W86&lt;&gt;"")*$D$3:$W$3*($D$4:$W$4=Z$6)))</f>
        <v/>
      </c>
      <c r="AA86" s="10">
        <f>IF($Y86="","",SUMPRODUCT(($D86:$W86=$D$2:$W$2)*($D86:$W86&lt;&gt;"")*$D$3:$W$3*($D$4:$W$4=AA$6)))</f>
        <v/>
      </c>
      <c r="AB86" s="10">
        <f>IF($Y86="","",SUMPRODUCT(($D86:$W86=$D$2:$W$2)*($D86:$W86&lt;&gt;"")*$D$3:$W$3*($D$4:$W$4=AB$6)))</f>
        <v/>
      </c>
    </row>
  </sheetData>
  <mergeCells count="6">
    <mergeCell ref="D1:AB1"/>
    <mergeCell ref="A1:C1"/>
    <mergeCell ref="A5:C5"/>
    <mergeCell ref="A3:C3"/>
    <mergeCell ref="A4:C4"/>
    <mergeCell ref="A2:C2"/>
  </mergeCells>
  <conditionalFormatting sqref="D7:W86">
    <cfRule type="expression" priority="1" dxfId="0">
      <formula>AND(D7&lt;&gt;"",D$2&lt;&gt;"",D7&lt;&gt;D$2)</formula>
    </cfRule>
  </conditionalFormatting>
  <conditionalFormatting sqref="D2:W2">
    <cfRule type="expression" priority="2" dxfId="1">
      <formula>D2=""</formula>
    </cfRule>
  </conditionalFormatting>
  <dataValidations count="4">
    <dataValidation sqref="D4:W4" showDropDown="0" showInputMessage="0" showErrorMessage="0" allowBlank="1" type="list">
      <formula1>='설정'!$B$24:$B$26</formula1>
    </dataValidation>
    <dataValidation sqref="D5:W5" showDropDown="0" showInputMessage="0" showErrorMessage="0" allowBlank="1" type="list">
      <formula1>"하,중하,중,중상,상,최상"</formula1>
    </dataValidation>
    <dataValidation sqref="D2 D7:D86 E2 E7:E86 F2 F7:F86 G2 G7:G86 H2 H7:H86 I2 I7:I86 J2 J7:J86 K2 K7:K86 L2 L7:L86 M2 M7:M86 N2 N7:N86 O2 O7:O86 P2 P7:P86 Q2 Q7:Q86" showDropDown="0" showInputMessage="0" showErrorMessage="1" allowBlank="1" errorTitle="입력 오류" error="객관식은 1~5 사이 정수만 입력" type="whole" operator="between">
      <formula1>1</formula1>
      <formula2>5</formula2>
    </dataValidation>
    <dataValidation sqref="R2 R7:R86 S2 S7:S86 T2 T7:T86 U2 U7:U86 V2 V7:V86 W2 W7:W86" showDropDown="0" showInputMessage="0" showErrorMessage="1" allowBlank="1" errorTitle="입력 오류" error="단답형은 0~999 사이 정수만 입력" type="whole" operator="between">
      <formula1>0</formula1>
      <formula2>999</formula2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Y8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10" customWidth="1" min="3" max="3"/>
    <col width="6" customWidth="1" min="4" max="4"/>
    <col width="9" customWidth="1" min="5" max="5"/>
    <col width="22" customWidth="1" min="6" max="6"/>
    <col width="7" customWidth="1" min="7" max="7"/>
    <col width="7" customWidth="1" min="8" max="8"/>
    <col width="8" customWidth="1" min="9" max="9"/>
    <col width="6" customWidth="1" min="10" max="10"/>
    <col width="10" customWidth="1" min="11" max="11"/>
    <col width="6" customWidth="1" min="12" max="12"/>
    <col width="10" customWidth="1" min="13" max="13"/>
    <col width="10" customWidth="1" min="14" max="14"/>
    <col width="10" customWidth="1" min="15" max="15"/>
    <col width="12" customWidth="1" min="16" max="16"/>
    <col hidden="1" width="13" customWidth="1" min="17" max="17"/>
    <col width="10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6" customHeight="1">
      <c r="A1" s="1" t="inlineStr">
        <is>
          <t>반 배정 (공통수학반 + 선행 과목반)</t>
        </is>
      </c>
    </row>
    <row r="2" ht="30" customHeight="1">
      <c r="A2" s="2" t="inlineStr">
        <is>
          <t>학생마다 2개 반 수강: ① 공통수학반 = 시험 결과 기준 자동배정('설정' ①, 해당 없으면 보류). 노란 칸 '공통수학반'에 적으면 그 반이 우선. ② 선행반 = 학습 진도를 보고 노란 칸 '선행반'에서 1과목 선택('설정' ⑦ 목록). 두 반 모두 학부모 보고서에 들어갑니다. 주황색 행 = 기준 점수 경계.</t>
        </is>
      </c>
    </row>
    <row r="5">
      <c r="S5" s="3" t="inlineStr">
        <is>
          <t>공통수학반별 요약 (최종 기준)</t>
        </is>
      </c>
    </row>
    <row r="6" ht="30" customHeight="1">
      <c r="A6" s="4" t="inlineStr">
        <is>
          <t>No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학습 진도</t>
        </is>
      </c>
      <c r="G6" s="4" t="inlineStr">
        <is>
          <t>공수1</t>
        </is>
      </c>
      <c r="H6" s="4" t="inlineStr">
        <is>
          <t>공수2</t>
        </is>
      </c>
      <c r="I6" s="4" t="inlineStr">
        <is>
          <t>환산총점</t>
        </is>
      </c>
      <c r="J6" s="4" t="inlineStr">
        <is>
          <t>석차</t>
        </is>
      </c>
      <c r="K6" s="4" t="inlineStr">
        <is>
          <t>자동배정</t>
        </is>
      </c>
      <c r="L6" s="4" t="inlineStr">
        <is>
          <t>경계</t>
        </is>
      </c>
      <c r="M6" s="4" t="inlineStr">
        <is>
          <t>공통수학반
(입력)</t>
        </is>
      </c>
      <c r="N6" s="4" t="inlineStr">
        <is>
          <t>선행반
(입력)</t>
        </is>
      </c>
      <c r="O6" s="4" t="inlineStr">
        <is>
          <t>공통수학반
(최종)</t>
        </is>
      </c>
      <c r="P6" s="4" t="inlineStr">
        <is>
          <t>비고</t>
        </is>
      </c>
      <c r="S6" s="4" t="inlineStr">
        <is>
          <t>반</t>
        </is>
      </c>
      <c r="T6" s="4" t="inlineStr">
        <is>
          <t>자동
인원</t>
        </is>
      </c>
      <c r="U6" s="4" t="inlineStr">
        <is>
          <t>최종
인원</t>
        </is>
      </c>
      <c r="V6" s="4" t="inlineStr">
        <is>
          <t>공수1
평균</t>
        </is>
      </c>
      <c r="W6" s="4" t="inlineStr">
        <is>
          <t>공수2
평균</t>
        </is>
      </c>
      <c r="X6" s="4" t="inlineStr">
        <is>
          <t>재원</t>
        </is>
      </c>
      <c r="Y6" s="4" t="inlineStr">
        <is>
          <t>외부</t>
        </is>
      </c>
    </row>
    <row r="7">
      <c r="A7" s="5" t="n">
        <v>1</v>
      </c>
      <c r="B7" s="10">
        <f>IF('학생명단'!B7="","",'학생명단'!B7)</f>
        <v/>
      </c>
      <c r="C7" s="10">
        <f>IF('학생명단'!C7="","",'학생명단'!C7)</f>
        <v/>
      </c>
      <c r="D7" s="10">
        <f>IF('학생명단'!D7="","",'학생명단'!D7)</f>
        <v/>
      </c>
      <c r="E7" s="10">
        <f>IF('학생명단'!E7="","",'학생명단'!E7)</f>
        <v/>
      </c>
      <c r="F7" s="11">
        <f>IF('학생명단'!F7="","",'학생명단'!F7)</f>
        <v/>
      </c>
      <c r="G7" s="10">
        <f>'공수1'!Y7</f>
        <v/>
      </c>
      <c r="H7" s="10">
        <f>'공수2'!Y7</f>
        <v/>
      </c>
      <c r="I7" s="27">
        <f>IF(AND(G7="",H7=""),"",N(G7)*'설정'!$C$13+N(H7)*'설정'!$C$14)</f>
        <v/>
      </c>
      <c r="J7" s="10">
        <f>IF(I7="","",COUNTIF($I$7:$I$86,"&gt;"&amp;I7)+1)</f>
        <v/>
      </c>
      <c r="K7" s="26">
        <f>IF(I7="","",IF(OR(G7="",H7=""),'설정'!$B$9,IF(AND(OR('설정'!$C$6="",G7&gt;='설정'!$C$6),OR('설정'!$D$6="",G7&lt;'설정'!$D$6),OR('설정'!$E$6="",H7&gt;='설정'!$E$6),OR('설정'!$F$6="",H7&lt;'설정'!$F$6)),'설정'!$B$6,IF(AND(OR('설정'!$C$7="",G7&gt;='설정'!$C$7),OR('설정'!$D$7="",G7&lt;'설정'!$D$7),OR('설정'!$E$7="",H7&gt;='설정'!$E$7),OR('설정'!$F$7="",H7&lt;'설정'!$F$7)),'설정'!$B$7,IF(AND(OR('설정'!$C$8="",G7&gt;='설정'!$C$8),OR('설정'!$D$8="",G7&lt;'설정'!$D$8),OR('설정'!$E$8="",H7&gt;='설정'!$E$8),OR('설정'!$F$8="",H7&lt;'설정'!$F$8)),'설정'!$B$8,'설정'!$B$9)))))</f>
        <v/>
      </c>
      <c r="L7" s="28">
        <f>IF(OR(G7="",H7=""),"",IF(SUMPRODUCT(ISNUMBER('설정'!$C$6:$D$8)*(ABS(G7-'설정'!$C$6:$D$8)&lt;='설정'!$C$15))+SUMPRODUCT(ISNUMBER('설정'!$E$6:$F$8)*(ABS(H7-'설정'!$E$6:$F$8)&lt;='설정'!$C$15))&gt;0,"경계",""))</f>
        <v/>
      </c>
      <c r="M7" s="7" t="n"/>
      <c r="N7" s="7" t="n"/>
      <c r="O7" s="26">
        <f>IF(M7&lt;&gt;"",M7,K7)</f>
        <v/>
      </c>
      <c r="P7" s="29">
        <f>IF(I7="","",IF(G7="","공수1 미응시",IF(H7="","공수2 미응시","")))</f>
        <v/>
      </c>
      <c r="Q7" s="10">
        <f>IF(J7="","",J7+ROW()/100000)</f>
        <v/>
      </c>
      <c r="S7" s="30">
        <f>'설정'!$B$6</f>
        <v/>
      </c>
      <c r="T7" s="10">
        <f>COUNTIF($K$7:$K$86,S7)</f>
        <v/>
      </c>
      <c r="U7" s="26">
        <f>COUNTIF($O$7:$O$86,S7)</f>
        <v/>
      </c>
      <c r="V7" s="31">
        <f>IFERROR(AVERAGEIF($O$7:$O$86,S7,$G$7:$G$86),"")</f>
        <v/>
      </c>
      <c r="W7" s="31">
        <f>IFERROR(AVERAGEIF($O$7:$O$86,S7,$H$7:$H$86),"")</f>
        <v/>
      </c>
      <c r="X7" s="10">
        <f>COUNTIFS($O$7:$O$86,S7,$D$7:$D$86,"재원")</f>
        <v/>
      </c>
      <c r="Y7" s="10">
        <f>COUNTIFS($O$7:$O$86,S7,$D$7:$D$86,"외부")</f>
        <v/>
      </c>
    </row>
    <row r="8">
      <c r="A8" s="5" t="n">
        <v>2</v>
      </c>
      <c r="B8" s="10">
        <f>IF('학생명단'!B8="","",'학생명단'!B8)</f>
        <v/>
      </c>
      <c r="C8" s="10">
        <f>IF('학생명단'!C8="","",'학생명단'!C8)</f>
        <v/>
      </c>
      <c r="D8" s="10">
        <f>IF('학생명단'!D8="","",'학생명단'!D8)</f>
        <v/>
      </c>
      <c r="E8" s="10">
        <f>IF('학생명단'!E8="","",'학생명단'!E8)</f>
        <v/>
      </c>
      <c r="F8" s="11">
        <f>IF('학생명단'!F8="","",'학생명단'!F8)</f>
        <v/>
      </c>
      <c r="G8" s="10">
        <f>'공수1'!Y8</f>
        <v/>
      </c>
      <c r="H8" s="10">
        <f>'공수2'!Y8</f>
        <v/>
      </c>
      <c r="I8" s="27">
        <f>IF(AND(G8="",H8=""),"",N(G8)*'설정'!$C$13+N(H8)*'설정'!$C$14)</f>
        <v/>
      </c>
      <c r="J8" s="10">
        <f>IF(I8="","",COUNTIF($I$7:$I$86,"&gt;"&amp;I8)+1)</f>
        <v/>
      </c>
      <c r="K8" s="26">
        <f>IF(I8="","",IF(OR(G8="",H8=""),'설정'!$B$9,IF(AND(OR('설정'!$C$6="",G8&gt;='설정'!$C$6),OR('설정'!$D$6="",G8&lt;'설정'!$D$6),OR('설정'!$E$6="",H8&gt;='설정'!$E$6),OR('설정'!$F$6="",H8&lt;'설정'!$F$6)),'설정'!$B$6,IF(AND(OR('설정'!$C$7="",G8&gt;='설정'!$C$7),OR('설정'!$D$7="",G8&lt;'설정'!$D$7),OR('설정'!$E$7="",H8&gt;='설정'!$E$7),OR('설정'!$F$7="",H8&lt;'설정'!$F$7)),'설정'!$B$7,IF(AND(OR('설정'!$C$8="",G8&gt;='설정'!$C$8),OR('설정'!$D$8="",G8&lt;'설정'!$D$8),OR('설정'!$E$8="",H8&gt;='설정'!$E$8),OR('설정'!$F$8="",H8&lt;'설정'!$F$8)),'설정'!$B$8,'설정'!$B$9)))))</f>
        <v/>
      </c>
      <c r="L8" s="28">
        <f>IF(OR(G8="",H8=""),"",IF(SUMPRODUCT(ISNUMBER('설정'!$C$6:$D$8)*(ABS(G8-'설정'!$C$6:$D$8)&lt;='설정'!$C$15))+SUMPRODUCT(ISNUMBER('설정'!$E$6:$F$8)*(ABS(H8-'설정'!$E$6:$F$8)&lt;='설정'!$C$15))&gt;0,"경계",""))</f>
        <v/>
      </c>
      <c r="M8" s="7" t="n"/>
      <c r="N8" s="7" t="n"/>
      <c r="O8" s="26">
        <f>IF(M8&lt;&gt;"",M8,K8)</f>
        <v/>
      </c>
      <c r="P8" s="29">
        <f>IF(I8="","",IF(G8="","공수1 미응시",IF(H8="","공수2 미응시","")))</f>
        <v/>
      </c>
      <c r="Q8" s="10">
        <f>IF(J8="","",J8+ROW()/100000)</f>
        <v/>
      </c>
      <c r="S8" s="32">
        <f>'설정'!$B$7</f>
        <v/>
      </c>
      <c r="T8" s="10">
        <f>COUNTIF($K$7:$K$86,S8)</f>
        <v/>
      </c>
      <c r="U8" s="26">
        <f>COUNTIF($O$7:$O$86,S8)</f>
        <v/>
      </c>
      <c r="V8" s="31">
        <f>IFERROR(AVERAGEIF($O$7:$O$86,S8,$G$7:$G$86),"")</f>
        <v/>
      </c>
      <c r="W8" s="31">
        <f>IFERROR(AVERAGEIF($O$7:$O$86,S8,$H$7:$H$86),"")</f>
        <v/>
      </c>
      <c r="X8" s="10">
        <f>COUNTIFS($O$7:$O$86,S8,$D$7:$D$86,"재원")</f>
        <v/>
      </c>
      <c r="Y8" s="10">
        <f>COUNTIFS($O$7:$O$86,S8,$D$7:$D$86,"외부")</f>
        <v/>
      </c>
    </row>
    <row r="9">
      <c r="A9" s="5" t="n">
        <v>3</v>
      </c>
      <c r="B9" s="10">
        <f>IF('학생명단'!B9="","",'학생명단'!B9)</f>
        <v/>
      </c>
      <c r="C9" s="10">
        <f>IF('학생명단'!C9="","",'학생명단'!C9)</f>
        <v/>
      </c>
      <c r="D9" s="10">
        <f>IF('학생명단'!D9="","",'학생명단'!D9)</f>
        <v/>
      </c>
      <c r="E9" s="10">
        <f>IF('학생명단'!E9="","",'학생명단'!E9)</f>
        <v/>
      </c>
      <c r="F9" s="11">
        <f>IF('학생명단'!F9="","",'학생명단'!F9)</f>
        <v/>
      </c>
      <c r="G9" s="10">
        <f>'공수1'!Y9</f>
        <v/>
      </c>
      <c r="H9" s="10">
        <f>'공수2'!Y9</f>
        <v/>
      </c>
      <c r="I9" s="27">
        <f>IF(AND(G9="",H9=""),"",N(G9)*'설정'!$C$13+N(H9)*'설정'!$C$14)</f>
        <v/>
      </c>
      <c r="J9" s="10">
        <f>IF(I9="","",COUNTIF($I$7:$I$86,"&gt;"&amp;I9)+1)</f>
        <v/>
      </c>
      <c r="K9" s="26">
        <f>IF(I9="","",IF(OR(G9="",H9=""),'설정'!$B$9,IF(AND(OR('설정'!$C$6="",G9&gt;='설정'!$C$6),OR('설정'!$D$6="",G9&lt;'설정'!$D$6),OR('설정'!$E$6="",H9&gt;='설정'!$E$6),OR('설정'!$F$6="",H9&lt;'설정'!$F$6)),'설정'!$B$6,IF(AND(OR('설정'!$C$7="",G9&gt;='설정'!$C$7),OR('설정'!$D$7="",G9&lt;'설정'!$D$7),OR('설정'!$E$7="",H9&gt;='설정'!$E$7),OR('설정'!$F$7="",H9&lt;'설정'!$F$7)),'설정'!$B$7,IF(AND(OR('설정'!$C$8="",G9&gt;='설정'!$C$8),OR('설정'!$D$8="",G9&lt;'설정'!$D$8),OR('설정'!$E$8="",H9&gt;='설정'!$E$8),OR('설정'!$F$8="",H9&lt;'설정'!$F$8)),'설정'!$B$8,'설정'!$B$9)))))</f>
        <v/>
      </c>
      <c r="L9" s="28">
        <f>IF(OR(G9="",H9=""),"",IF(SUMPRODUCT(ISNUMBER('설정'!$C$6:$D$8)*(ABS(G9-'설정'!$C$6:$D$8)&lt;='설정'!$C$15))+SUMPRODUCT(ISNUMBER('설정'!$E$6:$F$8)*(ABS(H9-'설정'!$E$6:$F$8)&lt;='설정'!$C$15))&gt;0,"경계",""))</f>
        <v/>
      </c>
      <c r="M9" s="7" t="n"/>
      <c r="N9" s="7" t="n"/>
      <c r="O9" s="26">
        <f>IF(M9&lt;&gt;"",M9,K9)</f>
        <v/>
      </c>
      <c r="P9" s="29">
        <f>IF(I9="","",IF(G9="","공수1 미응시",IF(H9="","공수2 미응시","")))</f>
        <v/>
      </c>
      <c r="Q9" s="10">
        <f>IF(J9="","",J9+ROW()/100000)</f>
        <v/>
      </c>
      <c r="S9" s="33">
        <f>'설정'!$B$8</f>
        <v/>
      </c>
      <c r="T9" s="10">
        <f>COUNTIF($K$7:$K$86,S9)</f>
        <v/>
      </c>
      <c r="U9" s="26">
        <f>COUNTIF($O$7:$O$86,S9)</f>
        <v/>
      </c>
      <c r="V9" s="31">
        <f>IFERROR(AVERAGEIF($O$7:$O$86,S9,$G$7:$G$86),"")</f>
        <v/>
      </c>
      <c r="W9" s="31">
        <f>IFERROR(AVERAGEIF($O$7:$O$86,S9,$H$7:$H$86),"")</f>
        <v/>
      </c>
      <c r="X9" s="10">
        <f>COUNTIFS($O$7:$O$86,S9,$D$7:$D$86,"재원")</f>
        <v/>
      </c>
      <c r="Y9" s="10">
        <f>COUNTIFS($O$7:$O$86,S9,$D$7:$D$86,"외부")</f>
        <v/>
      </c>
    </row>
    <row r="10">
      <c r="A10" s="5" t="n">
        <v>4</v>
      </c>
      <c r="B10" s="10">
        <f>IF('학생명단'!B10="","",'학생명단'!B10)</f>
        <v/>
      </c>
      <c r="C10" s="10">
        <f>IF('학생명단'!C10="","",'학생명단'!C10)</f>
        <v/>
      </c>
      <c r="D10" s="10">
        <f>IF('학생명단'!D10="","",'학생명단'!D10)</f>
        <v/>
      </c>
      <c r="E10" s="10">
        <f>IF('학생명단'!E10="","",'학생명단'!E10)</f>
        <v/>
      </c>
      <c r="F10" s="11">
        <f>IF('학생명단'!F10="","",'학생명단'!F10)</f>
        <v/>
      </c>
      <c r="G10" s="10">
        <f>'공수1'!Y10</f>
        <v/>
      </c>
      <c r="H10" s="10">
        <f>'공수2'!Y10</f>
        <v/>
      </c>
      <c r="I10" s="27">
        <f>IF(AND(G10="",H10=""),"",N(G10)*'설정'!$C$13+N(H10)*'설정'!$C$14)</f>
        <v/>
      </c>
      <c r="J10" s="10">
        <f>IF(I10="","",COUNTIF($I$7:$I$86,"&gt;"&amp;I10)+1)</f>
        <v/>
      </c>
      <c r="K10" s="26">
        <f>IF(I10="","",IF(OR(G10="",H10=""),'설정'!$B$9,IF(AND(OR('설정'!$C$6="",G10&gt;='설정'!$C$6),OR('설정'!$D$6="",G10&lt;'설정'!$D$6),OR('설정'!$E$6="",H10&gt;='설정'!$E$6),OR('설정'!$F$6="",H10&lt;'설정'!$F$6)),'설정'!$B$6,IF(AND(OR('설정'!$C$7="",G10&gt;='설정'!$C$7),OR('설정'!$D$7="",G10&lt;'설정'!$D$7),OR('설정'!$E$7="",H10&gt;='설정'!$E$7),OR('설정'!$F$7="",H10&lt;'설정'!$F$7)),'설정'!$B$7,IF(AND(OR('설정'!$C$8="",G10&gt;='설정'!$C$8),OR('설정'!$D$8="",G10&lt;'설정'!$D$8),OR('설정'!$E$8="",H10&gt;='설정'!$E$8),OR('설정'!$F$8="",H10&lt;'설정'!$F$8)),'설정'!$B$8,'설정'!$B$9)))))</f>
        <v/>
      </c>
      <c r="L10" s="28">
        <f>IF(OR(G10="",H10=""),"",IF(SUMPRODUCT(ISNUMBER('설정'!$C$6:$D$8)*(ABS(G10-'설정'!$C$6:$D$8)&lt;='설정'!$C$15))+SUMPRODUCT(ISNUMBER('설정'!$E$6:$F$8)*(ABS(H10-'설정'!$E$6:$F$8)&lt;='설정'!$C$15))&gt;0,"경계",""))</f>
        <v/>
      </c>
      <c r="M10" s="7" t="n"/>
      <c r="N10" s="7" t="n"/>
      <c r="O10" s="26">
        <f>IF(M10&lt;&gt;"",M10,K10)</f>
        <v/>
      </c>
      <c r="P10" s="29">
        <f>IF(I10="","",IF(G10="","공수1 미응시",IF(H10="","공수2 미응시","")))</f>
        <v/>
      </c>
      <c r="Q10" s="10">
        <f>IF(J10="","",J10+ROW()/100000)</f>
        <v/>
      </c>
      <c r="S10" s="34">
        <f>'설정'!$B$9</f>
        <v/>
      </c>
      <c r="T10" s="10">
        <f>COUNTIF($K$7:$K$86,S10)</f>
        <v/>
      </c>
      <c r="U10" s="26">
        <f>COUNTIF($O$7:$O$86,S10)</f>
        <v/>
      </c>
      <c r="V10" s="31">
        <f>IFERROR(AVERAGEIF($O$7:$O$86,S10,$G$7:$G$86),"")</f>
        <v/>
      </c>
      <c r="W10" s="31">
        <f>IFERROR(AVERAGEIF($O$7:$O$86,S10,$H$7:$H$86),"")</f>
        <v/>
      </c>
      <c r="X10" s="10">
        <f>COUNTIFS($O$7:$O$86,S10,$D$7:$D$86,"재원")</f>
        <v/>
      </c>
      <c r="Y10" s="10">
        <f>COUNTIFS($O$7:$O$86,S10,$D$7:$D$86,"외부")</f>
        <v/>
      </c>
    </row>
    <row r="11">
      <c r="A11" s="5" t="n">
        <v>5</v>
      </c>
      <c r="B11" s="10">
        <f>IF('학생명단'!B11="","",'학생명단'!B11)</f>
        <v/>
      </c>
      <c r="C11" s="10">
        <f>IF('학생명단'!C11="","",'학생명단'!C11)</f>
        <v/>
      </c>
      <c r="D11" s="10">
        <f>IF('학생명단'!D11="","",'학생명단'!D11)</f>
        <v/>
      </c>
      <c r="E11" s="10">
        <f>IF('학생명단'!E11="","",'학생명단'!E11)</f>
        <v/>
      </c>
      <c r="F11" s="11">
        <f>IF('학생명단'!F11="","",'학생명단'!F11)</f>
        <v/>
      </c>
      <c r="G11" s="10">
        <f>'공수1'!Y11</f>
        <v/>
      </c>
      <c r="H11" s="10">
        <f>'공수2'!Y11</f>
        <v/>
      </c>
      <c r="I11" s="27">
        <f>IF(AND(G11="",H11=""),"",N(G11)*'설정'!$C$13+N(H11)*'설정'!$C$14)</f>
        <v/>
      </c>
      <c r="J11" s="10">
        <f>IF(I11="","",COUNTIF($I$7:$I$86,"&gt;"&amp;I11)+1)</f>
        <v/>
      </c>
      <c r="K11" s="26">
        <f>IF(I11="","",IF(OR(G11="",H11=""),'설정'!$B$9,IF(AND(OR('설정'!$C$6="",G11&gt;='설정'!$C$6),OR('설정'!$D$6="",G11&lt;'설정'!$D$6),OR('설정'!$E$6="",H11&gt;='설정'!$E$6),OR('설정'!$F$6="",H11&lt;'설정'!$F$6)),'설정'!$B$6,IF(AND(OR('설정'!$C$7="",G11&gt;='설정'!$C$7),OR('설정'!$D$7="",G11&lt;'설정'!$D$7),OR('설정'!$E$7="",H11&gt;='설정'!$E$7),OR('설정'!$F$7="",H11&lt;'설정'!$F$7)),'설정'!$B$7,IF(AND(OR('설정'!$C$8="",G11&gt;='설정'!$C$8),OR('설정'!$D$8="",G11&lt;'설정'!$D$8),OR('설정'!$E$8="",H11&gt;='설정'!$E$8),OR('설정'!$F$8="",H11&lt;'설정'!$F$8)),'설정'!$B$8,'설정'!$B$9)))))</f>
        <v/>
      </c>
      <c r="L11" s="28">
        <f>IF(OR(G11="",H11=""),"",IF(SUMPRODUCT(ISNUMBER('설정'!$C$6:$D$8)*(ABS(G11-'설정'!$C$6:$D$8)&lt;='설정'!$C$15))+SUMPRODUCT(ISNUMBER('설정'!$E$6:$F$8)*(ABS(H11-'설정'!$E$6:$F$8)&lt;='설정'!$C$15))&gt;0,"경계",""))</f>
        <v/>
      </c>
      <c r="M11" s="7" t="n"/>
      <c r="N11" s="7" t="n"/>
      <c r="O11" s="26">
        <f>IF(M11&lt;&gt;"",M11,K11)</f>
        <v/>
      </c>
      <c r="P11" s="29">
        <f>IF(I11="","",IF(G11="","공수1 미응시",IF(H11="","공수2 미응시","")))</f>
        <v/>
      </c>
      <c r="Q11" s="10">
        <f>IF(J11="","",J11+ROW()/100000)</f>
        <v/>
      </c>
      <c r="S11" s="8" t="inlineStr">
        <is>
          <t>합계</t>
        </is>
      </c>
      <c r="T11" s="8">
        <f>SUM(T7:T10)</f>
        <v/>
      </c>
      <c r="U11" s="8">
        <f>SUM(U7:U10)</f>
        <v/>
      </c>
      <c r="V11" s="35">
        <f>IFERROR(AVERAGE($G$7:$G$86),"")</f>
        <v/>
      </c>
      <c r="W11" s="35">
        <f>IFERROR(AVERAGE($H$7:$H$86),"")</f>
        <v/>
      </c>
      <c r="X11" s="8">
        <f>SUM(X7:X10)</f>
        <v/>
      </c>
      <c r="Y11" s="8">
        <f>SUM(Y7:Y10)</f>
        <v/>
      </c>
    </row>
    <row r="12">
      <c r="A12" s="5" t="n">
        <v>6</v>
      </c>
      <c r="B12" s="10">
        <f>IF('학생명단'!B12="","",'학생명단'!B12)</f>
        <v/>
      </c>
      <c r="C12" s="10">
        <f>IF('학생명단'!C12="","",'학생명단'!C12)</f>
        <v/>
      </c>
      <c r="D12" s="10">
        <f>IF('학생명단'!D12="","",'학생명단'!D12)</f>
        <v/>
      </c>
      <c r="E12" s="10">
        <f>IF('학생명단'!E12="","",'학생명단'!E12)</f>
        <v/>
      </c>
      <c r="F12" s="11">
        <f>IF('학생명단'!F12="","",'학생명단'!F12)</f>
        <v/>
      </c>
      <c r="G12" s="10">
        <f>'공수1'!Y12</f>
        <v/>
      </c>
      <c r="H12" s="10">
        <f>'공수2'!Y12</f>
        <v/>
      </c>
      <c r="I12" s="27">
        <f>IF(AND(G12="",H12=""),"",N(G12)*'설정'!$C$13+N(H12)*'설정'!$C$14)</f>
        <v/>
      </c>
      <c r="J12" s="10">
        <f>IF(I12="","",COUNTIF($I$7:$I$86,"&gt;"&amp;I12)+1)</f>
        <v/>
      </c>
      <c r="K12" s="26">
        <f>IF(I12="","",IF(OR(G12="",H12=""),'설정'!$B$9,IF(AND(OR('설정'!$C$6="",G12&gt;='설정'!$C$6),OR('설정'!$D$6="",G12&lt;'설정'!$D$6),OR('설정'!$E$6="",H12&gt;='설정'!$E$6),OR('설정'!$F$6="",H12&lt;'설정'!$F$6)),'설정'!$B$6,IF(AND(OR('설정'!$C$7="",G12&gt;='설정'!$C$7),OR('설정'!$D$7="",G12&lt;'설정'!$D$7),OR('설정'!$E$7="",H12&gt;='설정'!$E$7),OR('설정'!$F$7="",H12&lt;'설정'!$F$7)),'설정'!$B$7,IF(AND(OR('설정'!$C$8="",G12&gt;='설정'!$C$8),OR('설정'!$D$8="",G12&lt;'설정'!$D$8),OR('설정'!$E$8="",H12&gt;='설정'!$E$8),OR('설정'!$F$8="",H12&lt;'설정'!$F$8)),'설정'!$B$8,'설정'!$B$9)))))</f>
        <v/>
      </c>
      <c r="L12" s="28">
        <f>IF(OR(G12="",H12=""),"",IF(SUMPRODUCT(ISNUMBER('설정'!$C$6:$D$8)*(ABS(G12-'설정'!$C$6:$D$8)&lt;='설정'!$C$15))+SUMPRODUCT(ISNUMBER('설정'!$E$6:$F$8)*(ABS(H12-'설정'!$E$6:$F$8)&lt;='설정'!$C$15))&gt;0,"경계",""))</f>
        <v/>
      </c>
      <c r="M12" s="7" t="n"/>
      <c r="N12" s="7" t="n"/>
      <c r="O12" s="26">
        <f>IF(M12&lt;&gt;"",M12,K12)</f>
        <v/>
      </c>
      <c r="P12" s="29">
        <f>IF(I12="","",IF(G12="","공수1 미응시",IF(H12="","공수2 미응시","")))</f>
        <v/>
      </c>
      <c r="Q12" s="10">
        <f>IF(J12="","",J12+ROW()/100000)</f>
        <v/>
      </c>
    </row>
    <row r="13">
      <c r="A13" s="5" t="n">
        <v>7</v>
      </c>
      <c r="B13" s="10">
        <f>IF('학생명단'!B13="","",'학생명단'!B13)</f>
        <v/>
      </c>
      <c r="C13" s="10">
        <f>IF('학생명단'!C13="","",'학생명단'!C13)</f>
        <v/>
      </c>
      <c r="D13" s="10">
        <f>IF('학생명단'!D13="","",'학생명단'!D13)</f>
        <v/>
      </c>
      <c r="E13" s="10">
        <f>IF('학생명단'!E13="","",'학생명단'!E13)</f>
        <v/>
      </c>
      <c r="F13" s="11">
        <f>IF('학생명단'!F13="","",'학생명단'!F13)</f>
        <v/>
      </c>
      <c r="G13" s="10">
        <f>'공수1'!Y13</f>
        <v/>
      </c>
      <c r="H13" s="10">
        <f>'공수2'!Y13</f>
        <v/>
      </c>
      <c r="I13" s="27">
        <f>IF(AND(G13="",H13=""),"",N(G13)*'설정'!$C$13+N(H13)*'설정'!$C$14)</f>
        <v/>
      </c>
      <c r="J13" s="10">
        <f>IF(I13="","",COUNTIF($I$7:$I$86,"&gt;"&amp;I13)+1)</f>
        <v/>
      </c>
      <c r="K13" s="26">
        <f>IF(I13="","",IF(OR(G13="",H13=""),'설정'!$B$9,IF(AND(OR('설정'!$C$6="",G13&gt;='설정'!$C$6),OR('설정'!$D$6="",G13&lt;'설정'!$D$6),OR('설정'!$E$6="",H13&gt;='설정'!$E$6),OR('설정'!$F$6="",H13&lt;'설정'!$F$6)),'설정'!$B$6,IF(AND(OR('설정'!$C$7="",G13&gt;='설정'!$C$7),OR('설정'!$D$7="",G13&lt;'설정'!$D$7),OR('설정'!$E$7="",H13&gt;='설정'!$E$7),OR('설정'!$F$7="",H13&lt;'설정'!$F$7)),'설정'!$B$7,IF(AND(OR('설정'!$C$8="",G13&gt;='설정'!$C$8),OR('설정'!$D$8="",G13&lt;'설정'!$D$8),OR('설정'!$E$8="",H13&gt;='설정'!$E$8),OR('설정'!$F$8="",H13&lt;'설정'!$F$8)),'설정'!$B$8,'설정'!$B$9)))))</f>
        <v/>
      </c>
      <c r="L13" s="28">
        <f>IF(OR(G13="",H13=""),"",IF(SUMPRODUCT(ISNUMBER('설정'!$C$6:$D$8)*(ABS(G13-'설정'!$C$6:$D$8)&lt;='설정'!$C$15))+SUMPRODUCT(ISNUMBER('설정'!$E$6:$F$8)*(ABS(H13-'설정'!$E$6:$F$8)&lt;='설정'!$C$15))&gt;0,"경계",""))</f>
        <v/>
      </c>
      <c r="M13" s="7" t="n"/>
      <c r="N13" s="7" t="n"/>
      <c r="O13" s="26">
        <f>IF(M13&lt;&gt;"",M13,K13)</f>
        <v/>
      </c>
      <c r="P13" s="29">
        <f>IF(I13="","",IF(G13="","공수1 미응시",IF(H13="","공수2 미응시","")))</f>
        <v/>
      </c>
      <c r="Q13" s="10">
        <f>IF(J13="","",J13+ROW()/100000)</f>
        <v/>
      </c>
      <c r="S13" s="2" t="inlineStr">
        <is>
          <t>· 자동배정은 '설정' ①의 과목별 점수 기준(절대평가)
· 경계 = 어느 과목이든 기준 점수와의 차이가 경계 범위 이내
· 공통수학반·선행반은 목록에서 고르거나 직접 입력('설정' ⑥·⑦에 반 소개 추가 가능)
· 환산총점·석차는 참고용</t>
        </is>
      </c>
    </row>
    <row r="14">
      <c r="A14" s="5" t="n">
        <v>8</v>
      </c>
      <c r="B14" s="10">
        <f>IF('학생명단'!B14="","",'학생명단'!B14)</f>
        <v/>
      </c>
      <c r="C14" s="10">
        <f>IF('학생명단'!C14="","",'학생명단'!C14)</f>
        <v/>
      </c>
      <c r="D14" s="10">
        <f>IF('학생명단'!D14="","",'학생명단'!D14)</f>
        <v/>
      </c>
      <c r="E14" s="10">
        <f>IF('학생명단'!E14="","",'학생명단'!E14)</f>
        <v/>
      </c>
      <c r="F14" s="11">
        <f>IF('학생명단'!F14="","",'학생명단'!F14)</f>
        <v/>
      </c>
      <c r="G14" s="10">
        <f>'공수1'!Y14</f>
        <v/>
      </c>
      <c r="H14" s="10">
        <f>'공수2'!Y14</f>
        <v/>
      </c>
      <c r="I14" s="27">
        <f>IF(AND(G14="",H14=""),"",N(G14)*'설정'!$C$13+N(H14)*'설정'!$C$14)</f>
        <v/>
      </c>
      <c r="J14" s="10">
        <f>IF(I14="","",COUNTIF($I$7:$I$86,"&gt;"&amp;I14)+1)</f>
        <v/>
      </c>
      <c r="K14" s="26">
        <f>IF(I14="","",IF(OR(G14="",H14=""),'설정'!$B$9,IF(AND(OR('설정'!$C$6="",G14&gt;='설정'!$C$6),OR('설정'!$D$6="",G14&lt;'설정'!$D$6),OR('설정'!$E$6="",H14&gt;='설정'!$E$6),OR('설정'!$F$6="",H14&lt;'설정'!$F$6)),'설정'!$B$6,IF(AND(OR('설정'!$C$7="",G14&gt;='설정'!$C$7),OR('설정'!$D$7="",G14&lt;'설정'!$D$7),OR('설정'!$E$7="",H14&gt;='설정'!$E$7),OR('설정'!$F$7="",H14&lt;'설정'!$F$7)),'설정'!$B$7,IF(AND(OR('설정'!$C$8="",G14&gt;='설정'!$C$8),OR('설정'!$D$8="",G14&lt;'설정'!$D$8),OR('설정'!$E$8="",H14&gt;='설정'!$E$8),OR('설정'!$F$8="",H14&lt;'설정'!$F$8)),'설정'!$B$8,'설정'!$B$9)))))</f>
        <v/>
      </c>
      <c r="L14" s="28">
        <f>IF(OR(G14="",H14=""),"",IF(SUMPRODUCT(ISNUMBER('설정'!$C$6:$D$8)*(ABS(G14-'설정'!$C$6:$D$8)&lt;='설정'!$C$15))+SUMPRODUCT(ISNUMBER('설정'!$E$6:$F$8)*(ABS(H14-'설정'!$E$6:$F$8)&lt;='설정'!$C$15))&gt;0,"경계",""))</f>
        <v/>
      </c>
      <c r="M14" s="7" t="n"/>
      <c r="N14" s="7" t="n"/>
      <c r="O14" s="26">
        <f>IF(M14&lt;&gt;"",M14,K14)</f>
        <v/>
      </c>
      <c r="P14" s="29">
        <f>IF(I14="","",IF(G14="","공수1 미응시",IF(H14="","공수2 미응시","")))</f>
        <v/>
      </c>
      <c r="Q14" s="10">
        <f>IF(J14="","",J14+ROW()/100000)</f>
        <v/>
      </c>
    </row>
    <row r="15">
      <c r="A15" s="5" t="n">
        <v>9</v>
      </c>
      <c r="B15" s="10">
        <f>IF('학생명단'!B15="","",'학생명단'!B15)</f>
        <v/>
      </c>
      <c r="C15" s="10">
        <f>IF('학생명단'!C15="","",'학생명단'!C15)</f>
        <v/>
      </c>
      <c r="D15" s="10">
        <f>IF('학생명단'!D15="","",'학생명단'!D15)</f>
        <v/>
      </c>
      <c r="E15" s="10">
        <f>IF('학생명단'!E15="","",'학생명단'!E15)</f>
        <v/>
      </c>
      <c r="F15" s="11">
        <f>IF('학생명단'!F15="","",'학생명단'!F15)</f>
        <v/>
      </c>
      <c r="G15" s="10">
        <f>'공수1'!Y15</f>
        <v/>
      </c>
      <c r="H15" s="10">
        <f>'공수2'!Y15</f>
        <v/>
      </c>
      <c r="I15" s="27">
        <f>IF(AND(G15="",H15=""),"",N(G15)*'설정'!$C$13+N(H15)*'설정'!$C$14)</f>
        <v/>
      </c>
      <c r="J15" s="10">
        <f>IF(I15="","",COUNTIF($I$7:$I$86,"&gt;"&amp;I15)+1)</f>
        <v/>
      </c>
      <c r="K15" s="26">
        <f>IF(I15="","",IF(OR(G15="",H15=""),'설정'!$B$9,IF(AND(OR('설정'!$C$6="",G15&gt;='설정'!$C$6),OR('설정'!$D$6="",G15&lt;'설정'!$D$6),OR('설정'!$E$6="",H15&gt;='설정'!$E$6),OR('설정'!$F$6="",H15&lt;'설정'!$F$6)),'설정'!$B$6,IF(AND(OR('설정'!$C$7="",G15&gt;='설정'!$C$7),OR('설정'!$D$7="",G15&lt;'설정'!$D$7),OR('설정'!$E$7="",H15&gt;='설정'!$E$7),OR('설정'!$F$7="",H15&lt;'설정'!$F$7)),'설정'!$B$7,IF(AND(OR('설정'!$C$8="",G15&gt;='설정'!$C$8),OR('설정'!$D$8="",G15&lt;'설정'!$D$8),OR('설정'!$E$8="",H15&gt;='설정'!$E$8),OR('설정'!$F$8="",H15&lt;'설정'!$F$8)),'설정'!$B$8,'설정'!$B$9)))))</f>
        <v/>
      </c>
      <c r="L15" s="28">
        <f>IF(OR(G15="",H15=""),"",IF(SUMPRODUCT(ISNUMBER('설정'!$C$6:$D$8)*(ABS(G15-'설정'!$C$6:$D$8)&lt;='설정'!$C$15))+SUMPRODUCT(ISNUMBER('설정'!$E$6:$F$8)*(ABS(H15-'설정'!$E$6:$F$8)&lt;='설정'!$C$15))&gt;0,"경계",""))</f>
        <v/>
      </c>
      <c r="M15" s="7" t="n"/>
      <c r="N15" s="7" t="n"/>
      <c r="O15" s="26">
        <f>IF(M15&lt;&gt;"",M15,K15)</f>
        <v/>
      </c>
      <c r="P15" s="29">
        <f>IF(I15="","",IF(G15="","공수1 미응시",IF(H15="","공수2 미응시","")))</f>
        <v/>
      </c>
      <c r="Q15" s="10">
        <f>IF(J15="","",J15+ROW()/100000)</f>
        <v/>
      </c>
    </row>
    <row r="16">
      <c r="A16" s="5" t="n">
        <v>10</v>
      </c>
      <c r="B16" s="10">
        <f>IF('학생명단'!B16="","",'학생명단'!B16)</f>
        <v/>
      </c>
      <c r="C16" s="10">
        <f>IF('학생명단'!C16="","",'학생명단'!C16)</f>
        <v/>
      </c>
      <c r="D16" s="10">
        <f>IF('학생명단'!D16="","",'학생명단'!D16)</f>
        <v/>
      </c>
      <c r="E16" s="10">
        <f>IF('학생명단'!E16="","",'학생명단'!E16)</f>
        <v/>
      </c>
      <c r="F16" s="11">
        <f>IF('학생명단'!F16="","",'학생명단'!F16)</f>
        <v/>
      </c>
      <c r="G16" s="10">
        <f>'공수1'!Y16</f>
        <v/>
      </c>
      <c r="H16" s="10">
        <f>'공수2'!Y16</f>
        <v/>
      </c>
      <c r="I16" s="27">
        <f>IF(AND(G16="",H16=""),"",N(G16)*'설정'!$C$13+N(H16)*'설정'!$C$14)</f>
        <v/>
      </c>
      <c r="J16" s="10">
        <f>IF(I16="","",COUNTIF($I$7:$I$86,"&gt;"&amp;I16)+1)</f>
        <v/>
      </c>
      <c r="K16" s="26">
        <f>IF(I16="","",IF(OR(G16="",H16=""),'설정'!$B$9,IF(AND(OR('설정'!$C$6="",G16&gt;='설정'!$C$6),OR('설정'!$D$6="",G16&lt;'설정'!$D$6),OR('설정'!$E$6="",H16&gt;='설정'!$E$6),OR('설정'!$F$6="",H16&lt;'설정'!$F$6)),'설정'!$B$6,IF(AND(OR('설정'!$C$7="",G16&gt;='설정'!$C$7),OR('설정'!$D$7="",G16&lt;'설정'!$D$7),OR('설정'!$E$7="",H16&gt;='설정'!$E$7),OR('설정'!$F$7="",H16&lt;'설정'!$F$7)),'설정'!$B$7,IF(AND(OR('설정'!$C$8="",G16&gt;='설정'!$C$8),OR('설정'!$D$8="",G16&lt;'설정'!$D$8),OR('설정'!$E$8="",H16&gt;='설정'!$E$8),OR('설정'!$F$8="",H16&lt;'설정'!$F$8)),'설정'!$B$8,'설정'!$B$9)))))</f>
        <v/>
      </c>
      <c r="L16" s="28">
        <f>IF(OR(G16="",H16=""),"",IF(SUMPRODUCT(ISNUMBER('설정'!$C$6:$D$8)*(ABS(G16-'설정'!$C$6:$D$8)&lt;='설정'!$C$15))+SUMPRODUCT(ISNUMBER('설정'!$E$6:$F$8)*(ABS(H16-'설정'!$E$6:$F$8)&lt;='설정'!$C$15))&gt;0,"경계",""))</f>
        <v/>
      </c>
      <c r="M16" s="7" t="n"/>
      <c r="N16" s="7" t="n"/>
      <c r="O16" s="26">
        <f>IF(M16&lt;&gt;"",M16,K16)</f>
        <v/>
      </c>
      <c r="P16" s="29">
        <f>IF(I16="","",IF(G16="","공수1 미응시",IF(H16="","공수2 미응시","")))</f>
        <v/>
      </c>
      <c r="Q16" s="10">
        <f>IF(J16="","",J16+ROW()/100000)</f>
        <v/>
      </c>
    </row>
    <row r="17">
      <c r="A17" s="5" t="n">
        <v>11</v>
      </c>
      <c r="B17" s="10">
        <f>IF('학생명단'!B17="","",'학생명단'!B17)</f>
        <v/>
      </c>
      <c r="C17" s="10">
        <f>IF('학생명단'!C17="","",'학생명단'!C17)</f>
        <v/>
      </c>
      <c r="D17" s="10">
        <f>IF('학생명단'!D17="","",'학생명단'!D17)</f>
        <v/>
      </c>
      <c r="E17" s="10">
        <f>IF('학생명단'!E17="","",'학생명단'!E17)</f>
        <v/>
      </c>
      <c r="F17" s="11">
        <f>IF('학생명단'!F17="","",'학생명단'!F17)</f>
        <v/>
      </c>
      <c r="G17" s="10">
        <f>'공수1'!Y17</f>
        <v/>
      </c>
      <c r="H17" s="10">
        <f>'공수2'!Y17</f>
        <v/>
      </c>
      <c r="I17" s="27">
        <f>IF(AND(G17="",H17=""),"",N(G17)*'설정'!$C$13+N(H17)*'설정'!$C$14)</f>
        <v/>
      </c>
      <c r="J17" s="10">
        <f>IF(I17="","",COUNTIF($I$7:$I$86,"&gt;"&amp;I17)+1)</f>
        <v/>
      </c>
      <c r="K17" s="26">
        <f>IF(I17="","",IF(OR(G17="",H17=""),'설정'!$B$9,IF(AND(OR('설정'!$C$6="",G17&gt;='설정'!$C$6),OR('설정'!$D$6="",G17&lt;'설정'!$D$6),OR('설정'!$E$6="",H17&gt;='설정'!$E$6),OR('설정'!$F$6="",H17&lt;'설정'!$F$6)),'설정'!$B$6,IF(AND(OR('설정'!$C$7="",G17&gt;='설정'!$C$7),OR('설정'!$D$7="",G17&lt;'설정'!$D$7),OR('설정'!$E$7="",H17&gt;='설정'!$E$7),OR('설정'!$F$7="",H17&lt;'설정'!$F$7)),'설정'!$B$7,IF(AND(OR('설정'!$C$8="",G17&gt;='설정'!$C$8),OR('설정'!$D$8="",G17&lt;'설정'!$D$8),OR('설정'!$E$8="",H17&gt;='설정'!$E$8),OR('설정'!$F$8="",H17&lt;'설정'!$F$8)),'설정'!$B$8,'설정'!$B$9)))))</f>
        <v/>
      </c>
      <c r="L17" s="28">
        <f>IF(OR(G17="",H17=""),"",IF(SUMPRODUCT(ISNUMBER('설정'!$C$6:$D$8)*(ABS(G17-'설정'!$C$6:$D$8)&lt;='설정'!$C$15))+SUMPRODUCT(ISNUMBER('설정'!$E$6:$F$8)*(ABS(H17-'설정'!$E$6:$F$8)&lt;='설정'!$C$15))&gt;0,"경계",""))</f>
        <v/>
      </c>
      <c r="M17" s="7" t="n"/>
      <c r="N17" s="7" t="n"/>
      <c r="O17" s="26">
        <f>IF(M17&lt;&gt;"",M17,K17)</f>
        <v/>
      </c>
      <c r="P17" s="29">
        <f>IF(I17="","",IF(G17="","공수1 미응시",IF(H17="","공수2 미응시","")))</f>
        <v/>
      </c>
      <c r="Q17" s="10">
        <f>IF(J17="","",J17+ROW()/100000)</f>
        <v/>
      </c>
    </row>
    <row r="18">
      <c r="A18" s="5" t="n">
        <v>12</v>
      </c>
      <c r="B18" s="10">
        <f>IF('학생명단'!B18="","",'학생명단'!B18)</f>
        <v/>
      </c>
      <c r="C18" s="10">
        <f>IF('학생명단'!C18="","",'학생명단'!C18)</f>
        <v/>
      </c>
      <c r="D18" s="10">
        <f>IF('학생명단'!D18="","",'학생명단'!D18)</f>
        <v/>
      </c>
      <c r="E18" s="10">
        <f>IF('학생명단'!E18="","",'학생명단'!E18)</f>
        <v/>
      </c>
      <c r="F18" s="11">
        <f>IF('학생명단'!F18="","",'학생명단'!F18)</f>
        <v/>
      </c>
      <c r="G18" s="10">
        <f>'공수1'!Y18</f>
        <v/>
      </c>
      <c r="H18" s="10">
        <f>'공수2'!Y18</f>
        <v/>
      </c>
      <c r="I18" s="27">
        <f>IF(AND(G18="",H18=""),"",N(G18)*'설정'!$C$13+N(H18)*'설정'!$C$14)</f>
        <v/>
      </c>
      <c r="J18" s="10">
        <f>IF(I18="","",COUNTIF($I$7:$I$86,"&gt;"&amp;I18)+1)</f>
        <v/>
      </c>
      <c r="K18" s="26">
        <f>IF(I18="","",IF(OR(G18="",H18=""),'설정'!$B$9,IF(AND(OR('설정'!$C$6="",G18&gt;='설정'!$C$6),OR('설정'!$D$6="",G18&lt;'설정'!$D$6),OR('설정'!$E$6="",H18&gt;='설정'!$E$6),OR('설정'!$F$6="",H18&lt;'설정'!$F$6)),'설정'!$B$6,IF(AND(OR('설정'!$C$7="",G18&gt;='설정'!$C$7),OR('설정'!$D$7="",G18&lt;'설정'!$D$7),OR('설정'!$E$7="",H18&gt;='설정'!$E$7),OR('설정'!$F$7="",H18&lt;'설정'!$F$7)),'설정'!$B$7,IF(AND(OR('설정'!$C$8="",G18&gt;='설정'!$C$8),OR('설정'!$D$8="",G18&lt;'설정'!$D$8),OR('설정'!$E$8="",H18&gt;='설정'!$E$8),OR('설정'!$F$8="",H18&lt;'설정'!$F$8)),'설정'!$B$8,'설정'!$B$9)))))</f>
        <v/>
      </c>
      <c r="L18" s="28">
        <f>IF(OR(G18="",H18=""),"",IF(SUMPRODUCT(ISNUMBER('설정'!$C$6:$D$8)*(ABS(G18-'설정'!$C$6:$D$8)&lt;='설정'!$C$15))+SUMPRODUCT(ISNUMBER('설정'!$E$6:$F$8)*(ABS(H18-'설정'!$E$6:$F$8)&lt;='설정'!$C$15))&gt;0,"경계",""))</f>
        <v/>
      </c>
      <c r="M18" s="7" t="n"/>
      <c r="N18" s="7" t="n"/>
      <c r="O18" s="26">
        <f>IF(M18&lt;&gt;"",M18,K18)</f>
        <v/>
      </c>
      <c r="P18" s="29">
        <f>IF(I18="","",IF(G18="","공수1 미응시",IF(H18="","공수2 미응시","")))</f>
        <v/>
      </c>
      <c r="Q18" s="10">
        <f>IF(J18="","",J18+ROW()/100000)</f>
        <v/>
      </c>
    </row>
    <row r="19">
      <c r="A19" s="5" t="n">
        <v>13</v>
      </c>
      <c r="B19" s="10">
        <f>IF('학생명단'!B19="","",'학생명단'!B19)</f>
        <v/>
      </c>
      <c r="C19" s="10">
        <f>IF('학생명단'!C19="","",'학생명단'!C19)</f>
        <v/>
      </c>
      <c r="D19" s="10">
        <f>IF('학생명단'!D19="","",'학생명단'!D19)</f>
        <v/>
      </c>
      <c r="E19" s="10">
        <f>IF('학생명단'!E19="","",'학생명단'!E19)</f>
        <v/>
      </c>
      <c r="F19" s="11">
        <f>IF('학생명단'!F19="","",'학생명단'!F19)</f>
        <v/>
      </c>
      <c r="G19" s="10">
        <f>'공수1'!Y19</f>
        <v/>
      </c>
      <c r="H19" s="10">
        <f>'공수2'!Y19</f>
        <v/>
      </c>
      <c r="I19" s="27">
        <f>IF(AND(G19="",H19=""),"",N(G19)*'설정'!$C$13+N(H19)*'설정'!$C$14)</f>
        <v/>
      </c>
      <c r="J19" s="10">
        <f>IF(I19="","",COUNTIF($I$7:$I$86,"&gt;"&amp;I19)+1)</f>
        <v/>
      </c>
      <c r="K19" s="26">
        <f>IF(I19="","",IF(OR(G19="",H19=""),'설정'!$B$9,IF(AND(OR('설정'!$C$6="",G19&gt;='설정'!$C$6),OR('설정'!$D$6="",G19&lt;'설정'!$D$6),OR('설정'!$E$6="",H19&gt;='설정'!$E$6),OR('설정'!$F$6="",H19&lt;'설정'!$F$6)),'설정'!$B$6,IF(AND(OR('설정'!$C$7="",G19&gt;='설정'!$C$7),OR('설정'!$D$7="",G19&lt;'설정'!$D$7),OR('설정'!$E$7="",H19&gt;='설정'!$E$7),OR('설정'!$F$7="",H19&lt;'설정'!$F$7)),'설정'!$B$7,IF(AND(OR('설정'!$C$8="",G19&gt;='설정'!$C$8),OR('설정'!$D$8="",G19&lt;'설정'!$D$8),OR('설정'!$E$8="",H19&gt;='설정'!$E$8),OR('설정'!$F$8="",H19&lt;'설정'!$F$8)),'설정'!$B$8,'설정'!$B$9)))))</f>
        <v/>
      </c>
      <c r="L19" s="28">
        <f>IF(OR(G19="",H19=""),"",IF(SUMPRODUCT(ISNUMBER('설정'!$C$6:$D$8)*(ABS(G19-'설정'!$C$6:$D$8)&lt;='설정'!$C$15))+SUMPRODUCT(ISNUMBER('설정'!$E$6:$F$8)*(ABS(H19-'설정'!$E$6:$F$8)&lt;='설정'!$C$15))&gt;0,"경계",""))</f>
        <v/>
      </c>
      <c r="M19" s="7" t="n"/>
      <c r="N19" s="7" t="n"/>
      <c r="O19" s="26">
        <f>IF(M19&lt;&gt;"",M19,K19)</f>
        <v/>
      </c>
      <c r="P19" s="29">
        <f>IF(I19="","",IF(G19="","공수1 미응시",IF(H19="","공수2 미응시","")))</f>
        <v/>
      </c>
      <c r="Q19" s="10">
        <f>IF(J19="","",J19+ROW()/100000)</f>
        <v/>
      </c>
    </row>
    <row r="20">
      <c r="A20" s="5" t="n">
        <v>14</v>
      </c>
      <c r="B20" s="10">
        <f>IF('학생명단'!B20="","",'학생명단'!B20)</f>
        <v/>
      </c>
      <c r="C20" s="10">
        <f>IF('학생명단'!C20="","",'학생명단'!C20)</f>
        <v/>
      </c>
      <c r="D20" s="10">
        <f>IF('학생명단'!D20="","",'학생명단'!D20)</f>
        <v/>
      </c>
      <c r="E20" s="10">
        <f>IF('학생명단'!E20="","",'학생명단'!E20)</f>
        <v/>
      </c>
      <c r="F20" s="11">
        <f>IF('학생명단'!F20="","",'학생명단'!F20)</f>
        <v/>
      </c>
      <c r="G20" s="10">
        <f>'공수1'!Y20</f>
        <v/>
      </c>
      <c r="H20" s="10">
        <f>'공수2'!Y20</f>
        <v/>
      </c>
      <c r="I20" s="27">
        <f>IF(AND(G20="",H20=""),"",N(G20)*'설정'!$C$13+N(H20)*'설정'!$C$14)</f>
        <v/>
      </c>
      <c r="J20" s="10">
        <f>IF(I20="","",COUNTIF($I$7:$I$86,"&gt;"&amp;I20)+1)</f>
        <v/>
      </c>
      <c r="K20" s="26">
        <f>IF(I20="","",IF(OR(G20="",H20=""),'설정'!$B$9,IF(AND(OR('설정'!$C$6="",G20&gt;='설정'!$C$6),OR('설정'!$D$6="",G20&lt;'설정'!$D$6),OR('설정'!$E$6="",H20&gt;='설정'!$E$6),OR('설정'!$F$6="",H20&lt;'설정'!$F$6)),'설정'!$B$6,IF(AND(OR('설정'!$C$7="",G20&gt;='설정'!$C$7),OR('설정'!$D$7="",G20&lt;'설정'!$D$7),OR('설정'!$E$7="",H20&gt;='설정'!$E$7),OR('설정'!$F$7="",H20&lt;'설정'!$F$7)),'설정'!$B$7,IF(AND(OR('설정'!$C$8="",G20&gt;='설정'!$C$8),OR('설정'!$D$8="",G20&lt;'설정'!$D$8),OR('설정'!$E$8="",H20&gt;='설정'!$E$8),OR('설정'!$F$8="",H20&lt;'설정'!$F$8)),'설정'!$B$8,'설정'!$B$9)))))</f>
        <v/>
      </c>
      <c r="L20" s="28">
        <f>IF(OR(G20="",H20=""),"",IF(SUMPRODUCT(ISNUMBER('설정'!$C$6:$D$8)*(ABS(G20-'설정'!$C$6:$D$8)&lt;='설정'!$C$15))+SUMPRODUCT(ISNUMBER('설정'!$E$6:$F$8)*(ABS(H20-'설정'!$E$6:$F$8)&lt;='설정'!$C$15))&gt;0,"경계",""))</f>
        <v/>
      </c>
      <c r="M20" s="7" t="n"/>
      <c r="N20" s="7" t="n"/>
      <c r="O20" s="26">
        <f>IF(M20&lt;&gt;"",M20,K20)</f>
        <v/>
      </c>
      <c r="P20" s="29">
        <f>IF(I20="","",IF(G20="","공수1 미응시",IF(H20="","공수2 미응시","")))</f>
        <v/>
      </c>
      <c r="Q20" s="10">
        <f>IF(J20="","",J20+ROW()/100000)</f>
        <v/>
      </c>
    </row>
    <row r="21">
      <c r="A21" s="5" t="n">
        <v>15</v>
      </c>
      <c r="B21" s="10">
        <f>IF('학생명단'!B21="","",'학생명단'!B21)</f>
        <v/>
      </c>
      <c r="C21" s="10">
        <f>IF('학생명단'!C21="","",'학생명단'!C21)</f>
        <v/>
      </c>
      <c r="D21" s="10">
        <f>IF('학생명단'!D21="","",'학생명단'!D21)</f>
        <v/>
      </c>
      <c r="E21" s="10">
        <f>IF('학생명단'!E21="","",'학생명단'!E21)</f>
        <v/>
      </c>
      <c r="F21" s="11">
        <f>IF('학생명단'!F21="","",'학생명단'!F21)</f>
        <v/>
      </c>
      <c r="G21" s="10">
        <f>'공수1'!Y21</f>
        <v/>
      </c>
      <c r="H21" s="10">
        <f>'공수2'!Y21</f>
        <v/>
      </c>
      <c r="I21" s="27">
        <f>IF(AND(G21="",H21=""),"",N(G21)*'설정'!$C$13+N(H21)*'설정'!$C$14)</f>
        <v/>
      </c>
      <c r="J21" s="10">
        <f>IF(I21="","",COUNTIF($I$7:$I$86,"&gt;"&amp;I21)+1)</f>
        <v/>
      </c>
      <c r="K21" s="26">
        <f>IF(I21="","",IF(OR(G21="",H21=""),'설정'!$B$9,IF(AND(OR('설정'!$C$6="",G21&gt;='설정'!$C$6),OR('설정'!$D$6="",G21&lt;'설정'!$D$6),OR('설정'!$E$6="",H21&gt;='설정'!$E$6),OR('설정'!$F$6="",H21&lt;'설정'!$F$6)),'설정'!$B$6,IF(AND(OR('설정'!$C$7="",G21&gt;='설정'!$C$7),OR('설정'!$D$7="",G21&lt;'설정'!$D$7),OR('설정'!$E$7="",H21&gt;='설정'!$E$7),OR('설정'!$F$7="",H21&lt;'설정'!$F$7)),'설정'!$B$7,IF(AND(OR('설정'!$C$8="",G21&gt;='설정'!$C$8),OR('설정'!$D$8="",G21&lt;'설정'!$D$8),OR('설정'!$E$8="",H21&gt;='설정'!$E$8),OR('설정'!$F$8="",H21&lt;'설정'!$F$8)),'설정'!$B$8,'설정'!$B$9)))))</f>
        <v/>
      </c>
      <c r="L21" s="28">
        <f>IF(OR(G21="",H21=""),"",IF(SUMPRODUCT(ISNUMBER('설정'!$C$6:$D$8)*(ABS(G21-'설정'!$C$6:$D$8)&lt;='설정'!$C$15))+SUMPRODUCT(ISNUMBER('설정'!$E$6:$F$8)*(ABS(H21-'설정'!$E$6:$F$8)&lt;='설정'!$C$15))&gt;0,"경계",""))</f>
        <v/>
      </c>
      <c r="M21" s="7" t="n"/>
      <c r="N21" s="7" t="n"/>
      <c r="O21" s="26">
        <f>IF(M21&lt;&gt;"",M21,K21)</f>
        <v/>
      </c>
      <c r="P21" s="29">
        <f>IF(I21="","",IF(G21="","공수1 미응시",IF(H21="","공수2 미응시","")))</f>
        <v/>
      </c>
      <c r="Q21" s="10">
        <f>IF(J21="","",J21+ROW()/100000)</f>
        <v/>
      </c>
    </row>
    <row r="22">
      <c r="A22" s="5" t="n">
        <v>16</v>
      </c>
      <c r="B22" s="10">
        <f>IF('학생명단'!B22="","",'학생명단'!B22)</f>
        <v/>
      </c>
      <c r="C22" s="10">
        <f>IF('학생명단'!C22="","",'학생명단'!C22)</f>
        <v/>
      </c>
      <c r="D22" s="10">
        <f>IF('학생명단'!D22="","",'학생명단'!D22)</f>
        <v/>
      </c>
      <c r="E22" s="10">
        <f>IF('학생명단'!E22="","",'학생명단'!E22)</f>
        <v/>
      </c>
      <c r="F22" s="11">
        <f>IF('학생명단'!F22="","",'학생명단'!F22)</f>
        <v/>
      </c>
      <c r="G22" s="10">
        <f>'공수1'!Y22</f>
        <v/>
      </c>
      <c r="H22" s="10">
        <f>'공수2'!Y22</f>
        <v/>
      </c>
      <c r="I22" s="27">
        <f>IF(AND(G22="",H22=""),"",N(G22)*'설정'!$C$13+N(H22)*'설정'!$C$14)</f>
        <v/>
      </c>
      <c r="J22" s="10">
        <f>IF(I22="","",COUNTIF($I$7:$I$86,"&gt;"&amp;I22)+1)</f>
        <v/>
      </c>
      <c r="K22" s="26">
        <f>IF(I22="","",IF(OR(G22="",H22=""),'설정'!$B$9,IF(AND(OR('설정'!$C$6="",G22&gt;='설정'!$C$6),OR('설정'!$D$6="",G22&lt;'설정'!$D$6),OR('설정'!$E$6="",H22&gt;='설정'!$E$6),OR('설정'!$F$6="",H22&lt;'설정'!$F$6)),'설정'!$B$6,IF(AND(OR('설정'!$C$7="",G22&gt;='설정'!$C$7),OR('설정'!$D$7="",G22&lt;'설정'!$D$7),OR('설정'!$E$7="",H22&gt;='설정'!$E$7),OR('설정'!$F$7="",H22&lt;'설정'!$F$7)),'설정'!$B$7,IF(AND(OR('설정'!$C$8="",G22&gt;='설정'!$C$8),OR('설정'!$D$8="",G22&lt;'설정'!$D$8),OR('설정'!$E$8="",H22&gt;='설정'!$E$8),OR('설정'!$F$8="",H22&lt;'설정'!$F$8)),'설정'!$B$8,'설정'!$B$9)))))</f>
        <v/>
      </c>
      <c r="L22" s="28">
        <f>IF(OR(G22="",H22=""),"",IF(SUMPRODUCT(ISNUMBER('설정'!$C$6:$D$8)*(ABS(G22-'설정'!$C$6:$D$8)&lt;='설정'!$C$15))+SUMPRODUCT(ISNUMBER('설정'!$E$6:$F$8)*(ABS(H22-'설정'!$E$6:$F$8)&lt;='설정'!$C$15))&gt;0,"경계",""))</f>
        <v/>
      </c>
      <c r="M22" s="7" t="n"/>
      <c r="N22" s="7" t="n"/>
      <c r="O22" s="26">
        <f>IF(M22&lt;&gt;"",M22,K22)</f>
        <v/>
      </c>
      <c r="P22" s="29">
        <f>IF(I22="","",IF(G22="","공수1 미응시",IF(H22="","공수2 미응시","")))</f>
        <v/>
      </c>
      <c r="Q22" s="10">
        <f>IF(J22="","",J22+ROW()/100000)</f>
        <v/>
      </c>
    </row>
    <row r="23">
      <c r="A23" s="5" t="n">
        <v>17</v>
      </c>
      <c r="B23" s="10">
        <f>IF('학생명단'!B23="","",'학생명단'!B23)</f>
        <v/>
      </c>
      <c r="C23" s="10">
        <f>IF('학생명단'!C23="","",'학생명단'!C23)</f>
        <v/>
      </c>
      <c r="D23" s="10">
        <f>IF('학생명단'!D23="","",'학생명단'!D23)</f>
        <v/>
      </c>
      <c r="E23" s="10">
        <f>IF('학생명단'!E23="","",'학생명단'!E23)</f>
        <v/>
      </c>
      <c r="F23" s="11">
        <f>IF('학생명단'!F23="","",'학생명단'!F23)</f>
        <v/>
      </c>
      <c r="G23" s="10">
        <f>'공수1'!Y23</f>
        <v/>
      </c>
      <c r="H23" s="10">
        <f>'공수2'!Y23</f>
        <v/>
      </c>
      <c r="I23" s="27">
        <f>IF(AND(G23="",H23=""),"",N(G23)*'설정'!$C$13+N(H23)*'설정'!$C$14)</f>
        <v/>
      </c>
      <c r="J23" s="10">
        <f>IF(I23="","",COUNTIF($I$7:$I$86,"&gt;"&amp;I23)+1)</f>
        <v/>
      </c>
      <c r="K23" s="26">
        <f>IF(I23="","",IF(OR(G23="",H23=""),'설정'!$B$9,IF(AND(OR('설정'!$C$6="",G23&gt;='설정'!$C$6),OR('설정'!$D$6="",G23&lt;'설정'!$D$6),OR('설정'!$E$6="",H23&gt;='설정'!$E$6),OR('설정'!$F$6="",H23&lt;'설정'!$F$6)),'설정'!$B$6,IF(AND(OR('설정'!$C$7="",G23&gt;='설정'!$C$7),OR('설정'!$D$7="",G23&lt;'설정'!$D$7),OR('설정'!$E$7="",H23&gt;='설정'!$E$7),OR('설정'!$F$7="",H23&lt;'설정'!$F$7)),'설정'!$B$7,IF(AND(OR('설정'!$C$8="",G23&gt;='설정'!$C$8),OR('설정'!$D$8="",G23&lt;'설정'!$D$8),OR('설정'!$E$8="",H23&gt;='설정'!$E$8),OR('설정'!$F$8="",H23&lt;'설정'!$F$8)),'설정'!$B$8,'설정'!$B$9)))))</f>
        <v/>
      </c>
      <c r="L23" s="28">
        <f>IF(OR(G23="",H23=""),"",IF(SUMPRODUCT(ISNUMBER('설정'!$C$6:$D$8)*(ABS(G23-'설정'!$C$6:$D$8)&lt;='설정'!$C$15))+SUMPRODUCT(ISNUMBER('설정'!$E$6:$F$8)*(ABS(H23-'설정'!$E$6:$F$8)&lt;='설정'!$C$15))&gt;0,"경계",""))</f>
        <v/>
      </c>
      <c r="M23" s="7" t="n"/>
      <c r="N23" s="7" t="n"/>
      <c r="O23" s="26">
        <f>IF(M23&lt;&gt;"",M23,K23)</f>
        <v/>
      </c>
      <c r="P23" s="29">
        <f>IF(I23="","",IF(G23="","공수1 미응시",IF(H23="","공수2 미응시","")))</f>
        <v/>
      </c>
      <c r="Q23" s="10">
        <f>IF(J23="","",J23+ROW()/100000)</f>
        <v/>
      </c>
    </row>
    <row r="24">
      <c r="A24" s="5" t="n">
        <v>18</v>
      </c>
      <c r="B24" s="10">
        <f>IF('학생명단'!B24="","",'학생명단'!B24)</f>
        <v/>
      </c>
      <c r="C24" s="10">
        <f>IF('학생명단'!C24="","",'학생명단'!C24)</f>
        <v/>
      </c>
      <c r="D24" s="10">
        <f>IF('학생명단'!D24="","",'학생명단'!D24)</f>
        <v/>
      </c>
      <c r="E24" s="10">
        <f>IF('학생명단'!E24="","",'학생명단'!E24)</f>
        <v/>
      </c>
      <c r="F24" s="11">
        <f>IF('학생명단'!F24="","",'학생명단'!F24)</f>
        <v/>
      </c>
      <c r="G24" s="10">
        <f>'공수1'!Y24</f>
        <v/>
      </c>
      <c r="H24" s="10">
        <f>'공수2'!Y24</f>
        <v/>
      </c>
      <c r="I24" s="27">
        <f>IF(AND(G24="",H24=""),"",N(G24)*'설정'!$C$13+N(H24)*'설정'!$C$14)</f>
        <v/>
      </c>
      <c r="J24" s="10">
        <f>IF(I24="","",COUNTIF($I$7:$I$86,"&gt;"&amp;I24)+1)</f>
        <v/>
      </c>
      <c r="K24" s="26">
        <f>IF(I24="","",IF(OR(G24="",H24=""),'설정'!$B$9,IF(AND(OR('설정'!$C$6="",G24&gt;='설정'!$C$6),OR('설정'!$D$6="",G24&lt;'설정'!$D$6),OR('설정'!$E$6="",H24&gt;='설정'!$E$6),OR('설정'!$F$6="",H24&lt;'설정'!$F$6)),'설정'!$B$6,IF(AND(OR('설정'!$C$7="",G24&gt;='설정'!$C$7),OR('설정'!$D$7="",G24&lt;'설정'!$D$7),OR('설정'!$E$7="",H24&gt;='설정'!$E$7),OR('설정'!$F$7="",H24&lt;'설정'!$F$7)),'설정'!$B$7,IF(AND(OR('설정'!$C$8="",G24&gt;='설정'!$C$8),OR('설정'!$D$8="",G24&lt;'설정'!$D$8),OR('설정'!$E$8="",H24&gt;='설정'!$E$8),OR('설정'!$F$8="",H24&lt;'설정'!$F$8)),'설정'!$B$8,'설정'!$B$9)))))</f>
        <v/>
      </c>
      <c r="L24" s="28">
        <f>IF(OR(G24="",H24=""),"",IF(SUMPRODUCT(ISNUMBER('설정'!$C$6:$D$8)*(ABS(G24-'설정'!$C$6:$D$8)&lt;='설정'!$C$15))+SUMPRODUCT(ISNUMBER('설정'!$E$6:$F$8)*(ABS(H24-'설정'!$E$6:$F$8)&lt;='설정'!$C$15))&gt;0,"경계",""))</f>
        <v/>
      </c>
      <c r="M24" s="7" t="n"/>
      <c r="N24" s="7" t="n"/>
      <c r="O24" s="26">
        <f>IF(M24&lt;&gt;"",M24,K24)</f>
        <v/>
      </c>
      <c r="P24" s="29">
        <f>IF(I24="","",IF(G24="","공수1 미응시",IF(H24="","공수2 미응시","")))</f>
        <v/>
      </c>
      <c r="Q24" s="10">
        <f>IF(J24="","",J24+ROW()/100000)</f>
        <v/>
      </c>
    </row>
    <row r="25">
      <c r="A25" s="5" t="n">
        <v>19</v>
      </c>
      <c r="B25" s="10">
        <f>IF('학생명단'!B25="","",'학생명단'!B25)</f>
        <v/>
      </c>
      <c r="C25" s="10">
        <f>IF('학생명단'!C25="","",'학생명단'!C25)</f>
        <v/>
      </c>
      <c r="D25" s="10">
        <f>IF('학생명단'!D25="","",'학생명단'!D25)</f>
        <v/>
      </c>
      <c r="E25" s="10">
        <f>IF('학생명단'!E25="","",'학생명단'!E25)</f>
        <v/>
      </c>
      <c r="F25" s="11">
        <f>IF('학생명단'!F25="","",'학생명단'!F25)</f>
        <v/>
      </c>
      <c r="G25" s="10">
        <f>'공수1'!Y25</f>
        <v/>
      </c>
      <c r="H25" s="10">
        <f>'공수2'!Y25</f>
        <v/>
      </c>
      <c r="I25" s="27">
        <f>IF(AND(G25="",H25=""),"",N(G25)*'설정'!$C$13+N(H25)*'설정'!$C$14)</f>
        <v/>
      </c>
      <c r="J25" s="10">
        <f>IF(I25="","",COUNTIF($I$7:$I$86,"&gt;"&amp;I25)+1)</f>
        <v/>
      </c>
      <c r="K25" s="26">
        <f>IF(I25="","",IF(OR(G25="",H25=""),'설정'!$B$9,IF(AND(OR('설정'!$C$6="",G25&gt;='설정'!$C$6),OR('설정'!$D$6="",G25&lt;'설정'!$D$6),OR('설정'!$E$6="",H25&gt;='설정'!$E$6),OR('설정'!$F$6="",H25&lt;'설정'!$F$6)),'설정'!$B$6,IF(AND(OR('설정'!$C$7="",G25&gt;='설정'!$C$7),OR('설정'!$D$7="",G25&lt;'설정'!$D$7),OR('설정'!$E$7="",H25&gt;='설정'!$E$7),OR('설정'!$F$7="",H25&lt;'설정'!$F$7)),'설정'!$B$7,IF(AND(OR('설정'!$C$8="",G25&gt;='설정'!$C$8),OR('설정'!$D$8="",G25&lt;'설정'!$D$8),OR('설정'!$E$8="",H25&gt;='설정'!$E$8),OR('설정'!$F$8="",H25&lt;'설정'!$F$8)),'설정'!$B$8,'설정'!$B$9)))))</f>
        <v/>
      </c>
      <c r="L25" s="28">
        <f>IF(OR(G25="",H25=""),"",IF(SUMPRODUCT(ISNUMBER('설정'!$C$6:$D$8)*(ABS(G25-'설정'!$C$6:$D$8)&lt;='설정'!$C$15))+SUMPRODUCT(ISNUMBER('설정'!$E$6:$F$8)*(ABS(H25-'설정'!$E$6:$F$8)&lt;='설정'!$C$15))&gt;0,"경계",""))</f>
        <v/>
      </c>
      <c r="M25" s="7" t="n"/>
      <c r="N25" s="7" t="n"/>
      <c r="O25" s="26">
        <f>IF(M25&lt;&gt;"",M25,K25)</f>
        <v/>
      </c>
      <c r="P25" s="29">
        <f>IF(I25="","",IF(G25="","공수1 미응시",IF(H25="","공수2 미응시","")))</f>
        <v/>
      </c>
      <c r="Q25" s="10">
        <f>IF(J25="","",J25+ROW()/100000)</f>
        <v/>
      </c>
    </row>
    <row r="26">
      <c r="A26" s="5" t="n">
        <v>20</v>
      </c>
      <c r="B26" s="10">
        <f>IF('학생명단'!B26="","",'학생명단'!B26)</f>
        <v/>
      </c>
      <c r="C26" s="10">
        <f>IF('학생명단'!C26="","",'학생명단'!C26)</f>
        <v/>
      </c>
      <c r="D26" s="10">
        <f>IF('학생명단'!D26="","",'학생명단'!D26)</f>
        <v/>
      </c>
      <c r="E26" s="10">
        <f>IF('학생명단'!E26="","",'학생명단'!E26)</f>
        <v/>
      </c>
      <c r="F26" s="11">
        <f>IF('학생명단'!F26="","",'학생명단'!F26)</f>
        <v/>
      </c>
      <c r="G26" s="10">
        <f>'공수1'!Y26</f>
        <v/>
      </c>
      <c r="H26" s="10">
        <f>'공수2'!Y26</f>
        <v/>
      </c>
      <c r="I26" s="27">
        <f>IF(AND(G26="",H26=""),"",N(G26)*'설정'!$C$13+N(H26)*'설정'!$C$14)</f>
        <v/>
      </c>
      <c r="J26" s="10">
        <f>IF(I26="","",COUNTIF($I$7:$I$86,"&gt;"&amp;I26)+1)</f>
        <v/>
      </c>
      <c r="K26" s="26">
        <f>IF(I26="","",IF(OR(G26="",H26=""),'설정'!$B$9,IF(AND(OR('설정'!$C$6="",G26&gt;='설정'!$C$6),OR('설정'!$D$6="",G26&lt;'설정'!$D$6),OR('설정'!$E$6="",H26&gt;='설정'!$E$6),OR('설정'!$F$6="",H26&lt;'설정'!$F$6)),'설정'!$B$6,IF(AND(OR('설정'!$C$7="",G26&gt;='설정'!$C$7),OR('설정'!$D$7="",G26&lt;'설정'!$D$7),OR('설정'!$E$7="",H26&gt;='설정'!$E$7),OR('설정'!$F$7="",H26&lt;'설정'!$F$7)),'설정'!$B$7,IF(AND(OR('설정'!$C$8="",G26&gt;='설정'!$C$8),OR('설정'!$D$8="",G26&lt;'설정'!$D$8),OR('설정'!$E$8="",H26&gt;='설정'!$E$8),OR('설정'!$F$8="",H26&lt;'설정'!$F$8)),'설정'!$B$8,'설정'!$B$9)))))</f>
        <v/>
      </c>
      <c r="L26" s="28">
        <f>IF(OR(G26="",H26=""),"",IF(SUMPRODUCT(ISNUMBER('설정'!$C$6:$D$8)*(ABS(G26-'설정'!$C$6:$D$8)&lt;='설정'!$C$15))+SUMPRODUCT(ISNUMBER('설정'!$E$6:$F$8)*(ABS(H26-'설정'!$E$6:$F$8)&lt;='설정'!$C$15))&gt;0,"경계",""))</f>
        <v/>
      </c>
      <c r="M26" s="7" t="n"/>
      <c r="N26" s="7" t="n"/>
      <c r="O26" s="26">
        <f>IF(M26&lt;&gt;"",M26,K26)</f>
        <v/>
      </c>
      <c r="P26" s="29">
        <f>IF(I26="","",IF(G26="","공수1 미응시",IF(H26="","공수2 미응시","")))</f>
        <v/>
      </c>
      <c r="Q26" s="10">
        <f>IF(J26="","",J26+ROW()/100000)</f>
        <v/>
      </c>
    </row>
    <row r="27">
      <c r="A27" s="5" t="n">
        <v>21</v>
      </c>
      <c r="B27" s="10">
        <f>IF('학생명단'!B27="","",'학생명단'!B27)</f>
        <v/>
      </c>
      <c r="C27" s="10">
        <f>IF('학생명단'!C27="","",'학생명단'!C27)</f>
        <v/>
      </c>
      <c r="D27" s="10">
        <f>IF('학생명단'!D27="","",'학생명단'!D27)</f>
        <v/>
      </c>
      <c r="E27" s="10">
        <f>IF('학생명단'!E27="","",'학생명단'!E27)</f>
        <v/>
      </c>
      <c r="F27" s="11">
        <f>IF('학생명단'!F27="","",'학생명단'!F27)</f>
        <v/>
      </c>
      <c r="G27" s="10">
        <f>'공수1'!Y27</f>
        <v/>
      </c>
      <c r="H27" s="10">
        <f>'공수2'!Y27</f>
        <v/>
      </c>
      <c r="I27" s="27">
        <f>IF(AND(G27="",H27=""),"",N(G27)*'설정'!$C$13+N(H27)*'설정'!$C$14)</f>
        <v/>
      </c>
      <c r="J27" s="10">
        <f>IF(I27="","",COUNTIF($I$7:$I$86,"&gt;"&amp;I27)+1)</f>
        <v/>
      </c>
      <c r="K27" s="26">
        <f>IF(I27="","",IF(OR(G27="",H27=""),'설정'!$B$9,IF(AND(OR('설정'!$C$6="",G27&gt;='설정'!$C$6),OR('설정'!$D$6="",G27&lt;'설정'!$D$6),OR('설정'!$E$6="",H27&gt;='설정'!$E$6),OR('설정'!$F$6="",H27&lt;'설정'!$F$6)),'설정'!$B$6,IF(AND(OR('설정'!$C$7="",G27&gt;='설정'!$C$7),OR('설정'!$D$7="",G27&lt;'설정'!$D$7),OR('설정'!$E$7="",H27&gt;='설정'!$E$7),OR('설정'!$F$7="",H27&lt;'설정'!$F$7)),'설정'!$B$7,IF(AND(OR('설정'!$C$8="",G27&gt;='설정'!$C$8),OR('설정'!$D$8="",G27&lt;'설정'!$D$8),OR('설정'!$E$8="",H27&gt;='설정'!$E$8),OR('설정'!$F$8="",H27&lt;'설정'!$F$8)),'설정'!$B$8,'설정'!$B$9)))))</f>
        <v/>
      </c>
      <c r="L27" s="28">
        <f>IF(OR(G27="",H27=""),"",IF(SUMPRODUCT(ISNUMBER('설정'!$C$6:$D$8)*(ABS(G27-'설정'!$C$6:$D$8)&lt;='설정'!$C$15))+SUMPRODUCT(ISNUMBER('설정'!$E$6:$F$8)*(ABS(H27-'설정'!$E$6:$F$8)&lt;='설정'!$C$15))&gt;0,"경계",""))</f>
        <v/>
      </c>
      <c r="M27" s="7" t="n"/>
      <c r="N27" s="7" t="n"/>
      <c r="O27" s="26">
        <f>IF(M27&lt;&gt;"",M27,K27)</f>
        <v/>
      </c>
      <c r="P27" s="29">
        <f>IF(I27="","",IF(G27="","공수1 미응시",IF(H27="","공수2 미응시","")))</f>
        <v/>
      </c>
      <c r="Q27" s="10">
        <f>IF(J27="","",J27+ROW()/100000)</f>
        <v/>
      </c>
    </row>
    <row r="28">
      <c r="A28" s="5" t="n">
        <v>22</v>
      </c>
      <c r="B28" s="10">
        <f>IF('학생명단'!B28="","",'학생명단'!B28)</f>
        <v/>
      </c>
      <c r="C28" s="10">
        <f>IF('학생명단'!C28="","",'학생명단'!C28)</f>
        <v/>
      </c>
      <c r="D28" s="10">
        <f>IF('학생명단'!D28="","",'학생명단'!D28)</f>
        <v/>
      </c>
      <c r="E28" s="10">
        <f>IF('학생명단'!E28="","",'학생명단'!E28)</f>
        <v/>
      </c>
      <c r="F28" s="11">
        <f>IF('학생명단'!F28="","",'학생명단'!F28)</f>
        <v/>
      </c>
      <c r="G28" s="10">
        <f>'공수1'!Y28</f>
        <v/>
      </c>
      <c r="H28" s="10">
        <f>'공수2'!Y28</f>
        <v/>
      </c>
      <c r="I28" s="27">
        <f>IF(AND(G28="",H28=""),"",N(G28)*'설정'!$C$13+N(H28)*'설정'!$C$14)</f>
        <v/>
      </c>
      <c r="J28" s="10">
        <f>IF(I28="","",COUNTIF($I$7:$I$86,"&gt;"&amp;I28)+1)</f>
        <v/>
      </c>
      <c r="K28" s="26">
        <f>IF(I28="","",IF(OR(G28="",H28=""),'설정'!$B$9,IF(AND(OR('설정'!$C$6="",G28&gt;='설정'!$C$6),OR('설정'!$D$6="",G28&lt;'설정'!$D$6),OR('설정'!$E$6="",H28&gt;='설정'!$E$6),OR('설정'!$F$6="",H28&lt;'설정'!$F$6)),'설정'!$B$6,IF(AND(OR('설정'!$C$7="",G28&gt;='설정'!$C$7),OR('설정'!$D$7="",G28&lt;'설정'!$D$7),OR('설정'!$E$7="",H28&gt;='설정'!$E$7),OR('설정'!$F$7="",H28&lt;'설정'!$F$7)),'설정'!$B$7,IF(AND(OR('설정'!$C$8="",G28&gt;='설정'!$C$8),OR('설정'!$D$8="",G28&lt;'설정'!$D$8),OR('설정'!$E$8="",H28&gt;='설정'!$E$8),OR('설정'!$F$8="",H28&lt;'설정'!$F$8)),'설정'!$B$8,'설정'!$B$9)))))</f>
        <v/>
      </c>
      <c r="L28" s="28">
        <f>IF(OR(G28="",H28=""),"",IF(SUMPRODUCT(ISNUMBER('설정'!$C$6:$D$8)*(ABS(G28-'설정'!$C$6:$D$8)&lt;='설정'!$C$15))+SUMPRODUCT(ISNUMBER('설정'!$E$6:$F$8)*(ABS(H28-'설정'!$E$6:$F$8)&lt;='설정'!$C$15))&gt;0,"경계",""))</f>
        <v/>
      </c>
      <c r="M28" s="7" t="n"/>
      <c r="N28" s="7" t="n"/>
      <c r="O28" s="26">
        <f>IF(M28&lt;&gt;"",M28,K28)</f>
        <v/>
      </c>
      <c r="P28" s="29">
        <f>IF(I28="","",IF(G28="","공수1 미응시",IF(H28="","공수2 미응시","")))</f>
        <v/>
      </c>
      <c r="Q28" s="10">
        <f>IF(J28="","",J28+ROW()/100000)</f>
        <v/>
      </c>
    </row>
    <row r="29">
      <c r="A29" s="5" t="n">
        <v>23</v>
      </c>
      <c r="B29" s="10">
        <f>IF('학생명단'!B29="","",'학생명단'!B29)</f>
        <v/>
      </c>
      <c r="C29" s="10">
        <f>IF('학생명단'!C29="","",'학생명단'!C29)</f>
        <v/>
      </c>
      <c r="D29" s="10">
        <f>IF('학생명단'!D29="","",'학생명단'!D29)</f>
        <v/>
      </c>
      <c r="E29" s="10">
        <f>IF('학생명단'!E29="","",'학생명단'!E29)</f>
        <v/>
      </c>
      <c r="F29" s="11">
        <f>IF('학생명단'!F29="","",'학생명단'!F29)</f>
        <v/>
      </c>
      <c r="G29" s="10">
        <f>'공수1'!Y29</f>
        <v/>
      </c>
      <c r="H29" s="10">
        <f>'공수2'!Y29</f>
        <v/>
      </c>
      <c r="I29" s="27">
        <f>IF(AND(G29="",H29=""),"",N(G29)*'설정'!$C$13+N(H29)*'설정'!$C$14)</f>
        <v/>
      </c>
      <c r="J29" s="10">
        <f>IF(I29="","",COUNTIF($I$7:$I$86,"&gt;"&amp;I29)+1)</f>
        <v/>
      </c>
      <c r="K29" s="26">
        <f>IF(I29="","",IF(OR(G29="",H29=""),'설정'!$B$9,IF(AND(OR('설정'!$C$6="",G29&gt;='설정'!$C$6),OR('설정'!$D$6="",G29&lt;'설정'!$D$6),OR('설정'!$E$6="",H29&gt;='설정'!$E$6),OR('설정'!$F$6="",H29&lt;'설정'!$F$6)),'설정'!$B$6,IF(AND(OR('설정'!$C$7="",G29&gt;='설정'!$C$7),OR('설정'!$D$7="",G29&lt;'설정'!$D$7),OR('설정'!$E$7="",H29&gt;='설정'!$E$7),OR('설정'!$F$7="",H29&lt;'설정'!$F$7)),'설정'!$B$7,IF(AND(OR('설정'!$C$8="",G29&gt;='설정'!$C$8),OR('설정'!$D$8="",G29&lt;'설정'!$D$8),OR('설정'!$E$8="",H29&gt;='설정'!$E$8),OR('설정'!$F$8="",H29&lt;'설정'!$F$8)),'설정'!$B$8,'설정'!$B$9)))))</f>
        <v/>
      </c>
      <c r="L29" s="28">
        <f>IF(OR(G29="",H29=""),"",IF(SUMPRODUCT(ISNUMBER('설정'!$C$6:$D$8)*(ABS(G29-'설정'!$C$6:$D$8)&lt;='설정'!$C$15))+SUMPRODUCT(ISNUMBER('설정'!$E$6:$F$8)*(ABS(H29-'설정'!$E$6:$F$8)&lt;='설정'!$C$15))&gt;0,"경계",""))</f>
        <v/>
      </c>
      <c r="M29" s="7" t="n"/>
      <c r="N29" s="7" t="n"/>
      <c r="O29" s="26">
        <f>IF(M29&lt;&gt;"",M29,K29)</f>
        <v/>
      </c>
      <c r="P29" s="29">
        <f>IF(I29="","",IF(G29="","공수1 미응시",IF(H29="","공수2 미응시","")))</f>
        <v/>
      </c>
      <c r="Q29" s="10">
        <f>IF(J29="","",J29+ROW()/100000)</f>
        <v/>
      </c>
    </row>
    <row r="30">
      <c r="A30" s="5" t="n">
        <v>24</v>
      </c>
      <c r="B30" s="10">
        <f>IF('학생명단'!B30="","",'학생명단'!B30)</f>
        <v/>
      </c>
      <c r="C30" s="10">
        <f>IF('학생명단'!C30="","",'학생명단'!C30)</f>
        <v/>
      </c>
      <c r="D30" s="10">
        <f>IF('학생명단'!D30="","",'학생명단'!D30)</f>
        <v/>
      </c>
      <c r="E30" s="10">
        <f>IF('학생명단'!E30="","",'학생명단'!E30)</f>
        <v/>
      </c>
      <c r="F30" s="11">
        <f>IF('학생명단'!F30="","",'학생명단'!F30)</f>
        <v/>
      </c>
      <c r="G30" s="10">
        <f>'공수1'!Y30</f>
        <v/>
      </c>
      <c r="H30" s="10">
        <f>'공수2'!Y30</f>
        <v/>
      </c>
      <c r="I30" s="27">
        <f>IF(AND(G30="",H30=""),"",N(G30)*'설정'!$C$13+N(H30)*'설정'!$C$14)</f>
        <v/>
      </c>
      <c r="J30" s="10">
        <f>IF(I30="","",COUNTIF($I$7:$I$86,"&gt;"&amp;I30)+1)</f>
        <v/>
      </c>
      <c r="K30" s="26">
        <f>IF(I30="","",IF(OR(G30="",H30=""),'설정'!$B$9,IF(AND(OR('설정'!$C$6="",G30&gt;='설정'!$C$6),OR('설정'!$D$6="",G30&lt;'설정'!$D$6),OR('설정'!$E$6="",H30&gt;='설정'!$E$6),OR('설정'!$F$6="",H30&lt;'설정'!$F$6)),'설정'!$B$6,IF(AND(OR('설정'!$C$7="",G30&gt;='설정'!$C$7),OR('설정'!$D$7="",G30&lt;'설정'!$D$7),OR('설정'!$E$7="",H30&gt;='설정'!$E$7),OR('설정'!$F$7="",H30&lt;'설정'!$F$7)),'설정'!$B$7,IF(AND(OR('설정'!$C$8="",G30&gt;='설정'!$C$8),OR('설정'!$D$8="",G30&lt;'설정'!$D$8),OR('설정'!$E$8="",H30&gt;='설정'!$E$8),OR('설정'!$F$8="",H30&lt;'설정'!$F$8)),'설정'!$B$8,'설정'!$B$9)))))</f>
        <v/>
      </c>
      <c r="L30" s="28">
        <f>IF(OR(G30="",H30=""),"",IF(SUMPRODUCT(ISNUMBER('설정'!$C$6:$D$8)*(ABS(G30-'설정'!$C$6:$D$8)&lt;='설정'!$C$15))+SUMPRODUCT(ISNUMBER('설정'!$E$6:$F$8)*(ABS(H30-'설정'!$E$6:$F$8)&lt;='설정'!$C$15))&gt;0,"경계",""))</f>
        <v/>
      </c>
      <c r="M30" s="7" t="n"/>
      <c r="N30" s="7" t="n"/>
      <c r="O30" s="26">
        <f>IF(M30&lt;&gt;"",M30,K30)</f>
        <v/>
      </c>
      <c r="P30" s="29">
        <f>IF(I30="","",IF(G30="","공수1 미응시",IF(H30="","공수2 미응시","")))</f>
        <v/>
      </c>
      <c r="Q30" s="10">
        <f>IF(J30="","",J30+ROW()/100000)</f>
        <v/>
      </c>
    </row>
    <row r="31">
      <c r="A31" s="5" t="n">
        <v>25</v>
      </c>
      <c r="B31" s="10">
        <f>IF('학생명단'!B31="","",'학생명단'!B31)</f>
        <v/>
      </c>
      <c r="C31" s="10">
        <f>IF('학생명단'!C31="","",'학생명단'!C31)</f>
        <v/>
      </c>
      <c r="D31" s="10">
        <f>IF('학생명단'!D31="","",'학생명단'!D31)</f>
        <v/>
      </c>
      <c r="E31" s="10">
        <f>IF('학생명단'!E31="","",'학생명단'!E31)</f>
        <v/>
      </c>
      <c r="F31" s="11">
        <f>IF('학생명단'!F31="","",'학생명단'!F31)</f>
        <v/>
      </c>
      <c r="G31" s="10">
        <f>'공수1'!Y31</f>
        <v/>
      </c>
      <c r="H31" s="10">
        <f>'공수2'!Y31</f>
        <v/>
      </c>
      <c r="I31" s="27">
        <f>IF(AND(G31="",H31=""),"",N(G31)*'설정'!$C$13+N(H31)*'설정'!$C$14)</f>
        <v/>
      </c>
      <c r="J31" s="10">
        <f>IF(I31="","",COUNTIF($I$7:$I$86,"&gt;"&amp;I31)+1)</f>
        <v/>
      </c>
      <c r="K31" s="26">
        <f>IF(I31="","",IF(OR(G31="",H31=""),'설정'!$B$9,IF(AND(OR('설정'!$C$6="",G31&gt;='설정'!$C$6),OR('설정'!$D$6="",G31&lt;'설정'!$D$6),OR('설정'!$E$6="",H31&gt;='설정'!$E$6),OR('설정'!$F$6="",H31&lt;'설정'!$F$6)),'설정'!$B$6,IF(AND(OR('설정'!$C$7="",G31&gt;='설정'!$C$7),OR('설정'!$D$7="",G31&lt;'설정'!$D$7),OR('설정'!$E$7="",H31&gt;='설정'!$E$7),OR('설정'!$F$7="",H31&lt;'설정'!$F$7)),'설정'!$B$7,IF(AND(OR('설정'!$C$8="",G31&gt;='설정'!$C$8),OR('설정'!$D$8="",G31&lt;'설정'!$D$8),OR('설정'!$E$8="",H31&gt;='설정'!$E$8),OR('설정'!$F$8="",H31&lt;'설정'!$F$8)),'설정'!$B$8,'설정'!$B$9)))))</f>
        <v/>
      </c>
      <c r="L31" s="28">
        <f>IF(OR(G31="",H31=""),"",IF(SUMPRODUCT(ISNUMBER('설정'!$C$6:$D$8)*(ABS(G31-'설정'!$C$6:$D$8)&lt;='설정'!$C$15))+SUMPRODUCT(ISNUMBER('설정'!$E$6:$F$8)*(ABS(H31-'설정'!$E$6:$F$8)&lt;='설정'!$C$15))&gt;0,"경계",""))</f>
        <v/>
      </c>
      <c r="M31" s="7" t="n"/>
      <c r="N31" s="7" t="n"/>
      <c r="O31" s="26">
        <f>IF(M31&lt;&gt;"",M31,K31)</f>
        <v/>
      </c>
      <c r="P31" s="29">
        <f>IF(I31="","",IF(G31="","공수1 미응시",IF(H31="","공수2 미응시","")))</f>
        <v/>
      </c>
      <c r="Q31" s="10">
        <f>IF(J31="","",J31+ROW()/100000)</f>
        <v/>
      </c>
    </row>
    <row r="32">
      <c r="A32" s="5" t="n">
        <v>26</v>
      </c>
      <c r="B32" s="10">
        <f>IF('학생명단'!B32="","",'학생명단'!B32)</f>
        <v/>
      </c>
      <c r="C32" s="10">
        <f>IF('학생명단'!C32="","",'학생명단'!C32)</f>
        <v/>
      </c>
      <c r="D32" s="10">
        <f>IF('학생명단'!D32="","",'학생명단'!D32)</f>
        <v/>
      </c>
      <c r="E32" s="10">
        <f>IF('학생명단'!E32="","",'학생명단'!E32)</f>
        <v/>
      </c>
      <c r="F32" s="11">
        <f>IF('학생명단'!F32="","",'학생명단'!F32)</f>
        <v/>
      </c>
      <c r="G32" s="10">
        <f>'공수1'!Y32</f>
        <v/>
      </c>
      <c r="H32" s="10">
        <f>'공수2'!Y32</f>
        <v/>
      </c>
      <c r="I32" s="27">
        <f>IF(AND(G32="",H32=""),"",N(G32)*'설정'!$C$13+N(H32)*'설정'!$C$14)</f>
        <v/>
      </c>
      <c r="J32" s="10">
        <f>IF(I32="","",COUNTIF($I$7:$I$86,"&gt;"&amp;I32)+1)</f>
        <v/>
      </c>
      <c r="K32" s="26">
        <f>IF(I32="","",IF(OR(G32="",H32=""),'설정'!$B$9,IF(AND(OR('설정'!$C$6="",G32&gt;='설정'!$C$6),OR('설정'!$D$6="",G32&lt;'설정'!$D$6),OR('설정'!$E$6="",H32&gt;='설정'!$E$6),OR('설정'!$F$6="",H32&lt;'설정'!$F$6)),'설정'!$B$6,IF(AND(OR('설정'!$C$7="",G32&gt;='설정'!$C$7),OR('설정'!$D$7="",G32&lt;'설정'!$D$7),OR('설정'!$E$7="",H32&gt;='설정'!$E$7),OR('설정'!$F$7="",H32&lt;'설정'!$F$7)),'설정'!$B$7,IF(AND(OR('설정'!$C$8="",G32&gt;='설정'!$C$8),OR('설정'!$D$8="",G32&lt;'설정'!$D$8),OR('설정'!$E$8="",H32&gt;='설정'!$E$8),OR('설정'!$F$8="",H32&lt;'설정'!$F$8)),'설정'!$B$8,'설정'!$B$9)))))</f>
        <v/>
      </c>
      <c r="L32" s="28">
        <f>IF(OR(G32="",H32=""),"",IF(SUMPRODUCT(ISNUMBER('설정'!$C$6:$D$8)*(ABS(G32-'설정'!$C$6:$D$8)&lt;='설정'!$C$15))+SUMPRODUCT(ISNUMBER('설정'!$E$6:$F$8)*(ABS(H32-'설정'!$E$6:$F$8)&lt;='설정'!$C$15))&gt;0,"경계",""))</f>
        <v/>
      </c>
      <c r="M32" s="7" t="n"/>
      <c r="N32" s="7" t="n"/>
      <c r="O32" s="26">
        <f>IF(M32&lt;&gt;"",M32,K32)</f>
        <v/>
      </c>
      <c r="P32" s="29">
        <f>IF(I32="","",IF(G32="","공수1 미응시",IF(H32="","공수2 미응시","")))</f>
        <v/>
      </c>
      <c r="Q32" s="10">
        <f>IF(J32="","",J32+ROW()/100000)</f>
        <v/>
      </c>
    </row>
    <row r="33">
      <c r="A33" s="5" t="n">
        <v>27</v>
      </c>
      <c r="B33" s="10">
        <f>IF('학생명단'!B33="","",'학생명단'!B33)</f>
        <v/>
      </c>
      <c r="C33" s="10">
        <f>IF('학생명단'!C33="","",'학생명단'!C33)</f>
        <v/>
      </c>
      <c r="D33" s="10">
        <f>IF('학생명단'!D33="","",'학생명단'!D33)</f>
        <v/>
      </c>
      <c r="E33" s="10">
        <f>IF('학생명단'!E33="","",'학생명단'!E33)</f>
        <v/>
      </c>
      <c r="F33" s="11">
        <f>IF('학생명단'!F33="","",'학생명단'!F33)</f>
        <v/>
      </c>
      <c r="G33" s="10">
        <f>'공수1'!Y33</f>
        <v/>
      </c>
      <c r="H33" s="10">
        <f>'공수2'!Y33</f>
        <v/>
      </c>
      <c r="I33" s="27">
        <f>IF(AND(G33="",H33=""),"",N(G33)*'설정'!$C$13+N(H33)*'설정'!$C$14)</f>
        <v/>
      </c>
      <c r="J33" s="10">
        <f>IF(I33="","",COUNTIF($I$7:$I$86,"&gt;"&amp;I33)+1)</f>
        <v/>
      </c>
      <c r="K33" s="26">
        <f>IF(I33="","",IF(OR(G33="",H33=""),'설정'!$B$9,IF(AND(OR('설정'!$C$6="",G33&gt;='설정'!$C$6),OR('설정'!$D$6="",G33&lt;'설정'!$D$6),OR('설정'!$E$6="",H33&gt;='설정'!$E$6),OR('설정'!$F$6="",H33&lt;'설정'!$F$6)),'설정'!$B$6,IF(AND(OR('설정'!$C$7="",G33&gt;='설정'!$C$7),OR('설정'!$D$7="",G33&lt;'설정'!$D$7),OR('설정'!$E$7="",H33&gt;='설정'!$E$7),OR('설정'!$F$7="",H33&lt;'설정'!$F$7)),'설정'!$B$7,IF(AND(OR('설정'!$C$8="",G33&gt;='설정'!$C$8),OR('설정'!$D$8="",G33&lt;'설정'!$D$8),OR('설정'!$E$8="",H33&gt;='설정'!$E$8),OR('설정'!$F$8="",H33&lt;'설정'!$F$8)),'설정'!$B$8,'설정'!$B$9)))))</f>
        <v/>
      </c>
      <c r="L33" s="28">
        <f>IF(OR(G33="",H33=""),"",IF(SUMPRODUCT(ISNUMBER('설정'!$C$6:$D$8)*(ABS(G33-'설정'!$C$6:$D$8)&lt;='설정'!$C$15))+SUMPRODUCT(ISNUMBER('설정'!$E$6:$F$8)*(ABS(H33-'설정'!$E$6:$F$8)&lt;='설정'!$C$15))&gt;0,"경계",""))</f>
        <v/>
      </c>
      <c r="M33" s="7" t="n"/>
      <c r="N33" s="7" t="n"/>
      <c r="O33" s="26">
        <f>IF(M33&lt;&gt;"",M33,K33)</f>
        <v/>
      </c>
      <c r="P33" s="29">
        <f>IF(I33="","",IF(G33="","공수1 미응시",IF(H33="","공수2 미응시","")))</f>
        <v/>
      </c>
      <c r="Q33" s="10">
        <f>IF(J33="","",J33+ROW()/100000)</f>
        <v/>
      </c>
    </row>
    <row r="34">
      <c r="A34" s="5" t="n">
        <v>28</v>
      </c>
      <c r="B34" s="10">
        <f>IF('학생명단'!B34="","",'학생명단'!B34)</f>
        <v/>
      </c>
      <c r="C34" s="10">
        <f>IF('학생명단'!C34="","",'학생명단'!C34)</f>
        <v/>
      </c>
      <c r="D34" s="10">
        <f>IF('학생명단'!D34="","",'학생명단'!D34)</f>
        <v/>
      </c>
      <c r="E34" s="10">
        <f>IF('학생명단'!E34="","",'학생명단'!E34)</f>
        <v/>
      </c>
      <c r="F34" s="11">
        <f>IF('학생명단'!F34="","",'학생명단'!F34)</f>
        <v/>
      </c>
      <c r="G34" s="10">
        <f>'공수1'!Y34</f>
        <v/>
      </c>
      <c r="H34" s="10">
        <f>'공수2'!Y34</f>
        <v/>
      </c>
      <c r="I34" s="27">
        <f>IF(AND(G34="",H34=""),"",N(G34)*'설정'!$C$13+N(H34)*'설정'!$C$14)</f>
        <v/>
      </c>
      <c r="J34" s="10">
        <f>IF(I34="","",COUNTIF($I$7:$I$86,"&gt;"&amp;I34)+1)</f>
        <v/>
      </c>
      <c r="K34" s="26">
        <f>IF(I34="","",IF(OR(G34="",H34=""),'설정'!$B$9,IF(AND(OR('설정'!$C$6="",G34&gt;='설정'!$C$6),OR('설정'!$D$6="",G34&lt;'설정'!$D$6),OR('설정'!$E$6="",H34&gt;='설정'!$E$6),OR('설정'!$F$6="",H34&lt;'설정'!$F$6)),'설정'!$B$6,IF(AND(OR('설정'!$C$7="",G34&gt;='설정'!$C$7),OR('설정'!$D$7="",G34&lt;'설정'!$D$7),OR('설정'!$E$7="",H34&gt;='설정'!$E$7),OR('설정'!$F$7="",H34&lt;'설정'!$F$7)),'설정'!$B$7,IF(AND(OR('설정'!$C$8="",G34&gt;='설정'!$C$8),OR('설정'!$D$8="",G34&lt;'설정'!$D$8),OR('설정'!$E$8="",H34&gt;='설정'!$E$8),OR('설정'!$F$8="",H34&lt;'설정'!$F$8)),'설정'!$B$8,'설정'!$B$9)))))</f>
        <v/>
      </c>
      <c r="L34" s="28">
        <f>IF(OR(G34="",H34=""),"",IF(SUMPRODUCT(ISNUMBER('설정'!$C$6:$D$8)*(ABS(G34-'설정'!$C$6:$D$8)&lt;='설정'!$C$15))+SUMPRODUCT(ISNUMBER('설정'!$E$6:$F$8)*(ABS(H34-'설정'!$E$6:$F$8)&lt;='설정'!$C$15))&gt;0,"경계",""))</f>
        <v/>
      </c>
      <c r="M34" s="7" t="n"/>
      <c r="N34" s="7" t="n"/>
      <c r="O34" s="26">
        <f>IF(M34&lt;&gt;"",M34,K34)</f>
        <v/>
      </c>
      <c r="P34" s="29">
        <f>IF(I34="","",IF(G34="","공수1 미응시",IF(H34="","공수2 미응시","")))</f>
        <v/>
      </c>
      <c r="Q34" s="10">
        <f>IF(J34="","",J34+ROW()/100000)</f>
        <v/>
      </c>
    </row>
    <row r="35">
      <c r="A35" s="5" t="n">
        <v>29</v>
      </c>
      <c r="B35" s="10">
        <f>IF('학생명단'!B35="","",'학생명단'!B35)</f>
        <v/>
      </c>
      <c r="C35" s="10">
        <f>IF('학생명단'!C35="","",'학생명단'!C35)</f>
        <v/>
      </c>
      <c r="D35" s="10">
        <f>IF('학생명단'!D35="","",'학생명단'!D35)</f>
        <v/>
      </c>
      <c r="E35" s="10">
        <f>IF('학생명단'!E35="","",'학생명단'!E35)</f>
        <v/>
      </c>
      <c r="F35" s="11">
        <f>IF('학생명단'!F35="","",'학생명단'!F35)</f>
        <v/>
      </c>
      <c r="G35" s="10">
        <f>'공수1'!Y35</f>
        <v/>
      </c>
      <c r="H35" s="10">
        <f>'공수2'!Y35</f>
        <v/>
      </c>
      <c r="I35" s="27">
        <f>IF(AND(G35="",H35=""),"",N(G35)*'설정'!$C$13+N(H35)*'설정'!$C$14)</f>
        <v/>
      </c>
      <c r="J35" s="10">
        <f>IF(I35="","",COUNTIF($I$7:$I$86,"&gt;"&amp;I35)+1)</f>
        <v/>
      </c>
      <c r="K35" s="26">
        <f>IF(I35="","",IF(OR(G35="",H35=""),'설정'!$B$9,IF(AND(OR('설정'!$C$6="",G35&gt;='설정'!$C$6),OR('설정'!$D$6="",G35&lt;'설정'!$D$6),OR('설정'!$E$6="",H35&gt;='설정'!$E$6),OR('설정'!$F$6="",H35&lt;'설정'!$F$6)),'설정'!$B$6,IF(AND(OR('설정'!$C$7="",G35&gt;='설정'!$C$7),OR('설정'!$D$7="",G35&lt;'설정'!$D$7),OR('설정'!$E$7="",H35&gt;='설정'!$E$7),OR('설정'!$F$7="",H35&lt;'설정'!$F$7)),'설정'!$B$7,IF(AND(OR('설정'!$C$8="",G35&gt;='설정'!$C$8),OR('설정'!$D$8="",G35&lt;'설정'!$D$8),OR('설정'!$E$8="",H35&gt;='설정'!$E$8),OR('설정'!$F$8="",H35&lt;'설정'!$F$8)),'설정'!$B$8,'설정'!$B$9)))))</f>
        <v/>
      </c>
      <c r="L35" s="28">
        <f>IF(OR(G35="",H35=""),"",IF(SUMPRODUCT(ISNUMBER('설정'!$C$6:$D$8)*(ABS(G35-'설정'!$C$6:$D$8)&lt;='설정'!$C$15))+SUMPRODUCT(ISNUMBER('설정'!$E$6:$F$8)*(ABS(H35-'설정'!$E$6:$F$8)&lt;='설정'!$C$15))&gt;0,"경계",""))</f>
        <v/>
      </c>
      <c r="M35" s="7" t="n"/>
      <c r="N35" s="7" t="n"/>
      <c r="O35" s="26">
        <f>IF(M35&lt;&gt;"",M35,K35)</f>
        <v/>
      </c>
      <c r="P35" s="29">
        <f>IF(I35="","",IF(G35="","공수1 미응시",IF(H35="","공수2 미응시","")))</f>
        <v/>
      </c>
      <c r="Q35" s="10">
        <f>IF(J35="","",J35+ROW()/100000)</f>
        <v/>
      </c>
    </row>
    <row r="36">
      <c r="A36" s="5" t="n">
        <v>30</v>
      </c>
      <c r="B36" s="10">
        <f>IF('학생명단'!B36="","",'학생명단'!B36)</f>
        <v/>
      </c>
      <c r="C36" s="10">
        <f>IF('학생명단'!C36="","",'학생명단'!C36)</f>
        <v/>
      </c>
      <c r="D36" s="10">
        <f>IF('학생명단'!D36="","",'학생명단'!D36)</f>
        <v/>
      </c>
      <c r="E36" s="10">
        <f>IF('학생명단'!E36="","",'학생명단'!E36)</f>
        <v/>
      </c>
      <c r="F36" s="11">
        <f>IF('학생명단'!F36="","",'학생명단'!F36)</f>
        <v/>
      </c>
      <c r="G36" s="10">
        <f>'공수1'!Y36</f>
        <v/>
      </c>
      <c r="H36" s="10">
        <f>'공수2'!Y36</f>
        <v/>
      </c>
      <c r="I36" s="27">
        <f>IF(AND(G36="",H36=""),"",N(G36)*'설정'!$C$13+N(H36)*'설정'!$C$14)</f>
        <v/>
      </c>
      <c r="J36" s="10">
        <f>IF(I36="","",COUNTIF($I$7:$I$86,"&gt;"&amp;I36)+1)</f>
        <v/>
      </c>
      <c r="K36" s="26">
        <f>IF(I36="","",IF(OR(G36="",H36=""),'설정'!$B$9,IF(AND(OR('설정'!$C$6="",G36&gt;='설정'!$C$6),OR('설정'!$D$6="",G36&lt;'설정'!$D$6),OR('설정'!$E$6="",H36&gt;='설정'!$E$6),OR('설정'!$F$6="",H36&lt;'설정'!$F$6)),'설정'!$B$6,IF(AND(OR('설정'!$C$7="",G36&gt;='설정'!$C$7),OR('설정'!$D$7="",G36&lt;'설정'!$D$7),OR('설정'!$E$7="",H36&gt;='설정'!$E$7),OR('설정'!$F$7="",H36&lt;'설정'!$F$7)),'설정'!$B$7,IF(AND(OR('설정'!$C$8="",G36&gt;='설정'!$C$8),OR('설정'!$D$8="",G36&lt;'설정'!$D$8),OR('설정'!$E$8="",H36&gt;='설정'!$E$8),OR('설정'!$F$8="",H36&lt;'설정'!$F$8)),'설정'!$B$8,'설정'!$B$9)))))</f>
        <v/>
      </c>
      <c r="L36" s="28">
        <f>IF(OR(G36="",H36=""),"",IF(SUMPRODUCT(ISNUMBER('설정'!$C$6:$D$8)*(ABS(G36-'설정'!$C$6:$D$8)&lt;='설정'!$C$15))+SUMPRODUCT(ISNUMBER('설정'!$E$6:$F$8)*(ABS(H36-'설정'!$E$6:$F$8)&lt;='설정'!$C$15))&gt;0,"경계",""))</f>
        <v/>
      </c>
      <c r="M36" s="7" t="n"/>
      <c r="N36" s="7" t="n"/>
      <c r="O36" s="26">
        <f>IF(M36&lt;&gt;"",M36,K36)</f>
        <v/>
      </c>
      <c r="P36" s="29">
        <f>IF(I36="","",IF(G36="","공수1 미응시",IF(H36="","공수2 미응시","")))</f>
        <v/>
      </c>
      <c r="Q36" s="10">
        <f>IF(J36="","",J36+ROW()/100000)</f>
        <v/>
      </c>
    </row>
    <row r="37">
      <c r="A37" s="5" t="n">
        <v>31</v>
      </c>
      <c r="B37" s="10">
        <f>IF('학생명단'!B37="","",'학생명단'!B37)</f>
        <v/>
      </c>
      <c r="C37" s="10">
        <f>IF('학생명단'!C37="","",'학생명단'!C37)</f>
        <v/>
      </c>
      <c r="D37" s="10">
        <f>IF('학생명단'!D37="","",'학생명단'!D37)</f>
        <v/>
      </c>
      <c r="E37" s="10">
        <f>IF('학생명단'!E37="","",'학생명단'!E37)</f>
        <v/>
      </c>
      <c r="F37" s="11">
        <f>IF('학생명단'!F37="","",'학생명단'!F37)</f>
        <v/>
      </c>
      <c r="G37" s="10">
        <f>'공수1'!Y37</f>
        <v/>
      </c>
      <c r="H37" s="10">
        <f>'공수2'!Y37</f>
        <v/>
      </c>
      <c r="I37" s="27">
        <f>IF(AND(G37="",H37=""),"",N(G37)*'설정'!$C$13+N(H37)*'설정'!$C$14)</f>
        <v/>
      </c>
      <c r="J37" s="10">
        <f>IF(I37="","",COUNTIF($I$7:$I$86,"&gt;"&amp;I37)+1)</f>
        <v/>
      </c>
      <c r="K37" s="26">
        <f>IF(I37="","",IF(OR(G37="",H37=""),'설정'!$B$9,IF(AND(OR('설정'!$C$6="",G37&gt;='설정'!$C$6),OR('설정'!$D$6="",G37&lt;'설정'!$D$6),OR('설정'!$E$6="",H37&gt;='설정'!$E$6),OR('설정'!$F$6="",H37&lt;'설정'!$F$6)),'설정'!$B$6,IF(AND(OR('설정'!$C$7="",G37&gt;='설정'!$C$7),OR('설정'!$D$7="",G37&lt;'설정'!$D$7),OR('설정'!$E$7="",H37&gt;='설정'!$E$7),OR('설정'!$F$7="",H37&lt;'설정'!$F$7)),'설정'!$B$7,IF(AND(OR('설정'!$C$8="",G37&gt;='설정'!$C$8),OR('설정'!$D$8="",G37&lt;'설정'!$D$8),OR('설정'!$E$8="",H37&gt;='설정'!$E$8),OR('설정'!$F$8="",H37&lt;'설정'!$F$8)),'설정'!$B$8,'설정'!$B$9)))))</f>
        <v/>
      </c>
      <c r="L37" s="28">
        <f>IF(OR(G37="",H37=""),"",IF(SUMPRODUCT(ISNUMBER('설정'!$C$6:$D$8)*(ABS(G37-'설정'!$C$6:$D$8)&lt;='설정'!$C$15))+SUMPRODUCT(ISNUMBER('설정'!$E$6:$F$8)*(ABS(H37-'설정'!$E$6:$F$8)&lt;='설정'!$C$15))&gt;0,"경계",""))</f>
        <v/>
      </c>
      <c r="M37" s="7" t="n"/>
      <c r="N37" s="7" t="n"/>
      <c r="O37" s="26">
        <f>IF(M37&lt;&gt;"",M37,K37)</f>
        <v/>
      </c>
      <c r="P37" s="29">
        <f>IF(I37="","",IF(G37="","공수1 미응시",IF(H37="","공수2 미응시","")))</f>
        <v/>
      </c>
      <c r="Q37" s="10">
        <f>IF(J37="","",J37+ROW()/100000)</f>
        <v/>
      </c>
    </row>
    <row r="38">
      <c r="A38" s="5" t="n">
        <v>32</v>
      </c>
      <c r="B38" s="10">
        <f>IF('학생명단'!B38="","",'학생명단'!B38)</f>
        <v/>
      </c>
      <c r="C38" s="10">
        <f>IF('학생명단'!C38="","",'학생명단'!C38)</f>
        <v/>
      </c>
      <c r="D38" s="10">
        <f>IF('학생명단'!D38="","",'학생명단'!D38)</f>
        <v/>
      </c>
      <c r="E38" s="10">
        <f>IF('학생명단'!E38="","",'학생명단'!E38)</f>
        <v/>
      </c>
      <c r="F38" s="11">
        <f>IF('학생명단'!F38="","",'학생명단'!F38)</f>
        <v/>
      </c>
      <c r="G38" s="10">
        <f>'공수1'!Y38</f>
        <v/>
      </c>
      <c r="H38" s="10">
        <f>'공수2'!Y38</f>
        <v/>
      </c>
      <c r="I38" s="27">
        <f>IF(AND(G38="",H38=""),"",N(G38)*'설정'!$C$13+N(H38)*'설정'!$C$14)</f>
        <v/>
      </c>
      <c r="J38" s="10">
        <f>IF(I38="","",COUNTIF($I$7:$I$86,"&gt;"&amp;I38)+1)</f>
        <v/>
      </c>
      <c r="K38" s="26">
        <f>IF(I38="","",IF(OR(G38="",H38=""),'설정'!$B$9,IF(AND(OR('설정'!$C$6="",G38&gt;='설정'!$C$6),OR('설정'!$D$6="",G38&lt;'설정'!$D$6),OR('설정'!$E$6="",H38&gt;='설정'!$E$6),OR('설정'!$F$6="",H38&lt;'설정'!$F$6)),'설정'!$B$6,IF(AND(OR('설정'!$C$7="",G38&gt;='설정'!$C$7),OR('설정'!$D$7="",G38&lt;'설정'!$D$7),OR('설정'!$E$7="",H38&gt;='설정'!$E$7),OR('설정'!$F$7="",H38&lt;'설정'!$F$7)),'설정'!$B$7,IF(AND(OR('설정'!$C$8="",G38&gt;='설정'!$C$8),OR('설정'!$D$8="",G38&lt;'설정'!$D$8),OR('설정'!$E$8="",H38&gt;='설정'!$E$8),OR('설정'!$F$8="",H38&lt;'설정'!$F$8)),'설정'!$B$8,'설정'!$B$9)))))</f>
        <v/>
      </c>
      <c r="L38" s="28">
        <f>IF(OR(G38="",H38=""),"",IF(SUMPRODUCT(ISNUMBER('설정'!$C$6:$D$8)*(ABS(G38-'설정'!$C$6:$D$8)&lt;='설정'!$C$15))+SUMPRODUCT(ISNUMBER('설정'!$E$6:$F$8)*(ABS(H38-'설정'!$E$6:$F$8)&lt;='설정'!$C$15))&gt;0,"경계",""))</f>
        <v/>
      </c>
      <c r="M38" s="7" t="n"/>
      <c r="N38" s="7" t="n"/>
      <c r="O38" s="26">
        <f>IF(M38&lt;&gt;"",M38,K38)</f>
        <v/>
      </c>
      <c r="P38" s="29">
        <f>IF(I38="","",IF(G38="","공수1 미응시",IF(H38="","공수2 미응시","")))</f>
        <v/>
      </c>
      <c r="Q38" s="10">
        <f>IF(J38="","",J38+ROW()/100000)</f>
        <v/>
      </c>
    </row>
    <row r="39">
      <c r="A39" s="5" t="n">
        <v>33</v>
      </c>
      <c r="B39" s="10">
        <f>IF('학생명단'!B39="","",'학생명단'!B39)</f>
        <v/>
      </c>
      <c r="C39" s="10">
        <f>IF('학생명단'!C39="","",'학생명단'!C39)</f>
        <v/>
      </c>
      <c r="D39" s="10">
        <f>IF('학생명단'!D39="","",'학생명단'!D39)</f>
        <v/>
      </c>
      <c r="E39" s="10">
        <f>IF('학생명단'!E39="","",'학생명단'!E39)</f>
        <v/>
      </c>
      <c r="F39" s="11">
        <f>IF('학생명단'!F39="","",'학생명단'!F39)</f>
        <v/>
      </c>
      <c r="G39" s="10">
        <f>'공수1'!Y39</f>
        <v/>
      </c>
      <c r="H39" s="10">
        <f>'공수2'!Y39</f>
        <v/>
      </c>
      <c r="I39" s="27">
        <f>IF(AND(G39="",H39=""),"",N(G39)*'설정'!$C$13+N(H39)*'설정'!$C$14)</f>
        <v/>
      </c>
      <c r="J39" s="10">
        <f>IF(I39="","",COUNTIF($I$7:$I$86,"&gt;"&amp;I39)+1)</f>
        <v/>
      </c>
      <c r="K39" s="26">
        <f>IF(I39="","",IF(OR(G39="",H39=""),'설정'!$B$9,IF(AND(OR('설정'!$C$6="",G39&gt;='설정'!$C$6),OR('설정'!$D$6="",G39&lt;'설정'!$D$6),OR('설정'!$E$6="",H39&gt;='설정'!$E$6),OR('설정'!$F$6="",H39&lt;'설정'!$F$6)),'설정'!$B$6,IF(AND(OR('설정'!$C$7="",G39&gt;='설정'!$C$7),OR('설정'!$D$7="",G39&lt;'설정'!$D$7),OR('설정'!$E$7="",H39&gt;='설정'!$E$7),OR('설정'!$F$7="",H39&lt;'설정'!$F$7)),'설정'!$B$7,IF(AND(OR('설정'!$C$8="",G39&gt;='설정'!$C$8),OR('설정'!$D$8="",G39&lt;'설정'!$D$8),OR('설정'!$E$8="",H39&gt;='설정'!$E$8),OR('설정'!$F$8="",H39&lt;'설정'!$F$8)),'설정'!$B$8,'설정'!$B$9)))))</f>
        <v/>
      </c>
      <c r="L39" s="28">
        <f>IF(OR(G39="",H39=""),"",IF(SUMPRODUCT(ISNUMBER('설정'!$C$6:$D$8)*(ABS(G39-'설정'!$C$6:$D$8)&lt;='설정'!$C$15))+SUMPRODUCT(ISNUMBER('설정'!$E$6:$F$8)*(ABS(H39-'설정'!$E$6:$F$8)&lt;='설정'!$C$15))&gt;0,"경계",""))</f>
        <v/>
      </c>
      <c r="M39" s="7" t="n"/>
      <c r="N39" s="7" t="n"/>
      <c r="O39" s="26">
        <f>IF(M39&lt;&gt;"",M39,K39)</f>
        <v/>
      </c>
      <c r="P39" s="29">
        <f>IF(I39="","",IF(G39="","공수1 미응시",IF(H39="","공수2 미응시","")))</f>
        <v/>
      </c>
      <c r="Q39" s="10">
        <f>IF(J39="","",J39+ROW()/100000)</f>
        <v/>
      </c>
    </row>
    <row r="40">
      <c r="A40" s="5" t="n">
        <v>34</v>
      </c>
      <c r="B40" s="10">
        <f>IF('학생명단'!B40="","",'학생명단'!B40)</f>
        <v/>
      </c>
      <c r="C40" s="10">
        <f>IF('학생명단'!C40="","",'학생명단'!C40)</f>
        <v/>
      </c>
      <c r="D40" s="10">
        <f>IF('학생명단'!D40="","",'학생명단'!D40)</f>
        <v/>
      </c>
      <c r="E40" s="10">
        <f>IF('학생명단'!E40="","",'학생명단'!E40)</f>
        <v/>
      </c>
      <c r="F40" s="11">
        <f>IF('학생명단'!F40="","",'학생명단'!F40)</f>
        <v/>
      </c>
      <c r="G40" s="10">
        <f>'공수1'!Y40</f>
        <v/>
      </c>
      <c r="H40" s="10">
        <f>'공수2'!Y40</f>
        <v/>
      </c>
      <c r="I40" s="27">
        <f>IF(AND(G40="",H40=""),"",N(G40)*'설정'!$C$13+N(H40)*'설정'!$C$14)</f>
        <v/>
      </c>
      <c r="J40" s="10">
        <f>IF(I40="","",COUNTIF($I$7:$I$86,"&gt;"&amp;I40)+1)</f>
        <v/>
      </c>
      <c r="K40" s="26">
        <f>IF(I40="","",IF(OR(G40="",H40=""),'설정'!$B$9,IF(AND(OR('설정'!$C$6="",G40&gt;='설정'!$C$6),OR('설정'!$D$6="",G40&lt;'설정'!$D$6),OR('설정'!$E$6="",H40&gt;='설정'!$E$6),OR('설정'!$F$6="",H40&lt;'설정'!$F$6)),'설정'!$B$6,IF(AND(OR('설정'!$C$7="",G40&gt;='설정'!$C$7),OR('설정'!$D$7="",G40&lt;'설정'!$D$7),OR('설정'!$E$7="",H40&gt;='설정'!$E$7),OR('설정'!$F$7="",H40&lt;'설정'!$F$7)),'설정'!$B$7,IF(AND(OR('설정'!$C$8="",G40&gt;='설정'!$C$8),OR('설정'!$D$8="",G40&lt;'설정'!$D$8),OR('설정'!$E$8="",H40&gt;='설정'!$E$8),OR('설정'!$F$8="",H40&lt;'설정'!$F$8)),'설정'!$B$8,'설정'!$B$9)))))</f>
        <v/>
      </c>
      <c r="L40" s="28">
        <f>IF(OR(G40="",H40=""),"",IF(SUMPRODUCT(ISNUMBER('설정'!$C$6:$D$8)*(ABS(G40-'설정'!$C$6:$D$8)&lt;='설정'!$C$15))+SUMPRODUCT(ISNUMBER('설정'!$E$6:$F$8)*(ABS(H40-'설정'!$E$6:$F$8)&lt;='설정'!$C$15))&gt;0,"경계",""))</f>
        <v/>
      </c>
      <c r="M40" s="7" t="n"/>
      <c r="N40" s="7" t="n"/>
      <c r="O40" s="26">
        <f>IF(M40&lt;&gt;"",M40,K40)</f>
        <v/>
      </c>
      <c r="P40" s="29">
        <f>IF(I40="","",IF(G40="","공수1 미응시",IF(H40="","공수2 미응시","")))</f>
        <v/>
      </c>
      <c r="Q40" s="10">
        <f>IF(J40="","",J40+ROW()/100000)</f>
        <v/>
      </c>
    </row>
    <row r="41">
      <c r="A41" s="5" t="n">
        <v>35</v>
      </c>
      <c r="B41" s="10">
        <f>IF('학생명단'!B41="","",'학생명단'!B41)</f>
        <v/>
      </c>
      <c r="C41" s="10">
        <f>IF('학생명단'!C41="","",'학생명단'!C41)</f>
        <v/>
      </c>
      <c r="D41" s="10">
        <f>IF('학생명단'!D41="","",'학생명단'!D41)</f>
        <v/>
      </c>
      <c r="E41" s="10">
        <f>IF('학생명단'!E41="","",'학생명단'!E41)</f>
        <v/>
      </c>
      <c r="F41" s="11">
        <f>IF('학생명단'!F41="","",'학생명단'!F41)</f>
        <v/>
      </c>
      <c r="G41" s="10">
        <f>'공수1'!Y41</f>
        <v/>
      </c>
      <c r="H41" s="10">
        <f>'공수2'!Y41</f>
        <v/>
      </c>
      <c r="I41" s="27">
        <f>IF(AND(G41="",H41=""),"",N(G41)*'설정'!$C$13+N(H41)*'설정'!$C$14)</f>
        <v/>
      </c>
      <c r="J41" s="10">
        <f>IF(I41="","",COUNTIF($I$7:$I$86,"&gt;"&amp;I41)+1)</f>
        <v/>
      </c>
      <c r="K41" s="26">
        <f>IF(I41="","",IF(OR(G41="",H41=""),'설정'!$B$9,IF(AND(OR('설정'!$C$6="",G41&gt;='설정'!$C$6),OR('설정'!$D$6="",G41&lt;'설정'!$D$6),OR('설정'!$E$6="",H41&gt;='설정'!$E$6),OR('설정'!$F$6="",H41&lt;'설정'!$F$6)),'설정'!$B$6,IF(AND(OR('설정'!$C$7="",G41&gt;='설정'!$C$7),OR('설정'!$D$7="",G41&lt;'설정'!$D$7),OR('설정'!$E$7="",H41&gt;='설정'!$E$7),OR('설정'!$F$7="",H41&lt;'설정'!$F$7)),'설정'!$B$7,IF(AND(OR('설정'!$C$8="",G41&gt;='설정'!$C$8),OR('설정'!$D$8="",G41&lt;'설정'!$D$8),OR('설정'!$E$8="",H41&gt;='설정'!$E$8),OR('설정'!$F$8="",H41&lt;'설정'!$F$8)),'설정'!$B$8,'설정'!$B$9)))))</f>
        <v/>
      </c>
      <c r="L41" s="28">
        <f>IF(OR(G41="",H41=""),"",IF(SUMPRODUCT(ISNUMBER('설정'!$C$6:$D$8)*(ABS(G41-'설정'!$C$6:$D$8)&lt;='설정'!$C$15))+SUMPRODUCT(ISNUMBER('설정'!$E$6:$F$8)*(ABS(H41-'설정'!$E$6:$F$8)&lt;='설정'!$C$15))&gt;0,"경계",""))</f>
        <v/>
      </c>
      <c r="M41" s="7" t="n"/>
      <c r="N41" s="7" t="n"/>
      <c r="O41" s="26">
        <f>IF(M41&lt;&gt;"",M41,K41)</f>
        <v/>
      </c>
      <c r="P41" s="29">
        <f>IF(I41="","",IF(G41="","공수1 미응시",IF(H41="","공수2 미응시","")))</f>
        <v/>
      </c>
      <c r="Q41" s="10">
        <f>IF(J41="","",J41+ROW()/100000)</f>
        <v/>
      </c>
    </row>
    <row r="42">
      <c r="A42" s="5" t="n">
        <v>36</v>
      </c>
      <c r="B42" s="10">
        <f>IF('학생명단'!B42="","",'학생명단'!B42)</f>
        <v/>
      </c>
      <c r="C42" s="10">
        <f>IF('학생명단'!C42="","",'학생명단'!C42)</f>
        <v/>
      </c>
      <c r="D42" s="10">
        <f>IF('학생명단'!D42="","",'학생명단'!D42)</f>
        <v/>
      </c>
      <c r="E42" s="10">
        <f>IF('학생명단'!E42="","",'학생명단'!E42)</f>
        <v/>
      </c>
      <c r="F42" s="11">
        <f>IF('학생명단'!F42="","",'학생명단'!F42)</f>
        <v/>
      </c>
      <c r="G42" s="10">
        <f>'공수1'!Y42</f>
        <v/>
      </c>
      <c r="H42" s="10">
        <f>'공수2'!Y42</f>
        <v/>
      </c>
      <c r="I42" s="27">
        <f>IF(AND(G42="",H42=""),"",N(G42)*'설정'!$C$13+N(H42)*'설정'!$C$14)</f>
        <v/>
      </c>
      <c r="J42" s="10">
        <f>IF(I42="","",COUNTIF($I$7:$I$86,"&gt;"&amp;I42)+1)</f>
        <v/>
      </c>
      <c r="K42" s="26">
        <f>IF(I42="","",IF(OR(G42="",H42=""),'설정'!$B$9,IF(AND(OR('설정'!$C$6="",G42&gt;='설정'!$C$6),OR('설정'!$D$6="",G42&lt;'설정'!$D$6),OR('설정'!$E$6="",H42&gt;='설정'!$E$6),OR('설정'!$F$6="",H42&lt;'설정'!$F$6)),'설정'!$B$6,IF(AND(OR('설정'!$C$7="",G42&gt;='설정'!$C$7),OR('설정'!$D$7="",G42&lt;'설정'!$D$7),OR('설정'!$E$7="",H42&gt;='설정'!$E$7),OR('설정'!$F$7="",H42&lt;'설정'!$F$7)),'설정'!$B$7,IF(AND(OR('설정'!$C$8="",G42&gt;='설정'!$C$8),OR('설정'!$D$8="",G42&lt;'설정'!$D$8),OR('설정'!$E$8="",H42&gt;='설정'!$E$8),OR('설정'!$F$8="",H42&lt;'설정'!$F$8)),'설정'!$B$8,'설정'!$B$9)))))</f>
        <v/>
      </c>
      <c r="L42" s="28">
        <f>IF(OR(G42="",H42=""),"",IF(SUMPRODUCT(ISNUMBER('설정'!$C$6:$D$8)*(ABS(G42-'설정'!$C$6:$D$8)&lt;='설정'!$C$15))+SUMPRODUCT(ISNUMBER('설정'!$E$6:$F$8)*(ABS(H42-'설정'!$E$6:$F$8)&lt;='설정'!$C$15))&gt;0,"경계",""))</f>
        <v/>
      </c>
      <c r="M42" s="7" t="n"/>
      <c r="N42" s="7" t="n"/>
      <c r="O42" s="26">
        <f>IF(M42&lt;&gt;"",M42,K42)</f>
        <v/>
      </c>
      <c r="P42" s="29">
        <f>IF(I42="","",IF(G42="","공수1 미응시",IF(H42="","공수2 미응시","")))</f>
        <v/>
      </c>
      <c r="Q42" s="10">
        <f>IF(J42="","",J42+ROW()/100000)</f>
        <v/>
      </c>
    </row>
    <row r="43">
      <c r="A43" s="5" t="n">
        <v>37</v>
      </c>
      <c r="B43" s="10">
        <f>IF('학생명단'!B43="","",'학생명단'!B43)</f>
        <v/>
      </c>
      <c r="C43" s="10">
        <f>IF('학생명단'!C43="","",'학생명단'!C43)</f>
        <v/>
      </c>
      <c r="D43" s="10">
        <f>IF('학생명단'!D43="","",'학생명단'!D43)</f>
        <v/>
      </c>
      <c r="E43" s="10">
        <f>IF('학생명단'!E43="","",'학생명단'!E43)</f>
        <v/>
      </c>
      <c r="F43" s="11">
        <f>IF('학생명단'!F43="","",'학생명단'!F43)</f>
        <v/>
      </c>
      <c r="G43" s="10">
        <f>'공수1'!Y43</f>
        <v/>
      </c>
      <c r="H43" s="10">
        <f>'공수2'!Y43</f>
        <v/>
      </c>
      <c r="I43" s="27">
        <f>IF(AND(G43="",H43=""),"",N(G43)*'설정'!$C$13+N(H43)*'설정'!$C$14)</f>
        <v/>
      </c>
      <c r="J43" s="10">
        <f>IF(I43="","",COUNTIF($I$7:$I$86,"&gt;"&amp;I43)+1)</f>
        <v/>
      </c>
      <c r="K43" s="26">
        <f>IF(I43="","",IF(OR(G43="",H43=""),'설정'!$B$9,IF(AND(OR('설정'!$C$6="",G43&gt;='설정'!$C$6),OR('설정'!$D$6="",G43&lt;'설정'!$D$6),OR('설정'!$E$6="",H43&gt;='설정'!$E$6),OR('설정'!$F$6="",H43&lt;'설정'!$F$6)),'설정'!$B$6,IF(AND(OR('설정'!$C$7="",G43&gt;='설정'!$C$7),OR('설정'!$D$7="",G43&lt;'설정'!$D$7),OR('설정'!$E$7="",H43&gt;='설정'!$E$7),OR('설정'!$F$7="",H43&lt;'설정'!$F$7)),'설정'!$B$7,IF(AND(OR('설정'!$C$8="",G43&gt;='설정'!$C$8),OR('설정'!$D$8="",G43&lt;'설정'!$D$8),OR('설정'!$E$8="",H43&gt;='설정'!$E$8),OR('설정'!$F$8="",H43&lt;'설정'!$F$8)),'설정'!$B$8,'설정'!$B$9)))))</f>
        <v/>
      </c>
      <c r="L43" s="28">
        <f>IF(OR(G43="",H43=""),"",IF(SUMPRODUCT(ISNUMBER('설정'!$C$6:$D$8)*(ABS(G43-'설정'!$C$6:$D$8)&lt;='설정'!$C$15))+SUMPRODUCT(ISNUMBER('설정'!$E$6:$F$8)*(ABS(H43-'설정'!$E$6:$F$8)&lt;='설정'!$C$15))&gt;0,"경계",""))</f>
        <v/>
      </c>
      <c r="M43" s="7" t="n"/>
      <c r="N43" s="7" t="n"/>
      <c r="O43" s="26">
        <f>IF(M43&lt;&gt;"",M43,K43)</f>
        <v/>
      </c>
      <c r="P43" s="29">
        <f>IF(I43="","",IF(G43="","공수1 미응시",IF(H43="","공수2 미응시","")))</f>
        <v/>
      </c>
      <c r="Q43" s="10">
        <f>IF(J43="","",J43+ROW()/100000)</f>
        <v/>
      </c>
    </row>
    <row r="44">
      <c r="A44" s="5" t="n">
        <v>38</v>
      </c>
      <c r="B44" s="10">
        <f>IF('학생명단'!B44="","",'학생명단'!B44)</f>
        <v/>
      </c>
      <c r="C44" s="10">
        <f>IF('학생명단'!C44="","",'학생명단'!C44)</f>
        <v/>
      </c>
      <c r="D44" s="10">
        <f>IF('학생명단'!D44="","",'학생명단'!D44)</f>
        <v/>
      </c>
      <c r="E44" s="10">
        <f>IF('학생명단'!E44="","",'학생명단'!E44)</f>
        <v/>
      </c>
      <c r="F44" s="11">
        <f>IF('학생명단'!F44="","",'학생명단'!F44)</f>
        <v/>
      </c>
      <c r="G44" s="10">
        <f>'공수1'!Y44</f>
        <v/>
      </c>
      <c r="H44" s="10">
        <f>'공수2'!Y44</f>
        <v/>
      </c>
      <c r="I44" s="27">
        <f>IF(AND(G44="",H44=""),"",N(G44)*'설정'!$C$13+N(H44)*'설정'!$C$14)</f>
        <v/>
      </c>
      <c r="J44" s="10">
        <f>IF(I44="","",COUNTIF($I$7:$I$86,"&gt;"&amp;I44)+1)</f>
        <v/>
      </c>
      <c r="K44" s="26">
        <f>IF(I44="","",IF(OR(G44="",H44=""),'설정'!$B$9,IF(AND(OR('설정'!$C$6="",G44&gt;='설정'!$C$6),OR('설정'!$D$6="",G44&lt;'설정'!$D$6),OR('설정'!$E$6="",H44&gt;='설정'!$E$6),OR('설정'!$F$6="",H44&lt;'설정'!$F$6)),'설정'!$B$6,IF(AND(OR('설정'!$C$7="",G44&gt;='설정'!$C$7),OR('설정'!$D$7="",G44&lt;'설정'!$D$7),OR('설정'!$E$7="",H44&gt;='설정'!$E$7),OR('설정'!$F$7="",H44&lt;'설정'!$F$7)),'설정'!$B$7,IF(AND(OR('설정'!$C$8="",G44&gt;='설정'!$C$8),OR('설정'!$D$8="",G44&lt;'설정'!$D$8),OR('설정'!$E$8="",H44&gt;='설정'!$E$8),OR('설정'!$F$8="",H44&lt;'설정'!$F$8)),'설정'!$B$8,'설정'!$B$9)))))</f>
        <v/>
      </c>
      <c r="L44" s="28">
        <f>IF(OR(G44="",H44=""),"",IF(SUMPRODUCT(ISNUMBER('설정'!$C$6:$D$8)*(ABS(G44-'설정'!$C$6:$D$8)&lt;='설정'!$C$15))+SUMPRODUCT(ISNUMBER('설정'!$E$6:$F$8)*(ABS(H44-'설정'!$E$6:$F$8)&lt;='설정'!$C$15))&gt;0,"경계",""))</f>
        <v/>
      </c>
      <c r="M44" s="7" t="n"/>
      <c r="N44" s="7" t="n"/>
      <c r="O44" s="26">
        <f>IF(M44&lt;&gt;"",M44,K44)</f>
        <v/>
      </c>
      <c r="P44" s="29">
        <f>IF(I44="","",IF(G44="","공수1 미응시",IF(H44="","공수2 미응시","")))</f>
        <v/>
      </c>
      <c r="Q44" s="10">
        <f>IF(J44="","",J44+ROW()/100000)</f>
        <v/>
      </c>
    </row>
    <row r="45">
      <c r="A45" s="5" t="n">
        <v>39</v>
      </c>
      <c r="B45" s="10">
        <f>IF('학생명단'!B45="","",'학생명단'!B45)</f>
        <v/>
      </c>
      <c r="C45" s="10">
        <f>IF('학생명단'!C45="","",'학생명단'!C45)</f>
        <v/>
      </c>
      <c r="D45" s="10">
        <f>IF('학생명단'!D45="","",'학생명단'!D45)</f>
        <v/>
      </c>
      <c r="E45" s="10">
        <f>IF('학생명단'!E45="","",'학생명단'!E45)</f>
        <v/>
      </c>
      <c r="F45" s="11">
        <f>IF('학생명단'!F45="","",'학생명단'!F45)</f>
        <v/>
      </c>
      <c r="G45" s="10">
        <f>'공수1'!Y45</f>
        <v/>
      </c>
      <c r="H45" s="10">
        <f>'공수2'!Y45</f>
        <v/>
      </c>
      <c r="I45" s="27">
        <f>IF(AND(G45="",H45=""),"",N(G45)*'설정'!$C$13+N(H45)*'설정'!$C$14)</f>
        <v/>
      </c>
      <c r="J45" s="10">
        <f>IF(I45="","",COUNTIF($I$7:$I$86,"&gt;"&amp;I45)+1)</f>
        <v/>
      </c>
      <c r="K45" s="26">
        <f>IF(I45="","",IF(OR(G45="",H45=""),'설정'!$B$9,IF(AND(OR('설정'!$C$6="",G45&gt;='설정'!$C$6),OR('설정'!$D$6="",G45&lt;'설정'!$D$6),OR('설정'!$E$6="",H45&gt;='설정'!$E$6),OR('설정'!$F$6="",H45&lt;'설정'!$F$6)),'설정'!$B$6,IF(AND(OR('설정'!$C$7="",G45&gt;='설정'!$C$7),OR('설정'!$D$7="",G45&lt;'설정'!$D$7),OR('설정'!$E$7="",H45&gt;='설정'!$E$7),OR('설정'!$F$7="",H45&lt;'설정'!$F$7)),'설정'!$B$7,IF(AND(OR('설정'!$C$8="",G45&gt;='설정'!$C$8),OR('설정'!$D$8="",G45&lt;'설정'!$D$8),OR('설정'!$E$8="",H45&gt;='설정'!$E$8),OR('설정'!$F$8="",H45&lt;'설정'!$F$8)),'설정'!$B$8,'설정'!$B$9)))))</f>
        <v/>
      </c>
      <c r="L45" s="28">
        <f>IF(OR(G45="",H45=""),"",IF(SUMPRODUCT(ISNUMBER('설정'!$C$6:$D$8)*(ABS(G45-'설정'!$C$6:$D$8)&lt;='설정'!$C$15))+SUMPRODUCT(ISNUMBER('설정'!$E$6:$F$8)*(ABS(H45-'설정'!$E$6:$F$8)&lt;='설정'!$C$15))&gt;0,"경계",""))</f>
        <v/>
      </c>
      <c r="M45" s="7" t="n"/>
      <c r="N45" s="7" t="n"/>
      <c r="O45" s="26">
        <f>IF(M45&lt;&gt;"",M45,K45)</f>
        <v/>
      </c>
      <c r="P45" s="29">
        <f>IF(I45="","",IF(G45="","공수1 미응시",IF(H45="","공수2 미응시","")))</f>
        <v/>
      </c>
      <c r="Q45" s="10">
        <f>IF(J45="","",J45+ROW()/100000)</f>
        <v/>
      </c>
    </row>
    <row r="46">
      <c r="A46" s="5" t="n">
        <v>40</v>
      </c>
      <c r="B46" s="10">
        <f>IF('학생명단'!B46="","",'학생명단'!B46)</f>
        <v/>
      </c>
      <c r="C46" s="10">
        <f>IF('학생명단'!C46="","",'학생명단'!C46)</f>
        <v/>
      </c>
      <c r="D46" s="10">
        <f>IF('학생명단'!D46="","",'학생명단'!D46)</f>
        <v/>
      </c>
      <c r="E46" s="10">
        <f>IF('학생명단'!E46="","",'학생명단'!E46)</f>
        <v/>
      </c>
      <c r="F46" s="11">
        <f>IF('학생명단'!F46="","",'학생명단'!F46)</f>
        <v/>
      </c>
      <c r="G46" s="10">
        <f>'공수1'!Y46</f>
        <v/>
      </c>
      <c r="H46" s="10">
        <f>'공수2'!Y46</f>
        <v/>
      </c>
      <c r="I46" s="27">
        <f>IF(AND(G46="",H46=""),"",N(G46)*'설정'!$C$13+N(H46)*'설정'!$C$14)</f>
        <v/>
      </c>
      <c r="J46" s="10">
        <f>IF(I46="","",COUNTIF($I$7:$I$86,"&gt;"&amp;I46)+1)</f>
        <v/>
      </c>
      <c r="K46" s="26">
        <f>IF(I46="","",IF(OR(G46="",H46=""),'설정'!$B$9,IF(AND(OR('설정'!$C$6="",G46&gt;='설정'!$C$6),OR('설정'!$D$6="",G46&lt;'설정'!$D$6),OR('설정'!$E$6="",H46&gt;='설정'!$E$6),OR('설정'!$F$6="",H46&lt;'설정'!$F$6)),'설정'!$B$6,IF(AND(OR('설정'!$C$7="",G46&gt;='설정'!$C$7),OR('설정'!$D$7="",G46&lt;'설정'!$D$7),OR('설정'!$E$7="",H46&gt;='설정'!$E$7),OR('설정'!$F$7="",H46&lt;'설정'!$F$7)),'설정'!$B$7,IF(AND(OR('설정'!$C$8="",G46&gt;='설정'!$C$8),OR('설정'!$D$8="",G46&lt;'설정'!$D$8),OR('설정'!$E$8="",H46&gt;='설정'!$E$8),OR('설정'!$F$8="",H46&lt;'설정'!$F$8)),'설정'!$B$8,'설정'!$B$9)))))</f>
        <v/>
      </c>
      <c r="L46" s="28">
        <f>IF(OR(G46="",H46=""),"",IF(SUMPRODUCT(ISNUMBER('설정'!$C$6:$D$8)*(ABS(G46-'설정'!$C$6:$D$8)&lt;='설정'!$C$15))+SUMPRODUCT(ISNUMBER('설정'!$E$6:$F$8)*(ABS(H46-'설정'!$E$6:$F$8)&lt;='설정'!$C$15))&gt;0,"경계",""))</f>
        <v/>
      </c>
      <c r="M46" s="7" t="n"/>
      <c r="N46" s="7" t="n"/>
      <c r="O46" s="26">
        <f>IF(M46&lt;&gt;"",M46,K46)</f>
        <v/>
      </c>
      <c r="P46" s="29">
        <f>IF(I46="","",IF(G46="","공수1 미응시",IF(H46="","공수2 미응시","")))</f>
        <v/>
      </c>
      <c r="Q46" s="10">
        <f>IF(J46="","",J46+ROW()/100000)</f>
        <v/>
      </c>
    </row>
    <row r="47">
      <c r="A47" s="5" t="n">
        <v>41</v>
      </c>
      <c r="B47" s="10">
        <f>IF('학생명단'!B47="","",'학생명단'!B47)</f>
        <v/>
      </c>
      <c r="C47" s="10">
        <f>IF('학생명단'!C47="","",'학생명단'!C47)</f>
        <v/>
      </c>
      <c r="D47" s="10">
        <f>IF('학생명단'!D47="","",'학생명단'!D47)</f>
        <v/>
      </c>
      <c r="E47" s="10">
        <f>IF('학생명단'!E47="","",'학생명단'!E47)</f>
        <v/>
      </c>
      <c r="F47" s="11">
        <f>IF('학생명단'!F47="","",'학생명단'!F47)</f>
        <v/>
      </c>
      <c r="G47" s="10">
        <f>'공수1'!Y47</f>
        <v/>
      </c>
      <c r="H47" s="10">
        <f>'공수2'!Y47</f>
        <v/>
      </c>
      <c r="I47" s="27">
        <f>IF(AND(G47="",H47=""),"",N(G47)*'설정'!$C$13+N(H47)*'설정'!$C$14)</f>
        <v/>
      </c>
      <c r="J47" s="10">
        <f>IF(I47="","",COUNTIF($I$7:$I$86,"&gt;"&amp;I47)+1)</f>
        <v/>
      </c>
      <c r="K47" s="26">
        <f>IF(I47="","",IF(OR(G47="",H47=""),'설정'!$B$9,IF(AND(OR('설정'!$C$6="",G47&gt;='설정'!$C$6),OR('설정'!$D$6="",G47&lt;'설정'!$D$6),OR('설정'!$E$6="",H47&gt;='설정'!$E$6),OR('설정'!$F$6="",H47&lt;'설정'!$F$6)),'설정'!$B$6,IF(AND(OR('설정'!$C$7="",G47&gt;='설정'!$C$7),OR('설정'!$D$7="",G47&lt;'설정'!$D$7),OR('설정'!$E$7="",H47&gt;='설정'!$E$7),OR('설정'!$F$7="",H47&lt;'설정'!$F$7)),'설정'!$B$7,IF(AND(OR('설정'!$C$8="",G47&gt;='설정'!$C$8),OR('설정'!$D$8="",G47&lt;'설정'!$D$8),OR('설정'!$E$8="",H47&gt;='설정'!$E$8),OR('설정'!$F$8="",H47&lt;'설정'!$F$8)),'설정'!$B$8,'설정'!$B$9)))))</f>
        <v/>
      </c>
      <c r="L47" s="28">
        <f>IF(OR(G47="",H47=""),"",IF(SUMPRODUCT(ISNUMBER('설정'!$C$6:$D$8)*(ABS(G47-'설정'!$C$6:$D$8)&lt;='설정'!$C$15))+SUMPRODUCT(ISNUMBER('설정'!$E$6:$F$8)*(ABS(H47-'설정'!$E$6:$F$8)&lt;='설정'!$C$15))&gt;0,"경계",""))</f>
        <v/>
      </c>
      <c r="M47" s="7" t="n"/>
      <c r="N47" s="7" t="n"/>
      <c r="O47" s="26">
        <f>IF(M47&lt;&gt;"",M47,K47)</f>
        <v/>
      </c>
      <c r="P47" s="29">
        <f>IF(I47="","",IF(G47="","공수1 미응시",IF(H47="","공수2 미응시","")))</f>
        <v/>
      </c>
      <c r="Q47" s="10">
        <f>IF(J47="","",J47+ROW()/100000)</f>
        <v/>
      </c>
    </row>
    <row r="48">
      <c r="A48" s="5" t="n">
        <v>42</v>
      </c>
      <c r="B48" s="10">
        <f>IF('학생명단'!B48="","",'학생명단'!B48)</f>
        <v/>
      </c>
      <c r="C48" s="10">
        <f>IF('학생명단'!C48="","",'학생명단'!C48)</f>
        <v/>
      </c>
      <c r="D48" s="10">
        <f>IF('학생명단'!D48="","",'학생명단'!D48)</f>
        <v/>
      </c>
      <c r="E48" s="10">
        <f>IF('학생명단'!E48="","",'학생명단'!E48)</f>
        <v/>
      </c>
      <c r="F48" s="11">
        <f>IF('학생명단'!F48="","",'학생명단'!F48)</f>
        <v/>
      </c>
      <c r="G48" s="10">
        <f>'공수1'!Y48</f>
        <v/>
      </c>
      <c r="H48" s="10">
        <f>'공수2'!Y48</f>
        <v/>
      </c>
      <c r="I48" s="27">
        <f>IF(AND(G48="",H48=""),"",N(G48)*'설정'!$C$13+N(H48)*'설정'!$C$14)</f>
        <v/>
      </c>
      <c r="J48" s="10">
        <f>IF(I48="","",COUNTIF($I$7:$I$86,"&gt;"&amp;I48)+1)</f>
        <v/>
      </c>
      <c r="K48" s="26">
        <f>IF(I48="","",IF(OR(G48="",H48=""),'설정'!$B$9,IF(AND(OR('설정'!$C$6="",G48&gt;='설정'!$C$6),OR('설정'!$D$6="",G48&lt;'설정'!$D$6),OR('설정'!$E$6="",H48&gt;='설정'!$E$6),OR('설정'!$F$6="",H48&lt;'설정'!$F$6)),'설정'!$B$6,IF(AND(OR('설정'!$C$7="",G48&gt;='설정'!$C$7),OR('설정'!$D$7="",G48&lt;'설정'!$D$7),OR('설정'!$E$7="",H48&gt;='설정'!$E$7),OR('설정'!$F$7="",H48&lt;'설정'!$F$7)),'설정'!$B$7,IF(AND(OR('설정'!$C$8="",G48&gt;='설정'!$C$8),OR('설정'!$D$8="",G48&lt;'설정'!$D$8),OR('설정'!$E$8="",H48&gt;='설정'!$E$8),OR('설정'!$F$8="",H48&lt;'설정'!$F$8)),'설정'!$B$8,'설정'!$B$9)))))</f>
        <v/>
      </c>
      <c r="L48" s="28">
        <f>IF(OR(G48="",H48=""),"",IF(SUMPRODUCT(ISNUMBER('설정'!$C$6:$D$8)*(ABS(G48-'설정'!$C$6:$D$8)&lt;='설정'!$C$15))+SUMPRODUCT(ISNUMBER('설정'!$E$6:$F$8)*(ABS(H48-'설정'!$E$6:$F$8)&lt;='설정'!$C$15))&gt;0,"경계",""))</f>
        <v/>
      </c>
      <c r="M48" s="7" t="n"/>
      <c r="N48" s="7" t="n"/>
      <c r="O48" s="26">
        <f>IF(M48&lt;&gt;"",M48,K48)</f>
        <v/>
      </c>
      <c r="P48" s="29">
        <f>IF(I48="","",IF(G48="","공수1 미응시",IF(H48="","공수2 미응시","")))</f>
        <v/>
      </c>
      <c r="Q48" s="10">
        <f>IF(J48="","",J48+ROW()/100000)</f>
        <v/>
      </c>
    </row>
    <row r="49">
      <c r="A49" s="5" t="n">
        <v>43</v>
      </c>
      <c r="B49" s="10">
        <f>IF('학생명단'!B49="","",'학생명단'!B49)</f>
        <v/>
      </c>
      <c r="C49" s="10">
        <f>IF('학생명단'!C49="","",'학생명단'!C49)</f>
        <v/>
      </c>
      <c r="D49" s="10">
        <f>IF('학생명단'!D49="","",'학생명단'!D49)</f>
        <v/>
      </c>
      <c r="E49" s="10">
        <f>IF('학생명단'!E49="","",'학생명단'!E49)</f>
        <v/>
      </c>
      <c r="F49" s="11">
        <f>IF('학생명단'!F49="","",'학생명단'!F49)</f>
        <v/>
      </c>
      <c r="G49" s="10">
        <f>'공수1'!Y49</f>
        <v/>
      </c>
      <c r="H49" s="10">
        <f>'공수2'!Y49</f>
        <v/>
      </c>
      <c r="I49" s="27">
        <f>IF(AND(G49="",H49=""),"",N(G49)*'설정'!$C$13+N(H49)*'설정'!$C$14)</f>
        <v/>
      </c>
      <c r="J49" s="10">
        <f>IF(I49="","",COUNTIF($I$7:$I$86,"&gt;"&amp;I49)+1)</f>
        <v/>
      </c>
      <c r="K49" s="26">
        <f>IF(I49="","",IF(OR(G49="",H49=""),'설정'!$B$9,IF(AND(OR('설정'!$C$6="",G49&gt;='설정'!$C$6),OR('설정'!$D$6="",G49&lt;'설정'!$D$6),OR('설정'!$E$6="",H49&gt;='설정'!$E$6),OR('설정'!$F$6="",H49&lt;'설정'!$F$6)),'설정'!$B$6,IF(AND(OR('설정'!$C$7="",G49&gt;='설정'!$C$7),OR('설정'!$D$7="",G49&lt;'설정'!$D$7),OR('설정'!$E$7="",H49&gt;='설정'!$E$7),OR('설정'!$F$7="",H49&lt;'설정'!$F$7)),'설정'!$B$7,IF(AND(OR('설정'!$C$8="",G49&gt;='설정'!$C$8),OR('설정'!$D$8="",G49&lt;'설정'!$D$8),OR('설정'!$E$8="",H49&gt;='설정'!$E$8),OR('설정'!$F$8="",H49&lt;'설정'!$F$8)),'설정'!$B$8,'설정'!$B$9)))))</f>
        <v/>
      </c>
      <c r="L49" s="28">
        <f>IF(OR(G49="",H49=""),"",IF(SUMPRODUCT(ISNUMBER('설정'!$C$6:$D$8)*(ABS(G49-'설정'!$C$6:$D$8)&lt;='설정'!$C$15))+SUMPRODUCT(ISNUMBER('설정'!$E$6:$F$8)*(ABS(H49-'설정'!$E$6:$F$8)&lt;='설정'!$C$15))&gt;0,"경계",""))</f>
        <v/>
      </c>
      <c r="M49" s="7" t="n"/>
      <c r="N49" s="7" t="n"/>
      <c r="O49" s="26">
        <f>IF(M49&lt;&gt;"",M49,K49)</f>
        <v/>
      </c>
      <c r="P49" s="29">
        <f>IF(I49="","",IF(G49="","공수1 미응시",IF(H49="","공수2 미응시","")))</f>
        <v/>
      </c>
      <c r="Q49" s="10">
        <f>IF(J49="","",J49+ROW()/100000)</f>
        <v/>
      </c>
    </row>
    <row r="50">
      <c r="A50" s="5" t="n">
        <v>44</v>
      </c>
      <c r="B50" s="10">
        <f>IF('학생명단'!B50="","",'학생명단'!B50)</f>
        <v/>
      </c>
      <c r="C50" s="10">
        <f>IF('학생명단'!C50="","",'학생명단'!C50)</f>
        <v/>
      </c>
      <c r="D50" s="10">
        <f>IF('학생명단'!D50="","",'학생명단'!D50)</f>
        <v/>
      </c>
      <c r="E50" s="10">
        <f>IF('학생명단'!E50="","",'학생명단'!E50)</f>
        <v/>
      </c>
      <c r="F50" s="11">
        <f>IF('학생명단'!F50="","",'학생명단'!F50)</f>
        <v/>
      </c>
      <c r="G50" s="10">
        <f>'공수1'!Y50</f>
        <v/>
      </c>
      <c r="H50" s="10">
        <f>'공수2'!Y50</f>
        <v/>
      </c>
      <c r="I50" s="27">
        <f>IF(AND(G50="",H50=""),"",N(G50)*'설정'!$C$13+N(H50)*'설정'!$C$14)</f>
        <v/>
      </c>
      <c r="J50" s="10">
        <f>IF(I50="","",COUNTIF($I$7:$I$86,"&gt;"&amp;I50)+1)</f>
        <v/>
      </c>
      <c r="K50" s="26">
        <f>IF(I50="","",IF(OR(G50="",H50=""),'설정'!$B$9,IF(AND(OR('설정'!$C$6="",G50&gt;='설정'!$C$6),OR('설정'!$D$6="",G50&lt;'설정'!$D$6),OR('설정'!$E$6="",H50&gt;='설정'!$E$6),OR('설정'!$F$6="",H50&lt;'설정'!$F$6)),'설정'!$B$6,IF(AND(OR('설정'!$C$7="",G50&gt;='설정'!$C$7),OR('설정'!$D$7="",G50&lt;'설정'!$D$7),OR('설정'!$E$7="",H50&gt;='설정'!$E$7),OR('설정'!$F$7="",H50&lt;'설정'!$F$7)),'설정'!$B$7,IF(AND(OR('설정'!$C$8="",G50&gt;='설정'!$C$8),OR('설정'!$D$8="",G50&lt;'설정'!$D$8),OR('설정'!$E$8="",H50&gt;='설정'!$E$8),OR('설정'!$F$8="",H50&lt;'설정'!$F$8)),'설정'!$B$8,'설정'!$B$9)))))</f>
        <v/>
      </c>
      <c r="L50" s="28">
        <f>IF(OR(G50="",H50=""),"",IF(SUMPRODUCT(ISNUMBER('설정'!$C$6:$D$8)*(ABS(G50-'설정'!$C$6:$D$8)&lt;='설정'!$C$15))+SUMPRODUCT(ISNUMBER('설정'!$E$6:$F$8)*(ABS(H50-'설정'!$E$6:$F$8)&lt;='설정'!$C$15))&gt;0,"경계",""))</f>
        <v/>
      </c>
      <c r="M50" s="7" t="n"/>
      <c r="N50" s="7" t="n"/>
      <c r="O50" s="26">
        <f>IF(M50&lt;&gt;"",M50,K50)</f>
        <v/>
      </c>
      <c r="P50" s="29">
        <f>IF(I50="","",IF(G50="","공수1 미응시",IF(H50="","공수2 미응시","")))</f>
        <v/>
      </c>
      <c r="Q50" s="10">
        <f>IF(J50="","",J50+ROW()/100000)</f>
        <v/>
      </c>
    </row>
    <row r="51">
      <c r="A51" s="5" t="n">
        <v>45</v>
      </c>
      <c r="B51" s="10">
        <f>IF('학생명단'!B51="","",'학생명단'!B51)</f>
        <v/>
      </c>
      <c r="C51" s="10">
        <f>IF('학생명단'!C51="","",'학생명단'!C51)</f>
        <v/>
      </c>
      <c r="D51" s="10">
        <f>IF('학생명단'!D51="","",'학생명단'!D51)</f>
        <v/>
      </c>
      <c r="E51" s="10">
        <f>IF('학생명단'!E51="","",'학생명단'!E51)</f>
        <v/>
      </c>
      <c r="F51" s="11">
        <f>IF('학생명단'!F51="","",'학생명단'!F51)</f>
        <v/>
      </c>
      <c r="G51" s="10">
        <f>'공수1'!Y51</f>
        <v/>
      </c>
      <c r="H51" s="10">
        <f>'공수2'!Y51</f>
        <v/>
      </c>
      <c r="I51" s="27">
        <f>IF(AND(G51="",H51=""),"",N(G51)*'설정'!$C$13+N(H51)*'설정'!$C$14)</f>
        <v/>
      </c>
      <c r="J51" s="10">
        <f>IF(I51="","",COUNTIF($I$7:$I$86,"&gt;"&amp;I51)+1)</f>
        <v/>
      </c>
      <c r="K51" s="26">
        <f>IF(I51="","",IF(OR(G51="",H51=""),'설정'!$B$9,IF(AND(OR('설정'!$C$6="",G51&gt;='설정'!$C$6),OR('설정'!$D$6="",G51&lt;'설정'!$D$6),OR('설정'!$E$6="",H51&gt;='설정'!$E$6),OR('설정'!$F$6="",H51&lt;'설정'!$F$6)),'설정'!$B$6,IF(AND(OR('설정'!$C$7="",G51&gt;='설정'!$C$7),OR('설정'!$D$7="",G51&lt;'설정'!$D$7),OR('설정'!$E$7="",H51&gt;='설정'!$E$7),OR('설정'!$F$7="",H51&lt;'설정'!$F$7)),'설정'!$B$7,IF(AND(OR('설정'!$C$8="",G51&gt;='설정'!$C$8),OR('설정'!$D$8="",G51&lt;'설정'!$D$8),OR('설정'!$E$8="",H51&gt;='설정'!$E$8),OR('설정'!$F$8="",H51&lt;'설정'!$F$8)),'설정'!$B$8,'설정'!$B$9)))))</f>
        <v/>
      </c>
      <c r="L51" s="28">
        <f>IF(OR(G51="",H51=""),"",IF(SUMPRODUCT(ISNUMBER('설정'!$C$6:$D$8)*(ABS(G51-'설정'!$C$6:$D$8)&lt;='설정'!$C$15))+SUMPRODUCT(ISNUMBER('설정'!$E$6:$F$8)*(ABS(H51-'설정'!$E$6:$F$8)&lt;='설정'!$C$15))&gt;0,"경계",""))</f>
        <v/>
      </c>
      <c r="M51" s="7" t="n"/>
      <c r="N51" s="7" t="n"/>
      <c r="O51" s="26">
        <f>IF(M51&lt;&gt;"",M51,K51)</f>
        <v/>
      </c>
      <c r="P51" s="29">
        <f>IF(I51="","",IF(G51="","공수1 미응시",IF(H51="","공수2 미응시","")))</f>
        <v/>
      </c>
      <c r="Q51" s="10">
        <f>IF(J51="","",J51+ROW()/100000)</f>
        <v/>
      </c>
    </row>
    <row r="52">
      <c r="A52" s="5" t="n">
        <v>46</v>
      </c>
      <c r="B52" s="10">
        <f>IF('학생명단'!B52="","",'학생명단'!B52)</f>
        <v/>
      </c>
      <c r="C52" s="10">
        <f>IF('학생명단'!C52="","",'학생명단'!C52)</f>
        <v/>
      </c>
      <c r="D52" s="10">
        <f>IF('학생명단'!D52="","",'학생명단'!D52)</f>
        <v/>
      </c>
      <c r="E52" s="10">
        <f>IF('학생명단'!E52="","",'학생명단'!E52)</f>
        <v/>
      </c>
      <c r="F52" s="11">
        <f>IF('학생명단'!F52="","",'학생명단'!F52)</f>
        <v/>
      </c>
      <c r="G52" s="10">
        <f>'공수1'!Y52</f>
        <v/>
      </c>
      <c r="H52" s="10">
        <f>'공수2'!Y52</f>
        <v/>
      </c>
      <c r="I52" s="27">
        <f>IF(AND(G52="",H52=""),"",N(G52)*'설정'!$C$13+N(H52)*'설정'!$C$14)</f>
        <v/>
      </c>
      <c r="J52" s="10">
        <f>IF(I52="","",COUNTIF($I$7:$I$86,"&gt;"&amp;I52)+1)</f>
        <v/>
      </c>
      <c r="K52" s="26">
        <f>IF(I52="","",IF(OR(G52="",H52=""),'설정'!$B$9,IF(AND(OR('설정'!$C$6="",G52&gt;='설정'!$C$6),OR('설정'!$D$6="",G52&lt;'설정'!$D$6),OR('설정'!$E$6="",H52&gt;='설정'!$E$6),OR('설정'!$F$6="",H52&lt;'설정'!$F$6)),'설정'!$B$6,IF(AND(OR('설정'!$C$7="",G52&gt;='설정'!$C$7),OR('설정'!$D$7="",G52&lt;'설정'!$D$7),OR('설정'!$E$7="",H52&gt;='설정'!$E$7),OR('설정'!$F$7="",H52&lt;'설정'!$F$7)),'설정'!$B$7,IF(AND(OR('설정'!$C$8="",G52&gt;='설정'!$C$8),OR('설정'!$D$8="",G52&lt;'설정'!$D$8),OR('설정'!$E$8="",H52&gt;='설정'!$E$8),OR('설정'!$F$8="",H52&lt;'설정'!$F$8)),'설정'!$B$8,'설정'!$B$9)))))</f>
        <v/>
      </c>
      <c r="L52" s="28">
        <f>IF(OR(G52="",H52=""),"",IF(SUMPRODUCT(ISNUMBER('설정'!$C$6:$D$8)*(ABS(G52-'설정'!$C$6:$D$8)&lt;='설정'!$C$15))+SUMPRODUCT(ISNUMBER('설정'!$E$6:$F$8)*(ABS(H52-'설정'!$E$6:$F$8)&lt;='설정'!$C$15))&gt;0,"경계",""))</f>
        <v/>
      </c>
      <c r="M52" s="7" t="n"/>
      <c r="N52" s="7" t="n"/>
      <c r="O52" s="26">
        <f>IF(M52&lt;&gt;"",M52,K52)</f>
        <v/>
      </c>
      <c r="P52" s="29">
        <f>IF(I52="","",IF(G52="","공수1 미응시",IF(H52="","공수2 미응시","")))</f>
        <v/>
      </c>
      <c r="Q52" s="10">
        <f>IF(J52="","",J52+ROW()/100000)</f>
        <v/>
      </c>
    </row>
    <row r="53">
      <c r="A53" s="5" t="n">
        <v>47</v>
      </c>
      <c r="B53" s="10">
        <f>IF('학생명단'!B53="","",'학생명단'!B53)</f>
        <v/>
      </c>
      <c r="C53" s="10">
        <f>IF('학생명단'!C53="","",'학생명단'!C53)</f>
        <v/>
      </c>
      <c r="D53" s="10">
        <f>IF('학생명단'!D53="","",'학생명단'!D53)</f>
        <v/>
      </c>
      <c r="E53" s="10">
        <f>IF('학생명단'!E53="","",'학생명단'!E53)</f>
        <v/>
      </c>
      <c r="F53" s="11">
        <f>IF('학생명단'!F53="","",'학생명단'!F53)</f>
        <v/>
      </c>
      <c r="G53" s="10">
        <f>'공수1'!Y53</f>
        <v/>
      </c>
      <c r="H53" s="10">
        <f>'공수2'!Y53</f>
        <v/>
      </c>
      <c r="I53" s="27">
        <f>IF(AND(G53="",H53=""),"",N(G53)*'설정'!$C$13+N(H53)*'설정'!$C$14)</f>
        <v/>
      </c>
      <c r="J53" s="10">
        <f>IF(I53="","",COUNTIF($I$7:$I$86,"&gt;"&amp;I53)+1)</f>
        <v/>
      </c>
      <c r="K53" s="26">
        <f>IF(I53="","",IF(OR(G53="",H53=""),'설정'!$B$9,IF(AND(OR('설정'!$C$6="",G53&gt;='설정'!$C$6),OR('설정'!$D$6="",G53&lt;'설정'!$D$6),OR('설정'!$E$6="",H53&gt;='설정'!$E$6),OR('설정'!$F$6="",H53&lt;'설정'!$F$6)),'설정'!$B$6,IF(AND(OR('설정'!$C$7="",G53&gt;='설정'!$C$7),OR('설정'!$D$7="",G53&lt;'설정'!$D$7),OR('설정'!$E$7="",H53&gt;='설정'!$E$7),OR('설정'!$F$7="",H53&lt;'설정'!$F$7)),'설정'!$B$7,IF(AND(OR('설정'!$C$8="",G53&gt;='설정'!$C$8),OR('설정'!$D$8="",G53&lt;'설정'!$D$8),OR('설정'!$E$8="",H53&gt;='설정'!$E$8),OR('설정'!$F$8="",H53&lt;'설정'!$F$8)),'설정'!$B$8,'설정'!$B$9)))))</f>
        <v/>
      </c>
      <c r="L53" s="28">
        <f>IF(OR(G53="",H53=""),"",IF(SUMPRODUCT(ISNUMBER('설정'!$C$6:$D$8)*(ABS(G53-'설정'!$C$6:$D$8)&lt;='설정'!$C$15))+SUMPRODUCT(ISNUMBER('설정'!$E$6:$F$8)*(ABS(H53-'설정'!$E$6:$F$8)&lt;='설정'!$C$15))&gt;0,"경계",""))</f>
        <v/>
      </c>
      <c r="M53" s="7" t="n"/>
      <c r="N53" s="7" t="n"/>
      <c r="O53" s="26">
        <f>IF(M53&lt;&gt;"",M53,K53)</f>
        <v/>
      </c>
      <c r="P53" s="29">
        <f>IF(I53="","",IF(G53="","공수1 미응시",IF(H53="","공수2 미응시","")))</f>
        <v/>
      </c>
      <c r="Q53" s="10">
        <f>IF(J53="","",J53+ROW()/100000)</f>
        <v/>
      </c>
    </row>
    <row r="54">
      <c r="A54" s="5" t="n">
        <v>48</v>
      </c>
      <c r="B54" s="10">
        <f>IF('학생명단'!B54="","",'학생명단'!B54)</f>
        <v/>
      </c>
      <c r="C54" s="10">
        <f>IF('학생명단'!C54="","",'학생명단'!C54)</f>
        <v/>
      </c>
      <c r="D54" s="10">
        <f>IF('학생명단'!D54="","",'학생명단'!D54)</f>
        <v/>
      </c>
      <c r="E54" s="10">
        <f>IF('학생명단'!E54="","",'학생명단'!E54)</f>
        <v/>
      </c>
      <c r="F54" s="11">
        <f>IF('학생명단'!F54="","",'학생명단'!F54)</f>
        <v/>
      </c>
      <c r="G54" s="10">
        <f>'공수1'!Y54</f>
        <v/>
      </c>
      <c r="H54" s="10">
        <f>'공수2'!Y54</f>
        <v/>
      </c>
      <c r="I54" s="27">
        <f>IF(AND(G54="",H54=""),"",N(G54)*'설정'!$C$13+N(H54)*'설정'!$C$14)</f>
        <v/>
      </c>
      <c r="J54" s="10">
        <f>IF(I54="","",COUNTIF($I$7:$I$86,"&gt;"&amp;I54)+1)</f>
        <v/>
      </c>
      <c r="K54" s="26">
        <f>IF(I54="","",IF(OR(G54="",H54=""),'설정'!$B$9,IF(AND(OR('설정'!$C$6="",G54&gt;='설정'!$C$6),OR('설정'!$D$6="",G54&lt;'설정'!$D$6),OR('설정'!$E$6="",H54&gt;='설정'!$E$6),OR('설정'!$F$6="",H54&lt;'설정'!$F$6)),'설정'!$B$6,IF(AND(OR('설정'!$C$7="",G54&gt;='설정'!$C$7),OR('설정'!$D$7="",G54&lt;'설정'!$D$7),OR('설정'!$E$7="",H54&gt;='설정'!$E$7),OR('설정'!$F$7="",H54&lt;'설정'!$F$7)),'설정'!$B$7,IF(AND(OR('설정'!$C$8="",G54&gt;='설정'!$C$8),OR('설정'!$D$8="",G54&lt;'설정'!$D$8),OR('설정'!$E$8="",H54&gt;='설정'!$E$8),OR('설정'!$F$8="",H54&lt;'설정'!$F$8)),'설정'!$B$8,'설정'!$B$9)))))</f>
        <v/>
      </c>
      <c r="L54" s="28">
        <f>IF(OR(G54="",H54=""),"",IF(SUMPRODUCT(ISNUMBER('설정'!$C$6:$D$8)*(ABS(G54-'설정'!$C$6:$D$8)&lt;='설정'!$C$15))+SUMPRODUCT(ISNUMBER('설정'!$E$6:$F$8)*(ABS(H54-'설정'!$E$6:$F$8)&lt;='설정'!$C$15))&gt;0,"경계",""))</f>
        <v/>
      </c>
      <c r="M54" s="7" t="n"/>
      <c r="N54" s="7" t="n"/>
      <c r="O54" s="26">
        <f>IF(M54&lt;&gt;"",M54,K54)</f>
        <v/>
      </c>
      <c r="P54" s="29">
        <f>IF(I54="","",IF(G54="","공수1 미응시",IF(H54="","공수2 미응시","")))</f>
        <v/>
      </c>
      <c r="Q54" s="10">
        <f>IF(J54="","",J54+ROW()/100000)</f>
        <v/>
      </c>
    </row>
    <row r="55">
      <c r="A55" s="5" t="n">
        <v>49</v>
      </c>
      <c r="B55" s="10">
        <f>IF('학생명단'!B55="","",'학생명단'!B55)</f>
        <v/>
      </c>
      <c r="C55" s="10">
        <f>IF('학생명단'!C55="","",'학생명단'!C55)</f>
        <v/>
      </c>
      <c r="D55" s="10">
        <f>IF('학생명단'!D55="","",'학생명단'!D55)</f>
        <v/>
      </c>
      <c r="E55" s="10">
        <f>IF('학생명단'!E55="","",'학생명단'!E55)</f>
        <v/>
      </c>
      <c r="F55" s="11">
        <f>IF('학생명단'!F55="","",'학생명단'!F55)</f>
        <v/>
      </c>
      <c r="G55" s="10">
        <f>'공수1'!Y55</f>
        <v/>
      </c>
      <c r="H55" s="10">
        <f>'공수2'!Y55</f>
        <v/>
      </c>
      <c r="I55" s="27">
        <f>IF(AND(G55="",H55=""),"",N(G55)*'설정'!$C$13+N(H55)*'설정'!$C$14)</f>
        <v/>
      </c>
      <c r="J55" s="10">
        <f>IF(I55="","",COUNTIF($I$7:$I$86,"&gt;"&amp;I55)+1)</f>
        <v/>
      </c>
      <c r="K55" s="26">
        <f>IF(I55="","",IF(OR(G55="",H55=""),'설정'!$B$9,IF(AND(OR('설정'!$C$6="",G55&gt;='설정'!$C$6),OR('설정'!$D$6="",G55&lt;'설정'!$D$6),OR('설정'!$E$6="",H55&gt;='설정'!$E$6),OR('설정'!$F$6="",H55&lt;'설정'!$F$6)),'설정'!$B$6,IF(AND(OR('설정'!$C$7="",G55&gt;='설정'!$C$7),OR('설정'!$D$7="",G55&lt;'설정'!$D$7),OR('설정'!$E$7="",H55&gt;='설정'!$E$7),OR('설정'!$F$7="",H55&lt;'설정'!$F$7)),'설정'!$B$7,IF(AND(OR('설정'!$C$8="",G55&gt;='설정'!$C$8),OR('설정'!$D$8="",G55&lt;'설정'!$D$8),OR('설정'!$E$8="",H55&gt;='설정'!$E$8),OR('설정'!$F$8="",H55&lt;'설정'!$F$8)),'설정'!$B$8,'설정'!$B$9)))))</f>
        <v/>
      </c>
      <c r="L55" s="28">
        <f>IF(OR(G55="",H55=""),"",IF(SUMPRODUCT(ISNUMBER('설정'!$C$6:$D$8)*(ABS(G55-'설정'!$C$6:$D$8)&lt;='설정'!$C$15))+SUMPRODUCT(ISNUMBER('설정'!$E$6:$F$8)*(ABS(H55-'설정'!$E$6:$F$8)&lt;='설정'!$C$15))&gt;0,"경계",""))</f>
        <v/>
      </c>
      <c r="M55" s="7" t="n"/>
      <c r="N55" s="7" t="n"/>
      <c r="O55" s="26">
        <f>IF(M55&lt;&gt;"",M55,K55)</f>
        <v/>
      </c>
      <c r="P55" s="29">
        <f>IF(I55="","",IF(G55="","공수1 미응시",IF(H55="","공수2 미응시","")))</f>
        <v/>
      </c>
      <c r="Q55" s="10">
        <f>IF(J55="","",J55+ROW()/100000)</f>
        <v/>
      </c>
    </row>
    <row r="56">
      <c r="A56" s="5" t="n">
        <v>50</v>
      </c>
      <c r="B56" s="10">
        <f>IF('학생명단'!B56="","",'학생명단'!B56)</f>
        <v/>
      </c>
      <c r="C56" s="10">
        <f>IF('학생명단'!C56="","",'학생명단'!C56)</f>
        <v/>
      </c>
      <c r="D56" s="10">
        <f>IF('학생명단'!D56="","",'학생명단'!D56)</f>
        <v/>
      </c>
      <c r="E56" s="10">
        <f>IF('학생명단'!E56="","",'학생명단'!E56)</f>
        <v/>
      </c>
      <c r="F56" s="11">
        <f>IF('학생명단'!F56="","",'학생명단'!F56)</f>
        <v/>
      </c>
      <c r="G56" s="10">
        <f>'공수1'!Y56</f>
        <v/>
      </c>
      <c r="H56" s="10">
        <f>'공수2'!Y56</f>
        <v/>
      </c>
      <c r="I56" s="27">
        <f>IF(AND(G56="",H56=""),"",N(G56)*'설정'!$C$13+N(H56)*'설정'!$C$14)</f>
        <v/>
      </c>
      <c r="J56" s="10">
        <f>IF(I56="","",COUNTIF($I$7:$I$86,"&gt;"&amp;I56)+1)</f>
        <v/>
      </c>
      <c r="K56" s="26">
        <f>IF(I56="","",IF(OR(G56="",H56=""),'설정'!$B$9,IF(AND(OR('설정'!$C$6="",G56&gt;='설정'!$C$6),OR('설정'!$D$6="",G56&lt;'설정'!$D$6),OR('설정'!$E$6="",H56&gt;='설정'!$E$6),OR('설정'!$F$6="",H56&lt;'설정'!$F$6)),'설정'!$B$6,IF(AND(OR('설정'!$C$7="",G56&gt;='설정'!$C$7),OR('설정'!$D$7="",G56&lt;'설정'!$D$7),OR('설정'!$E$7="",H56&gt;='설정'!$E$7),OR('설정'!$F$7="",H56&lt;'설정'!$F$7)),'설정'!$B$7,IF(AND(OR('설정'!$C$8="",G56&gt;='설정'!$C$8),OR('설정'!$D$8="",G56&lt;'설정'!$D$8),OR('설정'!$E$8="",H56&gt;='설정'!$E$8),OR('설정'!$F$8="",H56&lt;'설정'!$F$8)),'설정'!$B$8,'설정'!$B$9)))))</f>
        <v/>
      </c>
      <c r="L56" s="28">
        <f>IF(OR(G56="",H56=""),"",IF(SUMPRODUCT(ISNUMBER('설정'!$C$6:$D$8)*(ABS(G56-'설정'!$C$6:$D$8)&lt;='설정'!$C$15))+SUMPRODUCT(ISNUMBER('설정'!$E$6:$F$8)*(ABS(H56-'설정'!$E$6:$F$8)&lt;='설정'!$C$15))&gt;0,"경계",""))</f>
        <v/>
      </c>
      <c r="M56" s="7" t="n"/>
      <c r="N56" s="7" t="n"/>
      <c r="O56" s="26">
        <f>IF(M56&lt;&gt;"",M56,K56)</f>
        <v/>
      </c>
      <c r="P56" s="29">
        <f>IF(I56="","",IF(G56="","공수1 미응시",IF(H56="","공수2 미응시","")))</f>
        <v/>
      </c>
      <c r="Q56" s="10">
        <f>IF(J56="","",J56+ROW()/100000)</f>
        <v/>
      </c>
    </row>
    <row r="57">
      <c r="A57" s="5" t="n">
        <v>51</v>
      </c>
      <c r="B57" s="10">
        <f>IF('학생명단'!B57="","",'학생명단'!B57)</f>
        <v/>
      </c>
      <c r="C57" s="10">
        <f>IF('학생명단'!C57="","",'학생명단'!C57)</f>
        <v/>
      </c>
      <c r="D57" s="10">
        <f>IF('학생명단'!D57="","",'학생명단'!D57)</f>
        <v/>
      </c>
      <c r="E57" s="10">
        <f>IF('학생명단'!E57="","",'학생명단'!E57)</f>
        <v/>
      </c>
      <c r="F57" s="11">
        <f>IF('학생명단'!F57="","",'학생명단'!F57)</f>
        <v/>
      </c>
      <c r="G57" s="10">
        <f>'공수1'!Y57</f>
        <v/>
      </c>
      <c r="H57" s="10">
        <f>'공수2'!Y57</f>
        <v/>
      </c>
      <c r="I57" s="27">
        <f>IF(AND(G57="",H57=""),"",N(G57)*'설정'!$C$13+N(H57)*'설정'!$C$14)</f>
        <v/>
      </c>
      <c r="J57" s="10">
        <f>IF(I57="","",COUNTIF($I$7:$I$86,"&gt;"&amp;I57)+1)</f>
        <v/>
      </c>
      <c r="K57" s="26">
        <f>IF(I57="","",IF(OR(G57="",H57=""),'설정'!$B$9,IF(AND(OR('설정'!$C$6="",G57&gt;='설정'!$C$6),OR('설정'!$D$6="",G57&lt;'설정'!$D$6),OR('설정'!$E$6="",H57&gt;='설정'!$E$6),OR('설정'!$F$6="",H57&lt;'설정'!$F$6)),'설정'!$B$6,IF(AND(OR('설정'!$C$7="",G57&gt;='설정'!$C$7),OR('설정'!$D$7="",G57&lt;'설정'!$D$7),OR('설정'!$E$7="",H57&gt;='설정'!$E$7),OR('설정'!$F$7="",H57&lt;'설정'!$F$7)),'설정'!$B$7,IF(AND(OR('설정'!$C$8="",G57&gt;='설정'!$C$8),OR('설정'!$D$8="",G57&lt;'설정'!$D$8),OR('설정'!$E$8="",H57&gt;='설정'!$E$8),OR('설정'!$F$8="",H57&lt;'설정'!$F$8)),'설정'!$B$8,'설정'!$B$9)))))</f>
        <v/>
      </c>
      <c r="L57" s="28">
        <f>IF(OR(G57="",H57=""),"",IF(SUMPRODUCT(ISNUMBER('설정'!$C$6:$D$8)*(ABS(G57-'설정'!$C$6:$D$8)&lt;='설정'!$C$15))+SUMPRODUCT(ISNUMBER('설정'!$E$6:$F$8)*(ABS(H57-'설정'!$E$6:$F$8)&lt;='설정'!$C$15))&gt;0,"경계",""))</f>
        <v/>
      </c>
      <c r="M57" s="7" t="n"/>
      <c r="N57" s="7" t="n"/>
      <c r="O57" s="26">
        <f>IF(M57&lt;&gt;"",M57,K57)</f>
        <v/>
      </c>
      <c r="P57" s="29">
        <f>IF(I57="","",IF(G57="","공수1 미응시",IF(H57="","공수2 미응시","")))</f>
        <v/>
      </c>
      <c r="Q57" s="10">
        <f>IF(J57="","",J57+ROW()/100000)</f>
        <v/>
      </c>
    </row>
    <row r="58">
      <c r="A58" s="5" t="n">
        <v>52</v>
      </c>
      <c r="B58" s="10">
        <f>IF('학생명단'!B58="","",'학생명단'!B58)</f>
        <v/>
      </c>
      <c r="C58" s="10">
        <f>IF('학생명단'!C58="","",'학생명단'!C58)</f>
        <v/>
      </c>
      <c r="D58" s="10">
        <f>IF('학생명단'!D58="","",'학생명단'!D58)</f>
        <v/>
      </c>
      <c r="E58" s="10">
        <f>IF('학생명단'!E58="","",'학생명단'!E58)</f>
        <v/>
      </c>
      <c r="F58" s="11">
        <f>IF('학생명단'!F58="","",'학생명단'!F58)</f>
        <v/>
      </c>
      <c r="G58" s="10">
        <f>'공수1'!Y58</f>
        <v/>
      </c>
      <c r="H58" s="10">
        <f>'공수2'!Y58</f>
        <v/>
      </c>
      <c r="I58" s="27">
        <f>IF(AND(G58="",H58=""),"",N(G58)*'설정'!$C$13+N(H58)*'설정'!$C$14)</f>
        <v/>
      </c>
      <c r="J58" s="10">
        <f>IF(I58="","",COUNTIF($I$7:$I$86,"&gt;"&amp;I58)+1)</f>
        <v/>
      </c>
      <c r="K58" s="26">
        <f>IF(I58="","",IF(OR(G58="",H58=""),'설정'!$B$9,IF(AND(OR('설정'!$C$6="",G58&gt;='설정'!$C$6),OR('설정'!$D$6="",G58&lt;'설정'!$D$6),OR('설정'!$E$6="",H58&gt;='설정'!$E$6),OR('설정'!$F$6="",H58&lt;'설정'!$F$6)),'설정'!$B$6,IF(AND(OR('설정'!$C$7="",G58&gt;='설정'!$C$7),OR('설정'!$D$7="",G58&lt;'설정'!$D$7),OR('설정'!$E$7="",H58&gt;='설정'!$E$7),OR('설정'!$F$7="",H58&lt;'설정'!$F$7)),'설정'!$B$7,IF(AND(OR('설정'!$C$8="",G58&gt;='설정'!$C$8),OR('설정'!$D$8="",G58&lt;'설정'!$D$8),OR('설정'!$E$8="",H58&gt;='설정'!$E$8),OR('설정'!$F$8="",H58&lt;'설정'!$F$8)),'설정'!$B$8,'설정'!$B$9)))))</f>
        <v/>
      </c>
      <c r="L58" s="28">
        <f>IF(OR(G58="",H58=""),"",IF(SUMPRODUCT(ISNUMBER('설정'!$C$6:$D$8)*(ABS(G58-'설정'!$C$6:$D$8)&lt;='설정'!$C$15))+SUMPRODUCT(ISNUMBER('설정'!$E$6:$F$8)*(ABS(H58-'설정'!$E$6:$F$8)&lt;='설정'!$C$15))&gt;0,"경계",""))</f>
        <v/>
      </c>
      <c r="M58" s="7" t="n"/>
      <c r="N58" s="7" t="n"/>
      <c r="O58" s="26">
        <f>IF(M58&lt;&gt;"",M58,K58)</f>
        <v/>
      </c>
      <c r="P58" s="29">
        <f>IF(I58="","",IF(G58="","공수1 미응시",IF(H58="","공수2 미응시","")))</f>
        <v/>
      </c>
      <c r="Q58" s="10">
        <f>IF(J58="","",J58+ROW()/100000)</f>
        <v/>
      </c>
    </row>
    <row r="59">
      <c r="A59" s="5" t="n">
        <v>53</v>
      </c>
      <c r="B59" s="10">
        <f>IF('학생명단'!B59="","",'학생명단'!B59)</f>
        <v/>
      </c>
      <c r="C59" s="10">
        <f>IF('학생명단'!C59="","",'학생명단'!C59)</f>
        <v/>
      </c>
      <c r="D59" s="10">
        <f>IF('학생명단'!D59="","",'학생명단'!D59)</f>
        <v/>
      </c>
      <c r="E59" s="10">
        <f>IF('학생명단'!E59="","",'학생명단'!E59)</f>
        <v/>
      </c>
      <c r="F59" s="11">
        <f>IF('학생명단'!F59="","",'학생명단'!F59)</f>
        <v/>
      </c>
      <c r="G59" s="10">
        <f>'공수1'!Y59</f>
        <v/>
      </c>
      <c r="H59" s="10">
        <f>'공수2'!Y59</f>
        <v/>
      </c>
      <c r="I59" s="27">
        <f>IF(AND(G59="",H59=""),"",N(G59)*'설정'!$C$13+N(H59)*'설정'!$C$14)</f>
        <v/>
      </c>
      <c r="J59" s="10">
        <f>IF(I59="","",COUNTIF($I$7:$I$86,"&gt;"&amp;I59)+1)</f>
        <v/>
      </c>
      <c r="K59" s="26">
        <f>IF(I59="","",IF(OR(G59="",H59=""),'설정'!$B$9,IF(AND(OR('설정'!$C$6="",G59&gt;='설정'!$C$6),OR('설정'!$D$6="",G59&lt;'설정'!$D$6),OR('설정'!$E$6="",H59&gt;='설정'!$E$6),OR('설정'!$F$6="",H59&lt;'설정'!$F$6)),'설정'!$B$6,IF(AND(OR('설정'!$C$7="",G59&gt;='설정'!$C$7),OR('설정'!$D$7="",G59&lt;'설정'!$D$7),OR('설정'!$E$7="",H59&gt;='설정'!$E$7),OR('설정'!$F$7="",H59&lt;'설정'!$F$7)),'설정'!$B$7,IF(AND(OR('설정'!$C$8="",G59&gt;='설정'!$C$8),OR('설정'!$D$8="",G59&lt;'설정'!$D$8),OR('설정'!$E$8="",H59&gt;='설정'!$E$8),OR('설정'!$F$8="",H59&lt;'설정'!$F$8)),'설정'!$B$8,'설정'!$B$9)))))</f>
        <v/>
      </c>
      <c r="L59" s="28">
        <f>IF(OR(G59="",H59=""),"",IF(SUMPRODUCT(ISNUMBER('설정'!$C$6:$D$8)*(ABS(G59-'설정'!$C$6:$D$8)&lt;='설정'!$C$15))+SUMPRODUCT(ISNUMBER('설정'!$E$6:$F$8)*(ABS(H59-'설정'!$E$6:$F$8)&lt;='설정'!$C$15))&gt;0,"경계",""))</f>
        <v/>
      </c>
      <c r="M59" s="7" t="n"/>
      <c r="N59" s="7" t="n"/>
      <c r="O59" s="26">
        <f>IF(M59&lt;&gt;"",M59,K59)</f>
        <v/>
      </c>
      <c r="P59" s="29">
        <f>IF(I59="","",IF(G59="","공수1 미응시",IF(H59="","공수2 미응시","")))</f>
        <v/>
      </c>
      <c r="Q59" s="10">
        <f>IF(J59="","",J59+ROW()/100000)</f>
        <v/>
      </c>
    </row>
    <row r="60">
      <c r="A60" s="5" t="n">
        <v>54</v>
      </c>
      <c r="B60" s="10">
        <f>IF('학생명단'!B60="","",'학생명단'!B60)</f>
        <v/>
      </c>
      <c r="C60" s="10">
        <f>IF('학생명단'!C60="","",'학생명단'!C60)</f>
        <v/>
      </c>
      <c r="D60" s="10">
        <f>IF('학생명단'!D60="","",'학생명단'!D60)</f>
        <v/>
      </c>
      <c r="E60" s="10">
        <f>IF('학생명단'!E60="","",'학생명단'!E60)</f>
        <v/>
      </c>
      <c r="F60" s="11">
        <f>IF('학생명단'!F60="","",'학생명단'!F60)</f>
        <v/>
      </c>
      <c r="G60" s="10">
        <f>'공수1'!Y60</f>
        <v/>
      </c>
      <c r="H60" s="10">
        <f>'공수2'!Y60</f>
        <v/>
      </c>
      <c r="I60" s="27">
        <f>IF(AND(G60="",H60=""),"",N(G60)*'설정'!$C$13+N(H60)*'설정'!$C$14)</f>
        <v/>
      </c>
      <c r="J60" s="10">
        <f>IF(I60="","",COUNTIF($I$7:$I$86,"&gt;"&amp;I60)+1)</f>
        <v/>
      </c>
      <c r="K60" s="26">
        <f>IF(I60="","",IF(OR(G60="",H60=""),'설정'!$B$9,IF(AND(OR('설정'!$C$6="",G60&gt;='설정'!$C$6),OR('설정'!$D$6="",G60&lt;'설정'!$D$6),OR('설정'!$E$6="",H60&gt;='설정'!$E$6),OR('설정'!$F$6="",H60&lt;'설정'!$F$6)),'설정'!$B$6,IF(AND(OR('설정'!$C$7="",G60&gt;='설정'!$C$7),OR('설정'!$D$7="",G60&lt;'설정'!$D$7),OR('설정'!$E$7="",H60&gt;='설정'!$E$7),OR('설정'!$F$7="",H60&lt;'설정'!$F$7)),'설정'!$B$7,IF(AND(OR('설정'!$C$8="",G60&gt;='설정'!$C$8),OR('설정'!$D$8="",G60&lt;'설정'!$D$8),OR('설정'!$E$8="",H60&gt;='설정'!$E$8),OR('설정'!$F$8="",H60&lt;'설정'!$F$8)),'설정'!$B$8,'설정'!$B$9)))))</f>
        <v/>
      </c>
      <c r="L60" s="28">
        <f>IF(OR(G60="",H60=""),"",IF(SUMPRODUCT(ISNUMBER('설정'!$C$6:$D$8)*(ABS(G60-'설정'!$C$6:$D$8)&lt;='설정'!$C$15))+SUMPRODUCT(ISNUMBER('설정'!$E$6:$F$8)*(ABS(H60-'설정'!$E$6:$F$8)&lt;='설정'!$C$15))&gt;0,"경계",""))</f>
        <v/>
      </c>
      <c r="M60" s="7" t="n"/>
      <c r="N60" s="7" t="n"/>
      <c r="O60" s="26">
        <f>IF(M60&lt;&gt;"",M60,K60)</f>
        <v/>
      </c>
      <c r="P60" s="29">
        <f>IF(I60="","",IF(G60="","공수1 미응시",IF(H60="","공수2 미응시","")))</f>
        <v/>
      </c>
      <c r="Q60" s="10">
        <f>IF(J60="","",J60+ROW()/100000)</f>
        <v/>
      </c>
    </row>
    <row r="61">
      <c r="A61" s="5" t="n">
        <v>55</v>
      </c>
      <c r="B61" s="10">
        <f>IF('학생명단'!B61="","",'학생명단'!B61)</f>
        <v/>
      </c>
      <c r="C61" s="10">
        <f>IF('학생명단'!C61="","",'학생명단'!C61)</f>
        <v/>
      </c>
      <c r="D61" s="10">
        <f>IF('학생명단'!D61="","",'학생명단'!D61)</f>
        <v/>
      </c>
      <c r="E61" s="10">
        <f>IF('학생명단'!E61="","",'학생명단'!E61)</f>
        <v/>
      </c>
      <c r="F61" s="11">
        <f>IF('학생명단'!F61="","",'학생명단'!F61)</f>
        <v/>
      </c>
      <c r="G61" s="10">
        <f>'공수1'!Y61</f>
        <v/>
      </c>
      <c r="H61" s="10">
        <f>'공수2'!Y61</f>
        <v/>
      </c>
      <c r="I61" s="27">
        <f>IF(AND(G61="",H61=""),"",N(G61)*'설정'!$C$13+N(H61)*'설정'!$C$14)</f>
        <v/>
      </c>
      <c r="J61" s="10">
        <f>IF(I61="","",COUNTIF($I$7:$I$86,"&gt;"&amp;I61)+1)</f>
        <v/>
      </c>
      <c r="K61" s="26">
        <f>IF(I61="","",IF(OR(G61="",H61=""),'설정'!$B$9,IF(AND(OR('설정'!$C$6="",G61&gt;='설정'!$C$6),OR('설정'!$D$6="",G61&lt;'설정'!$D$6),OR('설정'!$E$6="",H61&gt;='설정'!$E$6),OR('설정'!$F$6="",H61&lt;'설정'!$F$6)),'설정'!$B$6,IF(AND(OR('설정'!$C$7="",G61&gt;='설정'!$C$7),OR('설정'!$D$7="",G61&lt;'설정'!$D$7),OR('설정'!$E$7="",H61&gt;='설정'!$E$7),OR('설정'!$F$7="",H61&lt;'설정'!$F$7)),'설정'!$B$7,IF(AND(OR('설정'!$C$8="",G61&gt;='설정'!$C$8),OR('설정'!$D$8="",G61&lt;'설정'!$D$8),OR('설정'!$E$8="",H61&gt;='설정'!$E$8),OR('설정'!$F$8="",H61&lt;'설정'!$F$8)),'설정'!$B$8,'설정'!$B$9)))))</f>
        <v/>
      </c>
      <c r="L61" s="28">
        <f>IF(OR(G61="",H61=""),"",IF(SUMPRODUCT(ISNUMBER('설정'!$C$6:$D$8)*(ABS(G61-'설정'!$C$6:$D$8)&lt;='설정'!$C$15))+SUMPRODUCT(ISNUMBER('설정'!$E$6:$F$8)*(ABS(H61-'설정'!$E$6:$F$8)&lt;='설정'!$C$15))&gt;0,"경계",""))</f>
        <v/>
      </c>
      <c r="M61" s="7" t="n"/>
      <c r="N61" s="7" t="n"/>
      <c r="O61" s="26">
        <f>IF(M61&lt;&gt;"",M61,K61)</f>
        <v/>
      </c>
      <c r="P61" s="29">
        <f>IF(I61="","",IF(G61="","공수1 미응시",IF(H61="","공수2 미응시","")))</f>
        <v/>
      </c>
      <c r="Q61" s="10">
        <f>IF(J61="","",J61+ROW()/100000)</f>
        <v/>
      </c>
    </row>
    <row r="62">
      <c r="A62" s="5" t="n">
        <v>56</v>
      </c>
      <c r="B62" s="10">
        <f>IF('학생명단'!B62="","",'학생명단'!B62)</f>
        <v/>
      </c>
      <c r="C62" s="10">
        <f>IF('학생명단'!C62="","",'학생명단'!C62)</f>
        <v/>
      </c>
      <c r="D62" s="10">
        <f>IF('학생명단'!D62="","",'학생명단'!D62)</f>
        <v/>
      </c>
      <c r="E62" s="10">
        <f>IF('학생명단'!E62="","",'학생명단'!E62)</f>
        <v/>
      </c>
      <c r="F62" s="11">
        <f>IF('학생명단'!F62="","",'학생명단'!F62)</f>
        <v/>
      </c>
      <c r="G62" s="10">
        <f>'공수1'!Y62</f>
        <v/>
      </c>
      <c r="H62" s="10">
        <f>'공수2'!Y62</f>
        <v/>
      </c>
      <c r="I62" s="27">
        <f>IF(AND(G62="",H62=""),"",N(G62)*'설정'!$C$13+N(H62)*'설정'!$C$14)</f>
        <v/>
      </c>
      <c r="J62" s="10">
        <f>IF(I62="","",COUNTIF($I$7:$I$86,"&gt;"&amp;I62)+1)</f>
        <v/>
      </c>
      <c r="K62" s="26">
        <f>IF(I62="","",IF(OR(G62="",H62=""),'설정'!$B$9,IF(AND(OR('설정'!$C$6="",G62&gt;='설정'!$C$6),OR('설정'!$D$6="",G62&lt;'설정'!$D$6),OR('설정'!$E$6="",H62&gt;='설정'!$E$6),OR('설정'!$F$6="",H62&lt;'설정'!$F$6)),'설정'!$B$6,IF(AND(OR('설정'!$C$7="",G62&gt;='설정'!$C$7),OR('설정'!$D$7="",G62&lt;'설정'!$D$7),OR('설정'!$E$7="",H62&gt;='설정'!$E$7),OR('설정'!$F$7="",H62&lt;'설정'!$F$7)),'설정'!$B$7,IF(AND(OR('설정'!$C$8="",G62&gt;='설정'!$C$8),OR('설정'!$D$8="",G62&lt;'설정'!$D$8),OR('설정'!$E$8="",H62&gt;='설정'!$E$8),OR('설정'!$F$8="",H62&lt;'설정'!$F$8)),'설정'!$B$8,'설정'!$B$9)))))</f>
        <v/>
      </c>
      <c r="L62" s="28">
        <f>IF(OR(G62="",H62=""),"",IF(SUMPRODUCT(ISNUMBER('설정'!$C$6:$D$8)*(ABS(G62-'설정'!$C$6:$D$8)&lt;='설정'!$C$15))+SUMPRODUCT(ISNUMBER('설정'!$E$6:$F$8)*(ABS(H62-'설정'!$E$6:$F$8)&lt;='설정'!$C$15))&gt;0,"경계",""))</f>
        <v/>
      </c>
      <c r="M62" s="7" t="n"/>
      <c r="N62" s="7" t="n"/>
      <c r="O62" s="26">
        <f>IF(M62&lt;&gt;"",M62,K62)</f>
        <v/>
      </c>
      <c r="P62" s="29">
        <f>IF(I62="","",IF(G62="","공수1 미응시",IF(H62="","공수2 미응시","")))</f>
        <v/>
      </c>
      <c r="Q62" s="10">
        <f>IF(J62="","",J62+ROW()/100000)</f>
        <v/>
      </c>
    </row>
    <row r="63">
      <c r="A63" s="5" t="n">
        <v>57</v>
      </c>
      <c r="B63" s="10">
        <f>IF('학생명단'!B63="","",'학생명단'!B63)</f>
        <v/>
      </c>
      <c r="C63" s="10">
        <f>IF('학생명단'!C63="","",'학생명단'!C63)</f>
        <v/>
      </c>
      <c r="D63" s="10">
        <f>IF('학생명단'!D63="","",'학생명단'!D63)</f>
        <v/>
      </c>
      <c r="E63" s="10">
        <f>IF('학생명단'!E63="","",'학생명단'!E63)</f>
        <v/>
      </c>
      <c r="F63" s="11">
        <f>IF('학생명단'!F63="","",'학생명단'!F63)</f>
        <v/>
      </c>
      <c r="G63" s="10">
        <f>'공수1'!Y63</f>
        <v/>
      </c>
      <c r="H63" s="10">
        <f>'공수2'!Y63</f>
        <v/>
      </c>
      <c r="I63" s="27">
        <f>IF(AND(G63="",H63=""),"",N(G63)*'설정'!$C$13+N(H63)*'설정'!$C$14)</f>
        <v/>
      </c>
      <c r="J63" s="10">
        <f>IF(I63="","",COUNTIF($I$7:$I$86,"&gt;"&amp;I63)+1)</f>
        <v/>
      </c>
      <c r="K63" s="26">
        <f>IF(I63="","",IF(OR(G63="",H63=""),'설정'!$B$9,IF(AND(OR('설정'!$C$6="",G63&gt;='설정'!$C$6),OR('설정'!$D$6="",G63&lt;'설정'!$D$6),OR('설정'!$E$6="",H63&gt;='설정'!$E$6),OR('설정'!$F$6="",H63&lt;'설정'!$F$6)),'설정'!$B$6,IF(AND(OR('설정'!$C$7="",G63&gt;='설정'!$C$7),OR('설정'!$D$7="",G63&lt;'설정'!$D$7),OR('설정'!$E$7="",H63&gt;='설정'!$E$7),OR('설정'!$F$7="",H63&lt;'설정'!$F$7)),'설정'!$B$7,IF(AND(OR('설정'!$C$8="",G63&gt;='설정'!$C$8),OR('설정'!$D$8="",G63&lt;'설정'!$D$8),OR('설정'!$E$8="",H63&gt;='설정'!$E$8),OR('설정'!$F$8="",H63&lt;'설정'!$F$8)),'설정'!$B$8,'설정'!$B$9)))))</f>
        <v/>
      </c>
      <c r="L63" s="28">
        <f>IF(OR(G63="",H63=""),"",IF(SUMPRODUCT(ISNUMBER('설정'!$C$6:$D$8)*(ABS(G63-'설정'!$C$6:$D$8)&lt;='설정'!$C$15))+SUMPRODUCT(ISNUMBER('설정'!$E$6:$F$8)*(ABS(H63-'설정'!$E$6:$F$8)&lt;='설정'!$C$15))&gt;0,"경계",""))</f>
        <v/>
      </c>
      <c r="M63" s="7" t="n"/>
      <c r="N63" s="7" t="n"/>
      <c r="O63" s="26">
        <f>IF(M63&lt;&gt;"",M63,K63)</f>
        <v/>
      </c>
      <c r="P63" s="29">
        <f>IF(I63="","",IF(G63="","공수1 미응시",IF(H63="","공수2 미응시","")))</f>
        <v/>
      </c>
      <c r="Q63" s="10">
        <f>IF(J63="","",J63+ROW()/100000)</f>
        <v/>
      </c>
    </row>
    <row r="64">
      <c r="A64" s="5" t="n">
        <v>58</v>
      </c>
      <c r="B64" s="10">
        <f>IF('학생명단'!B64="","",'학생명단'!B64)</f>
        <v/>
      </c>
      <c r="C64" s="10">
        <f>IF('학생명단'!C64="","",'학생명단'!C64)</f>
        <v/>
      </c>
      <c r="D64" s="10">
        <f>IF('학생명단'!D64="","",'학생명단'!D64)</f>
        <v/>
      </c>
      <c r="E64" s="10">
        <f>IF('학생명단'!E64="","",'학생명단'!E64)</f>
        <v/>
      </c>
      <c r="F64" s="11">
        <f>IF('학생명단'!F64="","",'학생명단'!F64)</f>
        <v/>
      </c>
      <c r="G64" s="10">
        <f>'공수1'!Y64</f>
        <v/>
      </c>
      <c r="H64" s="10">
        <f>'공수2'!Y64</f>
        <v/>
      </c>
      <c r="I64" s="27">
        <f>IF(AND(G64="",H64=""),"",N(G64)*'설정'!$C$13+N(H64)*'설정'!$C$14)</f>
        <v/>
      </c>
      <c r="J64" s="10">
        <f>IF(I64="","",COUNTIF($I$7:$I$86,"&gt;"&amp;I64)+1)</f>
        <v/>
      </c>
      <c r="K64" s="26">
        <f>IF(I64="","",IF(OR(G64="",H64=""),'설정'!$B$9,IF(AND(OR('설정'!$C$6="",G64&gt;='설정'!$C$6),OR('설정'!$D$6="",G64&lt;'설정'!$D$6),OR('설정'!$E$6="",H64&gt;='설정'!$E$6),OR('설정'!$F$6="",H64&lt;'설정'!$F$6)),'설정'!$B$6,IF(AND(OR('설정'!$C$7="",G64&gt;='설정'!$C$7),OR('설정'!$D$7="",G64&lt;'설정'!$D$7),OR('설정'!$E$7="",H64&gt;='설정'!$E$7),OR('설정'!$F$7="",H64&lt;'설정'!$F$7)),'설정'!$B$7,IF(AND(OR('설정'!$C$8="",G64&gt;='설정'!$C$8),OR('설정'!$D$8="",G64&lt;'설정'!$D$8),OR('설정'!$E$8="",H64&gt;='설정'!$E$8),OR('설정'!$F$8="",H64&lt;'설정'!$F$8)),'설정'!$B$8,'설정'!$B$9)))))</f>
        <v/>
      </c>
      <c r="L64" s="28">
        <f>IF(OR(G64="",H64=""),"",IF(SUMPRODUCT(ISNUMBER('설정'!$C$6:$D$8)*(ABS(G64-'설정'!$C$6:$D$8)&lt;='설정'!$C$15))+SUMPRODUCT(ISNUMBER('설정'!$E$6:$F$8)*(ABS(H64-'설정'!$E$6:$F$8)&lt;='설정'!$C$15))&gt;0,"경계",""))</f>
        <v/>
      </c>
      <c r="M64" s="7" t="n"/>
      <c r="N64" s="7" t="n"/>
      <c r="O64" s="26">
        <f>IF(M64&lt;&gt;"",M64,K64)</f>
        <v/>
      </c>
      <c r="P64" s="29">
        <f>IF(I64="","",IF(G64="","공수1 미응시",IF(H64="","공수2 미응시","")))</f>
        <v/>
      </c>
      <c r="Q64" s="10">
        <f>IF(J64="","",J64+ROW()/100000)</f>
        <v/>
      </c>
    </row>
    <row r="65">
      <c r="A65" s="5" t="n">
        <v>59</v>
      </c>
      <c r="B65" s="10">
        <f>IF('학생명단'!B65="","",'학생명단'!B65)</f>
        <v/>
      </c>
      <c r="C65" s="10">
        <f>IF('학생명단'!C65="","",'학생명단'!C65)</f>
        <v/>
      </c>
      <c r="D65" s="10">
        <f>IF('학생명단'!D65="","",'학생명단'!D65)</f>
        <v/>
      </c>
      <c r="E65" s="10">
        <f>IF('학생명단'!E65="","",'학생명단'!E65)</f>
        <v/>
      </c>
      <c r="F65" s="11">
        <f>IF('학생명단'!F65="","",'학생명단'!F65)</f>
        <v/>
      </c>
      <c r="G65" s="10">
        <f>'공수1'!Y65</f>
        <v/>
      </c>
      <c r="H65" s="10">
        <f>'공수2'!Y65</f>
        <v/>
      </c>
      <c r="I65" s="27">
        <f>IF(AND(G65="",H65=""),"",N(G65)*'설정'!$C$13+N(H65)*'설정'!$C$14)</f>
        <v/>
      </c>
      <c r="J65" s="10">
        <f>IF(I65="","",COUNTIF($I$7:$I$86,"&gt;"&amp;I65)+1)</f>
        <v/>
      </c>
      <c r="K65" s="26">
        <f>IF(I65="","",IF(OR(G65="",H65=""),'설정'!$B$9,IF(AND(OR('설정'!$C$6="",G65&gt;='설정'!$C$6),OR('설정'!$D$6="",G65&lt;'설정'!$D$6),OR('설정'!$E$6="",H65&gt;='설정'!$E$6),OR('설정'!$F$6="",H65&lt;'설정'!$F$6)),'설정'!$B$6,IF(AND(OR('설정'!$C$7="",G65&gt;='설정'!$C$7),OR('설정'!$D$7="",G65&lt;'설정'!$D$7),OR('설정'!$E$7="",H65&gt;='설정'!$E$7),OR('설정'!$F$7="",H65&lt;'설정'!$F$7)),'설정'!$B$7,IF(AND(OR('설정'!$C$8="",G65&gt;='설정'!$C$8),OR('설정'!$D$8="",G65&lt;'설정'!$D$8),OR('설정'!$E$8="",H65&gt;='설정'!$E$8),OR('설정'!$F$8="",H65&lt;'설정'!$F$8)),'설정'!$B$8,'설정'!$B$9)))))</f>
        <v/>
      </c>
      <c r="L65" s="28">
        <f>IF(OR(G65="",H65=""),"",IF(SUMPRODUCT(ISNUMBER('설정'!$C$6:$D$8)*(ABS(G65-'설정'!$C$6:$D$8)&lt;='설정'!$C$15))+SUMPRODUCT(ISNUMBER('설정'!$E$6:$F$8)*(ABS(H65-'설정'!$E$6:$F$8)&lt;='설정'!$C$15))&gt;0,"경계",""))</f>
        <v/>
      </c>
      <c r="M65" s="7" t="n"/>
      <c r="N65" s="7" t="n"/>
      <c r="O65" s="26">
        <f>IF(M65&lt;&gt;"",M65,K65)</f>
        <v/>
      </c>
      <c r="P65" s="29">
        <f>IF(I65="","",IF(G65="","공수1 미응시",IF(H65="","공수2 미응시","")))</f>
        <v/>
      </c>
      <c r="Q65" s="10">
        <f>IF(J65="","",J65+ROW()/100000)</f>
        <v/>
      </c>
    </row>
    <row r="66">
      <c r="A66" s="5" t="n">
        <v>60</v>
      </c>
      <c r="B66" s="10">
        <f>IF('학생명단'!B66="","",'학생명단'!B66)</f>
        <v/>
      </c>
      <c r="C66" s="10">
        <f>IF('학생명단'!C66="","",'학생명단'!C66)</f>
        <v/>
      </c>
      <c r="D66" s="10">
        <f>IF('학생명단'!D66="","",'학생명단'!D66)</f>
        <v/>
      </c>
      <c r="E66" s="10">
        <f>IF('학생명단'!E66="","",'학생명단'!E66)</f>
        <v/>
      </c>
      <c r="F66" s="11">
        <f>IF('학생명단'!F66="","",'학생명단'!F66)</f>
        <v/>
      </c>
      <c r="G66" s="10">
        <f>'공수1'!Y66</f>
        <v/>
      </c>
      <c r="H66" s="10">
        <f>'공수2'!Y66</f>
        <v/>
      </c>
      <c r="I66" s="27">
        <f>IF(AND(G66="",H66=""),"",N(G66)*'설정'!$C$13+N(H66)*'설정'!$C$14)</f>
        <v/>
      </c>
      <c r="J66" s="10">
        <f>IF(I66="","",COUNTIF($I$7:$I$86,"&gt;"&amp;I66)+1)</f>
        <v/>
      </c>
      <c r="K66" s="26">
        <f>IF(I66="","",IF(OR(G66="",H66=""),'설정'!$B$9,IF(AND(OR('설정'!$C$6="",G66&gt;='설정'!$C$6),OR('설정'!$D$6="",G66&lt;'설정'!$D$6),OR('설정'!$E$6="",H66&gt;='설정'!$E$6),OR('설정'!$F$6="",H66&lt;'설정'!$F$6)),'설정'!$B$6,IF(AND(OR('설정'!$C$7="",G66&gt;='설정'!$C$7),OR('설정'!$D$7="",G66&lt;'설정'!$D$7),OR('설정'!$E$7="",H66&gt;='설정'!$E$7),OR('설정'!$F$7="",H66&lt;'설정'!$F$7)),'설정'!$B$7,IF(AND(OR('설정'!$C$8="",G66&gt;='설정'!$C$8),OR('설정'!$D$8="",G66&lt;'설정'!$D$8),OR('설정'!$E$8="",H66&gt;='설정'!$E$8),OR('설정'!$F$8="",H66&lt;'설정'!$F$8)),'설정'!$B$8,'설정'!$B$9)))))</f>
        <v/>
      </c>
      <c r="L66" s="28">
        <f>IF(OR(G66="",H66=""),"",IF(SUMPRODUCT(ISNUMBER('설정'!$C$6:$D$8)*(ABS(G66-'설정'!$C$6:$D$8)&lt;='설정'!$C$15))+SUMPRODUCT(ISNUMBER('설정'!$E$6:$F$8)*(ABS(H66-'설정'!$E$6:$F$8)&lt;='설정'!$C$15))&gt;0,"경계",""))</f>
        <v/>
      </c>
      <c r="M66" s="7" t="n"/>
      <c r="N66" s="7" t="n"/>
      <c r="O66" s="26">
        <f>IF(M66&lt;&gt;"",M66,K66)</f>
        <v/>
      </c>
      <c r="P66" s="29">
        <f>IF(I66="","",IF(G66="","공수1 미응시",IF(H66="","공수2 미응시","")))</f>
        <v/>
      </c>
      <c r="Q66" s="10">
        <f>IF(J66="","",J66+ROW()/100000)</f>
        <v/>
      </c>
    </row>
    <row r="67">
      <c r="A67" s="5" t="n">
        <v>61</v>
      </c>
      <c r="B67" s="10">
        <f>IF('학생명단'!B67="","",'학생명단'!B67)</f>
        <v/>
      </c>
      <c r="C67" s="10">
        <f>IF('학생명단'!C67="","",'학생명단'!C67)</f>
        <v/>
      </c>
      <c r="D67" s="10">
        <f>IF('학생명단'!D67="","",'학생명단'!D67)</f>
        <v/>
      </c>
      <c r="E67" s="10">
        <f>IF('학생명단'!E67="","",'학생명단'!E67)</f>
        <v/>
      </c>
      <c r="F67" s="11">
        <f>IF('학생명단'!F67="","",'학생명단'!F67)</f>
        <v/>
      </c>
      <c r="G67" s="10">
        <f>'공수1'!Y67</f>
        <v/>
      </c>
      <c r="H67" s="10">
        <f>'공수2'!Y67</f>
        <v/>
      </c>
      <c r="I67" s="27">
        <f>IF(AND(G67="",H67=""),"",N(G67)*'설정'!$C$13+N(H67)*'설정'!$C$14)</f>
        <v/>
      </c>
      <c r="J67" s="10">
        <f>IF(I67="","",COUNTIF($I$7:$I$86,"&gt;"&amp;I67)+1)</f>
        <v/>
      </c>
      <c r="K67" s="26">
        <f>IF(I67="","",IF(OR(G67="",H67=""),'설정'!$B$9,IF(AND(OR('설정'!$C$6="",G67&gt;='설정'!$C$6),OR('설정'!$D$6="",G67&lt;'설정'!$D$6),OR('설정'!$E$6="",H67&gt;='설정'!$E$6),OR('설정'!$F$6="",H67&lt;'설정'!$F$6)),'설정'!$B$6,IF(AND(OR('설정'!$C$7="",G67&gt;='설정'!$C$7),OR('설정'!$D$7="",G67&lt;'설정'!$D$7),OR('설정'!$E$7="",H67&gt;='설정'!$E$7),OR('설정'!$F$7="",H67&lt;'설정'!$F$7)),'설정'!$B$7,IF(AND(OR('설정'!$C$8="",G67&gt;='설정'!$C$8),OR('설정'!$D$8="",G67&lt;'설정'!$D$8),OR('설정'!$E$8="",H67&gt;='설정'!$E$8),OR('설정'!$F$8="",H67&lt;'설정'!$F$8)),'설정'!$B$8,'설정'!$B$9)))))</f>
        <v/>
      </c>
      <c r="L67" s="28">
        <f>IF(OR(G67="",H67=""),"",IF(SUMPRODUCT(ISNUMBER('설정'!$C$6:$D$8)*(ABS(G67-'설정'!$C$6:$D$8)&lt;='설정'!$C$15))+SUMPRODUCT(ISNUMBER('설정'!$E$6:$F$8)*(ABS(H67-'설정'!$E$6:$F$8)&lt;='설정'!$C$15))&gt;0,"경계",""))</f>
        <v/>
      </c>
      <c r="M67" s="7" t="n"/>
      <c r="N67" s="7" t="n"/>
      <c r="O67" s="26">
        <f>IF(M67&lt;&gt;"",M67,K67)</f>
        <v/>
      </c>
      <c r="P67" s="29">
        <f>IF(I67="","",IF(G67="","공수1 미응시",IF(H67="","공수2 미응시","")))</f>
        <v/>
      </c>
      <c r="Q67" s="10">
        <f>IF(J67="","",J67+ROW()/100000)</f>
        <v/>
      </c>
    </row>
    <row r="68">
      <c r="A68" s="5" t="n">
        <v>62</v>
      </c>
      <c r="B68" s="10">
        <f>IF('학생명단'!B68="","",'학생명단'!B68)</f>
        <v/>
      </c>
      <c r="C68" s="10">
        <f>IF('학생명단'!C68="","",'학생명단'!C68)</f>
        <v/>
      </c>
      <c r="D68" s="10">
        <f>IF('학생명단'!D68="","",'학생명단'!D68)</f>
        <v/>
      </c>
      <c r="E68" s="10">
        <f>IF('학생명단'!E68="","",'학생명단'!E68)</f>
        <v/>
      </c>
      <c r="F68" s="11">
        <f>IF('학생명단'!F68="","",'학생명단'!F68)</f>
        <v/>
      </c>
      <c r="G68" s="10">
        <f>'공수1'!Y68</f>
        <v/>
      </c>
      <c r="H68" s="10">
        <f>'공수2'!Y68</f>
        <v/>
      </c>
      <c r="I68" s="27">
        <f>IF(AND(G68="",H68=""),"",N(G68)*'설정'!$C$13+N(H68)*'설정'!$C$14)</f>
        <v/>
      </c>
      <c r="J68" s="10">
        <f>IF(I68="","",COUNTIF($I$7:$I$86,"&gt;"&amp;I68)+1)</f>
        <v/>
      </c>
      <c r="K68" s="26">
        <f>IF(I68="","",IF(OR(G68="",H68=""),'설정'!$B$9,IF(AND(OR('설정'!$C$6="",G68&gt;='설정'!$C$6),OR('설정'!$D$6="",G68&lt;'설정'!$D$6),OR('설정'!$E$6="",H68&gt;='설정'!$E$6),OR('설정'!$F$6="",H68&lt;'설정'!$F$6)),'설정'!$B$6,IF(AND(OR('설정'!$C$7="",G68&gt;='설정'!$C$7),OR('설정'!$D$7="",G68&lt;'설정'!$D$7),OR('설정'!$E$7="",H68&gt;='설정'!$E$7),OR('설정'!$F$7="",H68&lt;'설정'!$F$7)),'설정'!$B$7,IF(AND(OR('설정'!$C$8="",G68&gt;='설정'!$C$8),OR('설정'!$D$8="",G68&lt;'설정'!$D$8),OR('설정'!$E$8="",H68&gt;='설정'!$E$8),OR('설정'!$F$8="",H68&lt;'설정'!$F$8)),'설정'!$B$8,'설정'!$B$9)))))</f>
        <v/>
      </c>
      <c r="L68" s="28">
        <f>IF(OR(G68="",H68=""),"",IF(SUMPRODUCT(ISNUMBER('설정'!$C$6:$D$8)*(ABS(G68-'설정'!$C$6:$D$8)&lt;='설정'!$C$15))+SUMPRODUCT(ISNUMBER('설정'!$E$6:$F$8)*(ABS(H68-'설정'!$E$6:$F$8)&lt;='설정'!$C$15))&gt;0,"경계",""))</f>
        <v/>
      </c>
      <c r="M68" s="7" t="n"/>
      <c r="N68" s="7" t="n"/>
      <c r="O68" s="26">
        <f>IF(M68&lt;&gt;"",M68,K68)</f>
        <v/>
      </c>
      <c r="P68" s="29">
        <f>IF(I68="","",IF(G68="","공수1 미응시",IF(H68="","공수2 미응시","")))</f>
        <v/>
      </c>
      <c r="Q68" s="10">
        <f>IF(J68="","",J68+ROW()/100000)</f>
        <v/>
      </c>
    </row>
    <row r="69">
      <c r="A69" s="5" t="n">
        <v>63</v>
      </c>
      <c r="B69" s="10">
        <f>IF('학생명단'!B69="","",'학생명단'!B69)</f>
        <v/>
      </c>
      <c r="C69" s="10">
        <f>IF('학생명단'!C69="","",'학생명단'!C69)</f>
        <v/>
      </c>
      <c r="D69" s="10">
        <f>IF('학생명단'!D69="","",'학생명단'!D69)</f>
        <v/>
      </c>
      <c r="E69" s="10">
        <f>IF('학생명단'!E69="","",'학생명단'!E69)</f>
        <v/>
      </c>
      <c r="F69" s="11">
        <f>IF('학생명단'!F69="","",'학생명단'!F69)</f>
        <v/>
      </c>
      <c r="G69" s="10">
        <f>'공수1'!Y69</f>
        <v/>
      </c>
      <c r="H69" s="10">
        <f>'공수2'!Y69</f>
        <v/>
      </c>
      <c r="I69" s="27">
        <f>IF(AND(G69="",H69=""),"",N(G69)*'설정'!$C$13+N(H69)*'설정'!$C$14)</f>
        <v/>
      </c>
      <c r="J69" s="10">
        <f>IF(I69="","",COUNTIF($I$7:$I$86,"&gt;"&amp;I69)+1)</f>
        <v/>
      </c>
      <c r="K69" s="26">
        <f>IF(I69="","",IF(OR(G69="",H69=""),'설정'!$B$9,IF(AND(OR('설정'!$C$6="",G69&gt;='설정'!$C$6),OR('설정'!$D$6="",G69&lt;'설정'!$D$6),OR('설정'!$E$6="",H69&gt;='설정'!$E$6),OR('설정'!$F$6="",H69&lt;'설정'!$F$6)),'설정'!$B$6,IF(AND(OR('설정'!$C$7="",G69&gt;='설정'!$C$7),OR('설정'!$D$7="",G69&lt;'설정'!$D$7),OR('설정'!$E$7="",H69&gt;='설정'!$E$7),OR('설정'!$F$7="",H69&lt;'설정'!$F$7)),'설정'!$B$7,IF(AND(OR('설정'!$C$8="",G69&gt;='설정'!$C$8),OR('설정'!$D$8="",G69&lt;'설정'!$D$8),OR('설정'!$E$8="",H69&gt;='설정'!$E$8),OR('설정'!$F$8="",H69&lt;'설정'!$F$8)),'설정'!$B$8,'설정'!$B$9)))))</f>
        <v/>
      </c>
      <c r="L69" s="28">
        <f>IF(OR(G69="",H69=""),"",IF(SUMPRODUCT(ISNUMBER('설정'!$C$6:$D$8)*(ABS(G69-'설정'!$C$6:$D$8)&lt;='설정'!$C$15))+SUMPRODUCT(ISNUMBER('설정'!$E$6:$F$8)*(ABS(H69-'설정'!$E$6:$F$8)&lt;='설정'!$C$15))&gt;0,"경계",""))</f>
        <v/>
      </c>
      <c r="M69" s="7" t="n"/>
      <c r="N69" s="7" t="n"/>
      <c r="O69" s="26">
        <f>IF(M69&lt;&gt;"",M69,K69)</f>
        <v/>
      </c>
      <c r="P69" s="29">
        <f>IF(I69="","",IF(G69="","공수1 미응시",IF(H69="","공수2 미응시","")))</f>
        <v/>
      </c>
      <c r="Q69" s="10">
        <f>IF(J69="","",J69+ROW()/100000)</f>
        <v/>
      </c>
    </row>
    <row r="70">
      <c r="A70" s="5" t="n">
        <v>64</v>
      </c>
      <c r="B70" s="10">
        <f>IF('학생명단'!B70="","",'학생명단'!B70)</f>
        <v/>
      </c>
      <c r="C70" s="10">
        <f>IF('학생명단'!C70="","",'학생명단'!C70)</f>
        <v/>
      </c>
      <c r="D70" s="10">
        <f>IF('학생명단'!D70="","",'학생명단'!D70)</f>
        <v/>
      </c>
      <c r="E70" s="10">
        <f>IF('학생명단'!E70="","",'학생명단'!E70)</f>
        <v/>
      </c>
      <c r="F70" s="11">
        <f>IF('학생명단'!F70="","",'학생명단'!F70)</f>
        <v/>
      </c>
      <c r="G70" s="10">
        <f>'공수1'!Y70</f>
        <v/>
      </c>
      <c r="H70" s="10">
        <f>'공수2'!Y70</f>
        <v/>
      </c>
      <c r="I70" s="27">
        <f>IF(AND(G70="",H70=""),"",N(G70)*'설정'!$C$13+N(H70)*'설정'!$C$14)</f>
        <v/>
      </c>
      <c r="J70" s="10">
        <f>IF(I70="","",COUNTIF($I$7:$I$86,"&gt;"&amp;I70)+1)</f>
        <v/>
      </c>
      <c r="K70" s="26">
        <f>IF(I70="","",IF(OR(G70="",H70=""),'설정'!$B$9,IF(AND(OR('설정'!$C$6="",G70&gt;='설정'!$C$6),OR('설정'!$D$6="",G70&lt;'설정'!$D$6),OR('설정'!$E$6="",H70&gt;='설정'!$E$6),OR('설정'!$F$6="",H70&lt;'설정'!$F$6)),'설정'!$B$6,IF(AND(OR('설정'!$C$7="",G70&gt;='설정'!$C$7),OR('설정'!$D$7="",G70&lt;'설정'!$D$7),OR('설정'!$E$7="",H70&gt;='설정'!$E$7),OR('설정'!$F$7="",H70&lt;'설정'!$F$7)),'설정'!$B$7,IF(AND(OR('설정'!$C$8="",G70&gt;='설정'!$C$8),OR('설정'!$D$8="",G70&lt;'설정'!$D$8),OR('설정'!$E$8="",H70&gt;='설정'!$E$8),OR('설정'!$F$8="",H70&lt;'설정'!$F$8)),'설정'!$B$8,'설정'!$B$9)))))</f>
        <v/>
      </c>
      <c r="L70" s="28">
        <f>IF(OR(G70="",H70=""),"",IF(SUMPRODUCT(ISNUMBER('설정'!$C$6:$D$8)*(ABS(G70-'설정'!$C$6:$D$8)&lt;='설정'!$C$15))+SUMPRODUCT(ISNUMBER('설정'!$E$6:$F$8)*(ABS(H70-'설정'!$E$6:$F$8)&lt;='설정'!$C$15))&gt;0,"경계",""))</f>
        <v/>
      </c>
      <c r="M70" s="7" t="n"/>
      <c r="N70" s="7" t="n"/>
      <c r="O70" s="26">
        <f>IF(M70&lt;&gt;"",M70,K70)</f>
        <v/>
      </c>
      <c r="P70" s="29">
        <f>IF(I70="","",IF(G70="","공수1 미응시",IF(H70="","공수2 미응시","")))</f>
        <v/>
      </c>
      <c r="Q70" s="10">
        <f>IF(J70="","",J70+ROW()/100000)</f>
        <v/>
      </c>
    </row>
    <row r="71">
      <c r="A71" s="5" t="n">
        <v>65</v>
      </c>
      <c r="B71" s="10">
        <f>IF('학생명단'!B71="","",'학생명단'!B71)</f>
        <v/>
      </c>
      <c r="C71" s="10">
        <f>IF('학생명단'!C71="","",'학생명단'!C71)</f>
        <v/>
      </c>
      <c r="D71" s="10">
        <f>IF('학생명단'!D71="","",'학생명단'!D71)</f>
        <v/>
      </c>
      <c r="E71" s="10">
        <f>IF('학생명단'!E71="","",'학생명단'!E71)</f>
        <v/>
      </c>
      <c r="F71" s="11">
        <f>IF('학생명단'!F71="","",'학생명단'!F71)</f>
        <v/>
      </c>
      <c r="G71" s="10">
        <f>'공수1'!Y71</f>
        <v/>
      </c>
      <c r="H71" s="10">
        <f>'공수2'!Y71</f>
        <v/>
      </c>
      <c r="I71" s="27">
        <f>IF(AND(G71="",H71=""),"",N(G71)*'설정'!$C$13+N(H71)*'설정'!$C$14)</f>
        <v/>
      </c>
      <c r="J71" s="10">
        <f>IF(I71="","",COUNTIF($I$7:$I$86,"&gt;"&amp;I71)+1)</f>
        <v/>
      </c>
      <c r="K71" s="26">
        <f>IF(I71="","",IF(OR(G71="",H71=""),'설정'!$B$9,IF(AND(OR('설정'!$C$6="",G71&gt;='설정'!$C$6),OR('설정'!$D$6="",G71&lt;'설정'!$D$6),OR('설정'!$E$6="",H71&gt;='설정'!$E$6),OR('설정'!$F$6="",H71&lt;'설정'!$F$6)),'설정'!$B$6,IF(AND(OR('설정'!$C$7="",G71&gt;='설정'!$C$7),OR('설정'!$D$7="",G71&lt;'설정'!$D$7),OR('설정'!$E$7="",H71&gt;='설정'!$E$7),OR('설정'!$F$7="",H71&lt;'설정'!$F$7)),'설정'!$B$7,IF(AND(OR('설정'!$C$8="",G71&gt;='설정'!$C$8),OR('설정'!$D$8="",G71&lt;'설정'!$D$8),OR('설정'!$E$8="",H71&gt;='설정'!$E$8),OR('설정'!$F$8="",H71&lt;'설정'!$F$8)),'설정'!$B$8,'설정'!$B$9)))))</f>
        <v/>
      </c>
      <c r="L71" s="28">
        <f>IF(OR(G71="",H71=""),"",IF(SUMPRODUCT(ISNUMBER('설정'!$C$6:$D$8)*(ABS(G71-'설정'!$C$6:$D$8)&lt;='설정'!$C$15))+SUMPRODUCT(ISNUMBER('설정'!$E$6:$F$8)*(ABS(H71-'설정'!$E$6:$F$8)&lt;='설정'!$C$15))&gt;0,"경계",""))</f>
        <v/>
      </c>
      <c r="M71" s="7" t="n"/>
      <c r="N71" s="7" t="n"/>
      <c r="O71" s="26">
        <f>IF(M71&lt;&gt;"",M71,K71)</f>
        <v/>
      </c>
      <c r="P71" s="29">
        <f>IF(I71="","",IF(G71="","공수1 미응시",IF(H71="","공수2 미응시","")))</f>
        <v/>
      </c>
      <c r="Q71" s="10">
        <f>IF(J71="","",J71+ROW()/100000)</f>
        <v/>
      </c>
    </row>
    <row r="72">
      <c r="A72" s="5" t="n">
        <v>66</v>
      </c>
      <c r="B72" s="10">
        <f>IF('학생명단'!B72="","",'학생명단'!B72)</f>
        <v/>
      </c>
      <c r="C72" s="10">
        <f>IF('학생명단'!C72="","",'학생명단'!C72)</f>
        <v/>
      </c>
      <c r="D72" s="10">
        <f>IF('학생명단'!D72="","",'학생명단'!D72)</f>
        <v/>
      </c>
      <c r="E72" s="10">
        <f>IF('학생명단'!E72="","",'학생명단'!E72)</f>
        <v/>
      </c>
      <c r="F72" s="11">
        <f>IF('학생명단'!F72="","",'학생명단'!F72)</f>
        <v/>
      </c>
      <c r="G72" s="10">
        <f>'공수1'!Y72</f>
        <v/>
      </c>
      <c r="H72" s="10">
        <f>'공수2'!Y72</f>
        <v/>
      </c>
      <c r="I72" s="27">
        <f>IF(AND(G72="",H72=""),"",N(G72)*'설정'!$C$13+N(H72)*'설정'!$C$14)</f>
        <v/>
      </c>
      <c r="J72" s="10">
        <f>IF(I72="","",COUNTIF($I$7:$I$86,"&gt;"&amp;I72)+1)</f>
        <v/>
      </c>
      <c r="K72" s="26">
        <f>IF(I72="","",IF(OR(G72="",H72=""),'설정'!$B$9,IF(AND(OR('설정'!$C$6="",G72&gt;='설정'!$C$6),OR('설정'!$D$6="",G72&lt;'설정'!$D$6),OR('설정'!$E$6="",H72&gt;='설정'!$E$6),OR('설정'!$F$6="",H72&lt;'설정'!$F$6)),'설정'!$B$6,IF(AND(OR('설정'!$C$7="",G72&gt;='설정'!$C$7),OR('설정'!$D$7="",G72&lt;'설정'!$D$7),OR('설정'!$E$7="",H72&gt;='설정'!$E$7),OR('설정'!$F$7="",H72&lt;'설정'!$F$7)),'설정'!$B$7,IF(AND(OR('설정'!$C$8="",G72&gt;='설정'!$C$8),OR('설정'!$D$8="",G72&lt;'설정'!$D$8),OR('설정'!$E$8="",H72&gt;='설정'!$E$8),OR('설정'!$F$8="",H72&lt;'설정'!$F$8)),'설정'!$B$8,'설정'!$B$9)))))</f>
        <v/>
      </c>
      <c r="L72" s="28">
        <f>IF(OR(G72="",H72=""),"",IF(SUMPRODUCT(ISNUMBER('설정'!$C$6:$D$8)*(ABS(G72-'설정'!$C$6:$D$8)&lt;='설정'!$C$15))+SUMPRODUCT(ISNUMBER('설정'!$E$6:$F$8)*(ABS(H72-'설정'!$E$6:$F$8)&lt;='설정'!$C$15))&gt;0,"경계",""))</f>
        <v/>
      </c>
      <c r="M72" s="7" t="n"/>
      <c r="N72" s="7" t="n"/>
      <c r="O72" s="26">
        <f>IF(M72&lt;&gt;"",M72,K72)</f>
        <v/>
      </c>
      <c r="P72" s="29">
        <f>IF(I72="","",IF(G72="","공수1 미응시",IF(H72="","공수2 미응시","")))</f>
        <v/>
      </c>
      <c r="Q72" s="10">
        <f>IF(J72="","",J72+ROW()/100000)</f>
        <v/>
      </c>
    </row>
    <row r="73">
      <c r="A73" s="5" t="n">
        <v>67</v>
      </c>
      <c r="B73" s="10">
        <f>IF('학생명단'!B73="","",'학생명단'!B73)</f>
        <v/>
      </c>
      <c r="C73" s="10">
        <f>IF('학생명단'!C73="","",'학생명단'!C73)</f>
        <v/>
      </c>
      <c r="D73" s="10">
        <f>IF('학생명단'!D73="","",'학생명단'!D73)</f>
        <v/>
      </c>
      <c r="E73" s="10">
        <f>IF('학생명단'!E73="","",'학생명단'!E73)</f>
        <v/>
      </c>
      <c r="F73" s="11">
        <f>IF('학생명단'!F73="","",'학생명단'!F73)</f>
        <v/>
      </c>
      <c r="G73" s="10">
        <f>'공수1'!Y73</f>
        <v/>
      </c>
      <c r="H73" s="10">
        <f>'공수2'!Y73</f>
        <v/>
      </c>
      <c r="I73" s="27">
        <f>IF(AND(G73="",H73=""),"",N(G73)*'설정'!$C$13+N(H73)*'설정'!$C$14)</f>
        <v/>
      </c>
      <c r="J73" s="10">
        <f>IF(I73="","",COUNTIF($I$7:$I$86,"&gt;"&amp;I73)+1)</f>
        <v/>
      </c>
      <c r="K73" s="26">
        <f>IF(I73="","",IF(OR(G73="",H73=""),'설정'!$B$9,IF(AND(OR('설정'!$C$6="",G73&gt;='설정'!$C$6),OR('설정'!$D$6="",G73&lt;'설정'!$D$6),OR('설정'!$E$6="",H73&gt;='설정'!$E$6),OR('설정'!$F$6="",H73&lt;'설정'!$F$6)),'설정'!$B$6,IF(AND(OR('설정'!$C$7="",G73&gt;='설정'!$C$7),OR('설정'!$D$7="",G73&lt;'설정'!$D$7),OR('설정'!$E$7="",H73&gt;='설정'!$E$7),OR('설정'!$F$7="",H73&lt;'설정'!$F$7)),'설정'!$B$7,IF(AND(OR('설정'!$C$8="",G73&gt;='설정'!$C$8),OR('설정'!$D$8="",G73&lt;'설정'!$D$8),OR('설정'!$E$8="",H73&gt;='설정'!$E$8),OR('설정'!$F$8="",H73&lt;'설정'!$F$8)),'설정'!$B$8,'설정'!$B$9)))))</f>
        <v/>
      </c>
      <c r="L73" s="28">
        <f>IF(OR(G73="",H73=""),"",IF(SUMPRODUCT(ISNUMBER('설정'!$C$6:$D$8)*(ABS(G73-'설정'!$C$6:$D$8)&lt;='설정'!$C$15))+SUMPRODUCT(ISNUMBER('설정'!$E$6:$F$8)*(ABS(H73-'설정'!$E$6:$F$8)&lt;='설정'!$C$15))&gt;0,"경계",""))</f>
        <v/>
      </c>
      <c r="M73" s="7" t="n"/>
      <c r="N73" s="7" t="n"/>
      <c r="O73" s="26">
        <f>IF(M73&lt;&gt;"",M73,K73)</f>
        <v/>
      </c>
      <c r="P73" s="29">
        <f>IF(I73="","",IF(G73="","공수1 미응시",IF(H73="","공수2 미응시","")))</f>
        <v/>
      </c>
      <c r="Q73" s="10">
        <f>IF(J73="","",J73+ROW()/100000)</f>
        <v/>
      </c>
    </row>
    <row r="74">
      <c r="A74" s="5" t="n">
        <v>68</v>
      </c>
      <c r="B74" s="10">
        <f>IF('학생명단'!B74="","",'학생명단'!B74)</f>
        <v/>
      </c>
      <c r="C74" s="10">
        <f>IF('학생명단'!C74="","",'학생명단'!C74)</f>
        <v/>
      </c>
      <c r="D74" s="10">
        <f>IF('학생명단'!D74="","",'학생명단'!D74)</f>
        <v/>
      </c>
      <c r="E74" s="10">
        <f>IF('학생명단'!E74="","",'학생명단'!E74)</f>
        <v/>
      </c>
      <c r="F74" s="11">
        <f>IF('학생명단'!F74="","",'학생명단'!F74)</f>
        <v/>
      </c>
      <c r="G74" s="10">
        <f>'공수1'!Y74</f>
        <v/>
      </c>
      <c r="H74" s="10">
        <f>'공수2'!Y74</f>
        <v/>
      </c>
      <c r="I74" s="27">
        <f>IF(AND(G74="",H74=""),"",N(G74)*'설정'!$C$13+N(H74)*'설정'!$C$14)</f>
        <v/>
      </c>
      <c r="J74" s="10">
        <f>IF(I74="","",COUNTIF($I$7:$I$86,"&gt;"&amp;I74)+1)</f>
        <v/>
      </c>
      <c r="K74" s="26">
        <f>IF(I74="","",IF(OR(G74="",H74=""),'설정'!$B$9,IF(AND(OR('설정'!$C$6="",G74&gt;='설정'!$C$6),OR('설정'!$D$6="",G74&lt;'설정'!$D$6),OR('설정'!$E$6="",H74&gt;='설정'!$E$6),OR('설정'!$F$6="",H74&lt;'설정'!$F$6)),'설정'!$B$6,IF(AND(OR('설정'!$C$7="",G74&gt;='설정'!$C$7),OR('설정'!$D$7="",G74&lt;'설정'!$D$7),OR('설정'!$E$7="",H74&gt;='설정'!$E$7),OR('설정'!$F$7="",H74&lt;'설정'!$F$7)),'설정'!$B$7,IF(AND(OR('설정'!$C$8="",G74&gt;='설정'!$C$8),OR('설정'!$D$8="",G74&lt;'설정'!$D$8),OR('설정'!$E$8="",H74&gt;='설정'!$E$8),OR('설정'!$F$8="",H74&lt;'설정'!$F$8)),'설정'!$B$8,'설정'!$B$9)))))</f>
        <v/>
      </c>
      <c r="L74" s="28">
        <f>IF(OR(G74="",H74=""),"",IF(SUMPRODUCT(ISNUMBER('설정'!$C$6:$D$8)*(ABS(G74-'설정'!$C$6:$D$8)&lt;='설정'!$C$15))+SUMPRODUCT(ISNUMBER('설정'!$E$6:$F$8)*(ABS(H74-'설정'!$E$6:$F$8)&lt;='설정'!$C$15))&gt;0,"경계",""))</f>
        <v/>
      </c>
      <c r="M74" s="7" t="n"/>
      <c r="N74" s="7" t="n"/>
      <c r="O74" s="26">
        <f>IF(M74&lt;&gt;"",M74,K74)</f>
        <v/>
      </c>
      <c r="P74" s="29">
        <f>IF(I74="","",IF(G74="","공수1 미응시",IF(H74="","공수2 미응시","")))</f>
        <v/>
      </c>
      <c r="Q74" s="10">
        <f>IF(J74="","",J74+ROW()/100000)</f>
        <v/>
      </c>
    </row>
    <row r="75">
      <c r="A75" s="5" t="n">
        <v>69</v>
      </c>
      <c r="B75" s="10">
        <f>IF('학생명단'!B75="","",'학생명단'!B75)</f>
        <v/>
      </c>
      <c r="C75" s="10">
        <f>IF('학생명단'!C75="","",'학생명단'!C75)</f>
        <v/>
      </c>
      <c r="D75" s="10">
        <f>IF('학생명단'!D75="","",'학생명단'!D75)</f>
        <v/>
      </c>
      <c r="E75" s="10">
        <f>IF('학생명단'!E75="","",'학생명단'!E75)</f>
        <v/>
      </c>
      <c r="F75" s="11">
        <f>IF('학생명단'!F75="","",'학생명단'!F75)</f>
        <v/>
      </c>
      <c r="G75" s="10">
        <f>'공수1'!Y75</f>
        <v/>
      </c>
      <c r="H75" s="10">
        <f>'공수2'!Y75</f>
        <v/>
      </c>
      <c r="I75" s="27">
        <f>IF(AND(G75="",H75=""),"",N(G75)*'설정'!$C$13+N(H75)*'설정'!$C$14)</f>
        <v/>
      </c>
      <c r="J75" s="10">
        <f>IF(I75="","",COUNTIF($I$7:$I$86,"&gt;"&amp;I75)+1)</f>
        <v/>
      </c>
      <c r="K75" s="26">
        <f>IF(I75="","",IF(OR(G75="",H75=""),'설정'!$B$9,IF(AND(OR('설정'!$C$6="",G75&gt;='설정'!$C$6),OR('설정'!$D$6="",G75&lt;'설정'!$D$6),OR('설정'!$E$6="",H75&gt;='설정'!$E$6),OR('설정'!$F$6="",H75&lt;'설정'!$F$6)),'설정'!$B$6,IF(AND(OR('설정'!$C$7="",G75&gt;='설정'!$C$7),OR('설정'!$D$7="",G75&lt;'설정'!$D$7),OR('설정'!$E$7="",H75&gt;='설정'!$E$7),OR('설정'!$F$7="",H75&lt;'설정'!$F$7)),'설정'!$B$7,IF(AND(OR('설정'!$C$8="",G75&gt;='설정'!$C$8),OR('설정'!$D$8="",G75&lt;'설정'!$D$8),OR('설정'!$E$8="",H75&gt;='설정'!$E$8),OR('설정'!$F$8="",H75&lt;'설정'!$F$8)),'설정'!$B$8,'설정'!$B$9)))))</f>
        <v/>
      </c>
      <c r="L75" s="28">
        <f>IF(OR(G75="",H75=""),"",IF(SUMPRODUCT(ISNUMBER('설정'!$C$6:$D$8)*(ABS(G75-'설정'!$C$6:$D$8)&lt;='설정'!$C$15))+SUMPRODUCT(ISNUMBER('설정'!$E$6:$F$8)*(ABS(H75-'설정'!$E$6:$F$8)&lt;='설정'!$C$15))&gt;0,"경계",""))</f>
        <v/>
      </c>
      <c r="M75" s="7" t="n"/>
      <c r="N75" s="7" t="n"/>
      <c r="O75" s="26">
        <f>IF(M75&lt;&gt;"",M75,K75)</f>
        <v/>
      </c>
      <c r="P75" s="29">
        <f>IF(I75="","",IF(G75="","공수1 미응시",IF(H75="","공수2 미응시","")))</f>
        <v/>
      </c>
      <c r="Q75" s="10">
        <f>IF(J75="","",J75+ROW()/100000)</f>
        <v/>
      </c>
    </row>
    <row r="76">
      <c r="A76" s="5" t="n">
        <v>70</v>
      </c>
      <c r="B76" s="10">
        <f>IF('학생명단'!B76="","",'학생명단'!B76)</f>
        <v/>
      </c>
      <c r="C76" s="10">
        <f>IF('학생명단'!C76="","",'학생명단'!C76)</f>
        <v/>
      </c>
      <c r="D76" s="10">
        <f>IF('학생명단'!D76="","",'학생명단'!D76)</f>
        <v/>
      </c>
      <c r="E76" s="10">
        <f>IF('학생명단'!E76="","",'학생명단'!E76)</f>
        <v/>
      </c>
      <c r="F76" s="11">
        <f>IF('학생명단'!F76="","",'학생명단'!F76)</f>
        <v/>
      </c>
      <c r="G76" s="10">
        <f>'공수1'!Y76</f>
        <v/>
      </c>
      <c r="H76" s="10">
        <f>'공수2'!Y76</f>
        <v/>
      </c>
      <c r="I76" s="27">
        <f>IF(AND(G76="",H76=""),"",N(G76)*'설정'!$C$13+N(H76)*'설정'!$C$14)</f>
        <v/>
      </c>
      <c r="J76" s="10">
        <f>IF(I76="","",COUNTIF($I$7:$I$86,"&gt;"&amp;I76)+1)</f>
        <v/>
      </c>
      <c r="K76" s="26">
        <f>IF(I76="","",IF(OR(G76="",H76=""),'설정'!$B$9,IF(AND(OR('설정'!$C$6="",G76&gt;='설정'!$C$6),OR('설정'!$D$6="",G76&lt;'설정'!$D$6),OR('설정'!$E$6="",H76&gt;='설정'!$E$6),OR('설정'!$F$6="",H76&lt;'설정'!$F$6)),'설정'!$B$6,IF(AND(OR('설정'!$C$7="",G76&gt;='설정'!$C$7),OR('설정'!$D$7="",G76&lt;'설정'!$D$7),OR('설정'!$E$7="",H76&gt;='설정'!$E$7),OR('설정'!$F$7="",H76&lt;'설정'!$F$7)),'설정'!$B$7,IF(AND(OR('설정'!$C$8="",G76&gt;='설정'!$C$8),OR('설정'!$D$8="",G76&lt;'설정'!$D$8),OR('설정'!$E$8="",H76&gt;='설정'!$E$8),OR('설정'!$F$8="",H76&lt;'설정'!$F$8)),'설정'!$B$8,'설정'!$B$9)))))</f>
        <v/>
      </c>
      <c r="L76" s="28">
        <f>IF(OR(G76="",H76=""),"",IF(SUMPRODUCT(ISNUMBER('설정'!$C$6:$D$8)*(ABS(G76-'설정'!$C$6:$D$8)&lt;='설정'!$C$15))+SUMPRODUCT(ISNUMBER('설정'!$E$6:$F$8)*(ABS(H76-'설정'!$E$6:$F$8)&lt;='설정'!$C$15))&gt;0,"경계",""))</f>
        <v/>
      </c>
      <c r="M76" s="7" t="n"/>
      <c r="N76" s="7" t="n"/>
      <c r="O76" s="26">
        <f>IF(M76&lt;&gt;"",M76,K76)</f>
        <v/>
      </c>
      <c r="P76" s="29">
        <f>IF(I76="","",IF(G76="","공수1 미응시",IF(H76="","공수2 미응시","")))</f>
        <v/>
      </c>
      <c r="Q76" s="10">
        <f>IF(J76="","",J76+ROW()/100000)</f>
        <v/>
      </c>
    </row>
    <row r="77">
      <c r="A77" s="5" t="n">
        <v>71</v>
      </c>
      <c r="B77" s="10">
        <f>IF('학생명단'!B77="","",'학생명단'!B77)</f>
        <v/>
      </c>
      <c r="C77" s="10">
        <f>IF('학생명단'!C77="","",'학생명단'!C77)</f>
        <v/>
      </c>
      <c r="D77" s="10">
        <f>IF('학생명단'!D77="","",'학생명단'!D77)</f>
        <v/>
      </c>
      <c r="E77" s="10">
        <f>IF('학생명단'!E77="","",'학생명단'!E77)</f>
        <v/>
      </c>
      <c r="F77" s="11">
        <f>IF('학생명단'!F77="","",'학생명단'!F77)</f>
        <v/>
      </c>
      <c r="G77" s="10">
        <f>'공수1'!Y77</f>
        <v/>
      </c>
      <c r="H77" s="10">
        <f>'공수2'!Y77</f>
        <v/>
      </c>
      <c r="I77" s="27">
        <f>IF(AND(G77="",H77=""),"",N(G77)*'설정'!$C$13+N(H77)*'설정'!$C$14)</f>
        <v/>
      </c>
      <c r="J77" s="10">
        <f>IF(I77="","",COUNTIF($I$7:$I$86,"&gt;"&amp;I77)+1)</f>
        <v/>
      </c>
      <c r="K77" s="26">
        <f>IF(I77="","",IF(OR(G77="",H77=""),'설정'!$B$9,IF(AND(OR('설정'!$C$6="",G77&gt;='설정'!$C$6),OR('설정'!$D$6="",G77&lt;'설정'!$D$6),OR('설정'!$E$6="",H77&gt;='설정'!$E$6),OR('설정'!$F$6="",H77&lt;'설정'!$F$6)),'설정'!$B$6,IF(AND(OR('설정'!$C$7="",G77&gt;='설정'!$C$7),OR('설정'!$D$7="",G77&lt;'설정'!$D$7),OR('설정'!$E$7="",H77&gt;='설정'!$E$7),OR('설정'!$F$7="",H77&lt;'설정'!$F$7)),'설정'!$B$7,IF(AND(OR('설정'!$C$8="",G77&gt;='설정'!$C$8),OR('설정'!$D$8="",G77&lt;'설정'!$D$8),OR('설정'!$E$8="",H77&gt;='설정'!$E$8),OR('설정'!$F$8="",H77&lt;'설정'!$F$8)),'설정'!$B$8,'설정'!$B$9)))))</f>
        <v/>
      </c>
      <c r="L77" s="28">
        <f>IF(OR(G77="",H77=""),"",IF(SUMPRODUCT(ISNUMBER('설정'!$C$6:$D$8)*(ABS(G77-'설정'!$C$6:$D$8)&lt;='설정'!$C$15))+SUMPRODUCT(ISNUMBER('설정'!$E$6:$F$8)*(ABS(H77-'설정'!$E$6:$F$8)&lt;='설정'!$C$15))&gt;0,"경계",""))</f>
        <v/>
      </c>
      <c r="M77" s="7" t="n"/>
      <c r="N77" s="7" t="n"/>
      <c r="O77" s="26">
        <f>IF(M77&lt;&gt;"",M77,K77)</f>
        <v/>
      </c>
      <c r="P77" s="29">
        <f>IF(I77="","",IF(G77="","공수1 미응시",IF(H77="","공수2 미응시","")))</f>
        <v/>
      </c>
      <c r="Q77" s="10">
        <f>IF(J77="","",J77+ROW()/100000)</f>
        <v/>
      </c>
    </row>
    <row r="78">
      <c r="A78" s="5" t="n">
        <v>72</v>
      </c>
      <c r="B78" s="10">
        <f>IF('학생명단'!B78="","",'학생명단'!B78)</f>
        <v/>
      </c>
      <c r="C78" s="10">
        <f>IF('학생명단'!C78="","",'학생명단'!C78)</f>
        <v/>
      </c>
      <c r="D78" s="10">
        <f>IF('학생명단'!D78="","",'학생명단'!D78)</f>
        <v/>
      </c>
      <c r="E78" s="10">
        <f>IF('학생명단'!E78="","",'학생명단'!E78)</f>
        <v/>
      </c>
      <c r="F78" s="11">
        <f>IF('학생명단'!F78="","",'학생명단'!F78)</f>
        <v/>
      </c>
      <c r="G78" s="10">
        <f>'공수1'!Y78</f>
        <v/>
      </c>
      <c r="H78" s="10">
        <f>'공수2'!Y78</f>
        <v/>
      </c>
      <c r="I78" s="27">
        <f>IF(AND(G78="",H78=""),"",N(G78)*'설정'!$C$13+N(H78)*'설정'!$C$14)</f>
        <v/>
      </c>
      <c r="J78" s="10">
        <f>IF(I78="","",COUNTIF($I$7:$I$86,"&gt;"&amp;I78)+1)</f>
        <v/>
      </c>
      <c r="K78" s="26">
        <f>IF(I78="","",IF(OR(G78="",H78=""),'설정'!$B$9,IF(AND(OR('설정'!$C$6="",G78&gt;='설정'!$C$6),OR('설정'!$D$6="",G78&lt;'설정'!$D$6),OR('설정'!$E$6="",H78&gt;='설정'!$E$6),OR('설정'!$F$6="",H78&lt;'설정'!$F$6)),'설정'!$B$6,IF(AND(OR('설정'!$C$7="",G78&gt;='설정'!$C$7),OR('설정'!$D$7="",G78&lt;'설정'!$D$7),OR('설정'!$E$7="",H78&gt;='설정'!$E$7),OR('설정'!$F$7="",H78&lt;'설정'!$F$7)),'설정'!$B$7,IF(AND(OR('설정'!$C$8="",G78&gt;='설정'!$C$8),OR('설정'!$D$8="",G78&lt;'설정'!$D$8),OR('설정'!$E$8="",H78&gt;='설정'!$E$8),OR('설정'!$F$8="",H78&lt;'설정'!$F$8)),'설정'!$B$8,'설정'!$B$9)))))</f>
        <v/>
      </c>
      <c r="L78" s="28">
        <f>IF(OR(G78="",H78=""),"",IF(SUMPRODUCT(ISNUMBER('설정'!$C$6:$D$8)*(ABS(G78-'설정'!$C$6:$D$8)&lt;='설정'!$C$15))+SUMPRODUCT(ISNUMBER('설정'!$E$6:$F$8)*(ABS(H78-'설정'!$E$6:$F$8)&lt;='설정'!$C$15))&gt;0,"경계",""))</f>
        <v/>
      </c>
      <c r="M78" s="7" t="n"/>
      <c r="N78" s="7" t="n"/>
      <c r="O78" s="26">
        <f>IF(M78&lt;&gt;"",M78,K78)</f>
        <v/>
      </c>
      <c r="P78" s="29">
        <f>IF(I78="","",IF(G78="","공수1 미응시",IF(H78="","공수2 미응시","")))</f>
        <v/>
      </c>
      <c r="Q78" s="10">
        <f>IF(J78="","",J78+ROW()/100000)</f>
        <v/>
      </c>
    </row>
    <row r="79">
      <c r="A79" s="5" t="n">
        <v>73</v>
      </c>
      <c r="B79" s="10">
        <f>IF('학생명단'!B79="","",'학생명단'!B79)</f>
        <v/>
      </c>
      <c r="C79" s="10">
        <f>IF('학생명단'!C79="","",'학생명단'!C79)</f>
        <v/>
      </c>
      <c r="D79" s="10">
        <f>IF('학생명단'!D79="","",'학생명단'!D79)</f>
        <v/>
      </c>
      <c r="E79" s="10">
        <f>IF('학생명단'!E79="","",'학생명단'!E79)</f>
        <v/>
      </c>
      <c r="F79" s="11">
        <f>IF('학생명단'!F79="","",'학생명단'!F79)</f>
        <v/>
      </c>
      <c r="G79" s="10">
        <f>'공수1'!Y79</f>
        <v/>
      </c>
      <c r="H79" s="10">
        <f>'공수2'!Y79</f>
        <v/>
      </c>
      <c r="I79" s="27">
        <f>IF(AND(G79="",H79=""),"",N(G79)*'설정'!$C$13+N(H79)*'설정'!$C$14)</f>
        <v/>
      </c>
      <c r="J79" s="10">
        <f>IF(I79="","",COUNTIF($I$7:$I$86,"&gt;"&amp;I79)+1)</f>
        <v/>
      </c>
      <c r="K79" s="26">
        <f>IF(I79="","",IF(OR(G79="",H79=""),'설정'!$B$9,IF(AND(OR('설정'!$C$6="",G79&gt;='설정'!$C$6),OR('설정'!$D$6="",G79&lt;'설정'!$D$6),OR('설정'!$E$6="",H79&gt;='설정'!$E$6),OR('설정'!$F$6="",H79&lt;'설정'!$F$6)),'설정'!$B$6,IF(AND(OR('설정'!$C$7="",G79&gt;='설정'!$C$7),OR('설정'!$D$7="",G79&lt;'설정'!$D$7),OR('설정'!$E$7="",H79&gt;='설정'!$E$7),OR('설정'!$F$7="",H79&lt;'설정'!$F$7)),'설정'!$B$7,IF(AND(OR('설정'!$C$8="",G79&gt;='설정'!$C$8),OR('설정'!$D$8="",G79&lt;'설정'!$D$8),OR('설정'!$E$8="",H79&gt;='설정'!$E$8),OR('설정'!$F$8="",H79&lt;'설정'!$F$8)),'설정'!$B$8,'설정'!$B$9)))))</f>
        <v/>
      </c>
      <c r="L79" s="28">
        <f>IF(OR(G79="",H79=""),"",IF(SUMPRODUCT(ISNUMBER('설정'!$C$6:$D$8)*(ABS(G79-'설정'!$C$6:$D$8)&lt;='설정'!$C$15))+SUMPRODUCT(ISNUMBER('설정'!$E$6:$F$8)*(ABS(H79-'설정'!$E$6:$F$8)&lt;='설정'!$C$15))&gt;0,"경계",""))</f>
        <v/>
      </c>
      <c r="M79" s="7" t="n"/>
      <c r="N79" s="7" t="n"/>
      <c r="O79" s="26">
        <f>IF(M79&lt;&gt;"",M79,K79)</f>
        <v/>
      </c>
      <c r="P79" s="29">
        <f>IF(I79="","",IF(G79="","공수1 미응시",IF(H79="","공수2 미응시","")))</f>
        <v/>
      </c>
      <c r="Q79" s="10">
        <f>IF(J79="","",J79+ROW()/100000)</f>
        <v/>
      </c>
    </row>
    <row r="80">
      <c r="A80" s="5" t="n">
        <v>74</v>
      </c>
      <c r="B80" s="10">
        <f>IF('학생명단'!B80="","",'학생명단'!B80)</f>
        <v/>
      </c>
      <c r="C80" s="10">
        <f>IF('학생명단'!C80="","",'학생명단'!C80)</f>
        <v/>
      </c>
      <c r="D80" s="10">
        <f>IF('학생명단'!D80="","",'학생명단'!D80)</f>
        <v/>
      </c>
      <c r="E80" s="10">
        <f>IF('학생명단'!E80="","",'학생명단'!E80)</f>
        <v/>
      </c>
      <c r="F80" s="11">
        <f>IF('학생명단'!F80="","",'학생명단'!F80)</f>
        <v/>
      </c>
      <c r="G80" s="10">
        <f>'공수1'!Y80</f>
        <v/>
      </c>
      <c r="H80" s="10">
        <f>'공수2'!Y80</f>
        <v/>
      </c>
      <c r="I80" s="27">
        <f>IF(AND(G80="",H80=""),"",N(G80)*'설정'!$C$13+N(H80)*'설정'!$C$14)</f>
        <v/>
      </c>
      <c r="J80" s="10">
        <f>IF(I80="","",COUNTIF($I$7:$I$86,"&gt;"&amp;I80)+1)</f>
        <v/>
      </c>
      <c r="K80" s="26">
        <f>IF(I80="","",IF(OR(G80="",H80=""),'설정'!$B$9,IF(AND(OR('설정'!$C$6="",G80&gt;='설정'!$C$6),OR('설정'!$D$6="",G80&lt;'설정'!$D$6),OR('설정'!$E$6="",H80&gt;='설정'!$E$6),OR('설정'!$F$6="",H80&lt;'설정'!$F$6)),'설정'!$B$6,IF(AND(OR('설정'!$C$7="",G80&gt;='설정'!$C$7),OR('설정'!$D$7="",G80&lt;'설정'!$D$7),OR('설정'!$E$7="",H80&gt;='설정'!$E$7),OR('설정'!$F$7="",H80&lt;'설정'!$F$7)),'설정'!$B$7,IF(AND(OR('설정'!$C$8="",G80&gt;='설정'!$C$8),OR('설정'!$D$8="",G80&lt;'설정'!$D$8),OR('설정'!$E$8="",H80&gt;='설정'!$E$8),OR('설정'!$F$8="",H80&lt;'설정'!$F$8)),'설정'!$B$8,'설정'!$B$9)))))</f>
        <v/>
      </c>
      <c r="L80" s="28">
        <f>IF(OR(G80="",H80=""),"",IF(SUMPRODUCT(ISNUMBER('설정'!$C$6:$D$8)*(ABS(G80-'설정'!$C$6:$D$8)&lt;='설정'!$C$15))+SUMPRODUCT(ISNUMBER('설정'!$E$6:$F$8)*(ABS(H80-'설정'!$E$6:$F$8)&lt;='설정'!$C$15))&gt;0,"경계",""))</f>
        <v/>
      </c>
      <c r="M80" s="7" t="n"/>
      <c r="N80" s="7" t="n"/>
      <c r="O80" s="26">
        <f>IF(M80&lt;&gt;"",M80,K80)</f>
        <v/>
      </c>
      <c r="P80" s="29">
        <f>IF(I80="","",IF(G80="","공수1 미응시",IF(H80="","공수2 미응시","")))</f>
        <v/>
      </c>
      <c r="Q80" s="10">
        <f>IF(J80="","",J80+ROW()/100000)</f>
        <v/>
      </c>
    </row>
    <row r="81">
      <c r="A81" s="5" t="n">
        <v>75</v>
      </c>
      <c r="B81" s="10">
        <f>IF('학생명단'!B81="","",'학생명단'!B81)</f>
        <v/>
      </c>
      <c r="C81" s="10">
        <f>IF('학생명단'!C81="","",'학생명단'!C81)</f>
        <v/>
      </c>
      <c r="D81" s="10">
        <f>IF('학생명단'!D81="","",'학생명단'!D81)</f>
        <v/>
      </c>
      <c r="E81" s="10">
        <f>IF('학생명단'!E81="","",'학생명단'!E81)</f>
        <v/>
      </c>
      <c r="F81" s="11">
        <f>IF('학생명단'!F81="","",'학생명단'!F81)</f>
        <v/>
      </c>
      <c r="G81" s="10">
        <f>'공수1'!Y81</f>
        <v/>
      </c>
      <c r="H81" s="10">
        <f>'공수2'!Y81</f>
        <v/>
      </c>
      <c r="I81" s="27">
        <f>IF(AND(G81="",H81=""),"",N(G81)*'설정'!$C$13+N(H81)*'설정'!$C$14)</f>
        <v/>
      </c>
      <c r="J81" s="10">
        <f>IF(I81="","",COUNTIF($I$7:$I$86,"&gt;"&amp;I81)+1)</f>
        <v/>
      </c>
      <c r="K81" s="26">
        <f>IF(I81="","",IF(OR(G81="",H81=""),'설정'!$B$9,IF(AND(OR('설정'!$C$6="",G81&gt;='설정'!$C$6),OR('설정'!$D$6="",G81&lt;'설정'!$D$6),OR('설정'!$E$6="",H81&gt;='설정'!$E$6),OR('설정'!$F$6="",H81&lt;'설정'!$F$6)),'설정'!$B$6,IF(AND(OR('설정'!$C$7="",G81&gt;='설정'!$C$7),OR('설정'!$D$7="",G81&lt;'설정'!$D$7),OR('설정'!$E$7="",H81&gt;='설정'!$E$7),OR('설정'!$F$7="",H81&lt;'설정'!$F$7)),'설정'!$B$7,IF(AND(OR('설정'!$C$8="",G81&gt;='설정'!$C$8),OR('설정'!$D$8="",G81&lt;'설정'!$D$8),OR('설정'!$E$8="",H81&gt;='설정'!$E$8),OR('설정'!$F$8="",H81&lt;'설정'!$F$8)),'설정'!$B$8,'설정'!$B$9)))))</f>
        <v/>
      </c>
      <c r="L81" s="28">
        <f>IF(OR(G81="",H81=""),"",IF(SUMPRODUCT(ISNUMBER('설정'!$C$6:$D$8)*(ABS(G81-'설정'!$C$6:$D$8)&lt;='설정'!$C$15))+SUMPRODUCT(ISNUMBER('설정'!$E$6:$F$8)*(ABS(H81-'설정'!$E$6:$F$8)&lt;='설정'!$C$15))&gt;0,"경계",""))</f>
        <v/>
      </c>
      <c r="M81" s="7" t="n"/>
      <c r="N81" s="7" t="n"/>
      <c r="O81" s="26">
        <f>IF(M81&lt;&gt;"",M81,K81)</f>
        <v/>
      </c>
      <c r="P81" s="29">
        <f>IF(I81="","",IF(G81="","공수1 미응시",IF(H81="","공수2 미응시","")))</f>
        <v/>
      </c>
      <c r="Q81" s="10">
        <f>IF(J81="","",J81+ROW()/100000)</f>
        <v/>
      </c>
    </row>
    <row r="82">
      <c r="A82" s="5" t="n">
        <v>76</v>
      </c>
      <c r="B82" s="10">
        <f>IF('학생명단'!B82="","",'학생명단'!B82)</f>
        <v/>
      </c>
      <c r="C82" s="10">
        <f>IF('학생명단'!C82="","",'학생명단'!C82)</f>
        <v/>
      </c>
      <c r="D82" s="10">
        <f>IF('학생명단'!D82="","",'학생명단'!D82)</f>
        <v/>
      </c>
      <c r="E82" s="10">
        <f>IF('학생명단'!E82="","",'학생명단'!E82)</f>
        <v/>
      </c>
      <c r="F82" s="11">
        <f>IF('학생명단'!F82="","",'학생명단'!F82)</f>
        <v/>
      </c>
      <c r="G82" s="10">
        <f>'공수1'!Y82</f>
        <v/>
      </c>
      <c r="H82" s="10">
        <f>'공수2'!Y82</f>
        <v/>
      </c>
      <c r="I82" s="27">
        <f>IF(AND(G82="",H82=""),"",N(G82)*'설정'!$C$13+N(H82)*'설정'!$C$14)</f>
        <v/>
      </c>
      <c r="J82" s="10">
        <f>IF(I82="","",COUNTIF($I$7:$I$86,"&gt;"&amp;I82)+1)</f>
        <v/>
      </c>
      <c r="K82" s="26">
        <f>IF(I82="","",IF(OR(G82="",H82=""),'설정'!$B$9,IF(AND(OR('설정'!$C$6="",G82&gt;='설정'!$C$6),OR('설정'!$D$6="",G82&lt;'설정'!$D$6),OR('설정'!$E$6="",H82&gt;='설정'!$E$6),OR('설정'!$F$6="",H82&lt;'설정'!$F$6)),'설정'!$B$6,IF(AND(OR('설정'!$C$7="",G82&gt;='설정'!$C$7),OR('설정'!$D$7="",G82&lt;'설정'!$D$7),OR('설정'!$E$7="",H82&gt;='설정'!$E$7),OR('설정'!$F$7="",H82&lt;'설정'!$F$7)),'설정'!$B$7,IF(AND(OR('설정'!$C$8="",G82&gt;='설정'!$C$8),OR('설정'!$D$8="",G82&lt;'설정'!$D$8),OR('설정'!$E$8="",H82&gt;='설정'!$E$8),OR('설정'!$F$8="",H82&lt;'설정'!$F$8)),'설정'!$B$8,'설정'!$B$9)))))</f>
        <v/>
      </c>
      <c r="L82" s="28">
        <f>IF(OR(G82="",H82=""),"",IF(SUMPRODUCT(ISNUMBER('설정'!$C$6:$D$8)*(ABS(G82-'설정'!$C$6:$D$8)&lt;='설정'!$C$15))+SUMPRODUCT(ISNUMBER('설정'!$E$6:$F$8)*(ABS(H82-'설정'!$E$6:$F$8)&lt;='설정'!$C$15))&gt;0,"경계",""))</f>
        <v/>
      </c>
      <c r="M82" s="7" t="n"/>
      <c r="N82" s="7" t="n"/>
      <c r="O82" s="26">
        <f>IF(M82&lt;&gt;"",M82,K82)</f>
        <v/>
      </c>
      <c r="P82" s="29">
        <f>IF(I82="","",IF(G82="","공수1 미응시",IF(H82="","공수2 미응시","")))</f>
        <v/>
      </c>
      <c r="Q82" s="10">
        <f>IF(J82="","",J82+ROW()/100000)</f>
        <v/>
      </c>
    </row>
    <row r="83">
      <c r="A83" s="5" t="n">
        <v>77</v>
      </c>
      <c r="B83" s="10">
        <f>IF('학생명단'!B83="","",'학생명단'!B83)</f>
        <v/>
      </c>
      <c r="C83" s="10">
        <f>IF('학생명단'!C83="","",'학생명단'!C83)</f>
        <v/>
      </c>
      <c r="D83" s="10">
        <f>IF('학생명단'!D83="","",'학생명단'!D83)</f>
        <v/>
      </c>
      <c r="E83" s="10">
        <f>IF('학생명단'!E83="","",'학생명단'!E83)</f>
        <v/>
      </c>
      <c r="F83" s="11">
        <f>IF('학생명단'!F83="","",'학생명단'!F83)</f>
        <v/>
      </c>
      <c r="G83" s="10">
        <f>'공수1'!Y83</f>
        <v/>
      </c>
      <c r="H83" s="10">
        <f>'공수2'!Y83</f>
        <v/>
      </c>
      <c r="I83" s="27">
        <f>IF(AND(G83="",H83=""),"",N(G83)*'설정'!$C$13+N(H83)*'설정'!$C$14)</f>
        <v/>
      </c>
      <c r="J83" s="10">
        <f>IF(I83="","",COUNTIF($I$7:$I$86,"&gt;"&amp;I83)+1)</f>
        <v/>
      </c>
      <c r="K83" s="26">
        <f>IF(I83="","",IF(OR(G83="",H83=""),'설정'!$B$9,IF(AND(OR('설정'!$C$6="",G83&gt;='설정'!$C$6),OR('설정'!$D$6="",G83&lt;'설정'!$D$6),OR('설정'!$E$6="",H83&gt;='설정'!$E$6),OR('설정'!$F$6="",H83&lt;'설정'!$F$6)),'설정'!$B$6,IF(AND(OR('설정'!$C$7="",G83&gt;='설정'!$C$7),OR('설정'!$D$7="",G83&lt;'설정'!$D$7),OR('설정'!$E$7="",H83&gt;='설정'!$E$7),OR('설정'!$F$7="",H83&lt;'설정'!$F$7)),'설정'!$B$7,IF(AND(OR('설정'!$C$8="",G83&gt;='설정'!$C$8),OR('설정'!$D$8="",G83&lt;'설정'!$D$8),OR('설정'!$E$8="",H83&gt;='설정'!$E$8),OR('설정'!$F$8="",H83&lt;'설정'!$F$8)),'설정'!$B$8,'설정'!$B$9)))))</f>
        <v/>
      </c>
      <c r="L83" s="28">
        <f>IF(OR(G83="",H83=""),"",IF(SUMPRODUCT(ISNUMBER('설정'!$C$6:$D$8)*(ABS(G83-'설정'!$C$6:$D$8)&lt;='설정'!$C$15))+SUMPRODUCT(ISNUMBER('설정'!$E$6:$F$8)*(ABS(H83-'설정'!$E$6:$F$8)&lt;='설정'!$C$15))&gt;0,"경계",""))</f>
        <v/>
      </c>
      <c r="M83" s="7" t="n"/>
      <c r="N83" s="7" t="n"/>
      <c r="O83" s="26">
        <f>IF(M83&lt;&gt;"",M83,K83)</f>
        <v/>
      </c>
      <c r="P83" s="29">
        <f>IF(I83="","",IF(G83="","공수1 미응시",IF(H83="","공수2 미응시","")))</f>
        <v/>
      </c>
      <c r="Q83" s="10">
        <f>IF(J83="","",J83+ROW()/100000)</f>
        <v/>
      </c>
    </row>
    <row r="84">
      <c r="A84" s="5" t="n">
        <v>78</v>
      </c>
      <c r="B84" s="10">
        <f>IF('학생명단'!B84="","",'학생명단'!B84)</f>
        <v/>
      </c>
      <c r="C84" s="10">
        <f>IF('학생명단'!C84="","",'학생명단'!C84)</f>
        <v/>
      </c>
      <c r="D84" s="10">
        <f>IF('학생명단'!D84="","",'학생명단'!D84)</f>
        <v/>
      </c>
      <c r="E84" s="10">
        <f>IF('학생명단'!E84="","",'학생명단'!E84)</f>
        <v/>
      </c>
      <c r="F84" s="11">
        <f>IF('학생명단'!F84="","",'학생명단'!F84)</f>
        <v/>
      </c>
      <c r="G84" s="10">
        <f>'공수1'!Y84</f>
        <v/>
      </c>
      <c r="H84" s="10">
        <f>'공수2'!Y84</f>
        <v/>
      </c>
      <c r="I84" s="27">
        <f>IF(AND(G84="",H84=""),"",N(G84)*'설정'!$C$13+N(H84)*'설정'!$C$14)</f>
        <v/>
      </c>
      <c r="J84" s="10">
        <f>IF(I84="","",COUNTIF($I$7:$I$86,"&gt;"&amp;I84)+1)</f>
        <v/>
      </c>
      <c r="K84" s="26">
        <f>IF(I84="","",IF(OR(G84="",H84=""),'설정'!$B$9,IF(AND(OR('설정'!$C$6="",G84&gt;='설정'!$C$6),OR('설정'!$D$6="",G84&lt;'설정'!$D$6),OR('설정'!$E$6="",H84&gt;='설정'!$E$6),OR('설정'!$F$6="",H84&lt;'설정'!$F$6)),'설정'!$B$6,IF(AND(OR('설정'!$C$7="",G84&gt;='설정'!$C$7),OR('설정'!$D$7="",G84&lt;'설정'!$D$7),OR('설정'!$E$7="",H84&gt;='설정'!$E$7),OR('설정'!$F$7="",H84&lt;'설정'!$F$7)),'설정'!$B$7,IF(AND(OR('설정'!$C$8="",G84&gt;='설정'!$C$8),OR('설정'!$D$8="",G84&lt;'설정'!$D$8),OR('설정'!$E$8="",H84&gt;='설정'!$E$8),OR('설정'!$F$8="",H84&lt;'설정'!$F$8)),'설정'!$B$8,'설정'!$B$9)))))</f>
        <v/>
      </c>
      <c r="L84" s="28">
        <f>IF(OR(G84="",H84=""),"",IF(SUMPRODUCT(ISNUMBER('설정'!$C$6:$D$8)*(ABS(G84-'설정'!$C$6:$D$8)&lt;='설정'!$C$15))+SUMPRODUCT(ISNUMBER('설정'!$E$6:$F$8)*(ABS(H84-'설정'!$E$6:$F$8)&lt;='설정'!$C$15))&gt;0,"경계",""))</f>
        <v/>
      </c>
      <c r="M84" s="7" t="n"/>
      <c r="N84" s="7" t="n"/>
      <c r="O84" s="26">
        <f>IF(M84&lt;&gt;"",M84,K84)</f>
        <v/>
      </c>
      <c r="P84" s="29">
        <f>IF(I84="","",IF(G84="","공수1 미응시",IF(H84="","공수2 미응시","")))</f>
        <v/>
      </c>
      <c r="Q84" s="10">
        <f>IF(J84="","",J84+ROW()/100000)</f>
        <v/>
      </c>
    </row>
    <row r="85">
      <c r="A85" s="5" t="n">
        <v>79</v>
      </c>
      <c r="B85" s="10">
        <f>IF('학생명단'!B85="","",'학생명단'!B85)</f>
        <v/>
      </c>
      <c r="C85" s="10">
        <f>IF('학생명단'!C85="","",'학생명단'!C85)</f>
        <v/>
      </c>
      <c r="D85" s="10">
        <f>IF('학생명단'!D85="","",'학생명단'!D85)</f>
        <v/>
      </c>
      <c r="E85" s="10">
        <f>IF('학생명단'!E85="","",'학생명단'!E85)</f>
        <v/>
      </c>
      <c r="F85" s="11">
        <f>IF('학생명단'!F85="","",'학생명단'!F85)</f>
        <v/>
      </c>
      <c r="G85" s="10">
        <f>'공수1'!Y85</f>
        <v/>
      </c>
      <c r="H85" s="10">
        <f>'공수2'!Y85</f>
        <v/>
      </c>
      <c r="I85" s="27">
        <f>IF(AND(G85="",H85=""),"",N(G85)*'설정'!$C$13+N(H85)*'설정'!$C$14)</f>
        <v/>
      </c>
      <c r="J85" s="10">
        <f>IF(I85="","",COUNTIF($I$7:$I$86,"&gt;"&amp;I85)+1)</f>
        <v/>
      </c>
      <c r="K85" s="26">
        <f>IF(I85="","",IF(OR(G85="",H85=""),'설정'!$B$9,IF(AND(OR('설정'!$C$6="",G85&gt;='설정'!$C$6),OR('설정'!$D$6="",G85&lt;'설정'!$D$6),OR('설정'!$E$6="",H85&gt;='설정'!$E$6),OR('설정'!$F$6="",H85&lt;'설정'!$F$6)),'설정'!$B$6,IF(AND(OR('설정'!$C$7="",G85&gt;='설정'!$C$7),OR('설정'!$D$7="",G85&lt;'설정'!$D$7),OR('설정'!$E$7="",H85&gt;='설정'!$E$7),OR('설정'!$F$7="",H85&lt;'설정'!$F$7)),'설정'!$B$7,IF(AND(OR('설정'!$C$8="",G85&gt;='설정'!$C$8),OR('설정'!$D$8="",G85&lt;'설정'!$D$8),OR('설정'!$E$8="",H85&gt;='설정'!$E$8),OR('설정'!$F$8="",H85&lt;'설정'!$F$8)),'설정'!$B$8,'설정'!$B$9)))))</f>
        <v/>
      </c>
      <c r="L85" s="28">
        <f>IF(OR(G85="",H85=""),"",IF(SUMPRODUCT(ISNUMBER('설정'!$C$6:$D$8)*(ABS(G85-'설정'!$C$6:$D$8)&lt;='설정'!$C$15))+SUMPRODUCT(ISNUMBER('설정'!$E$6:$F$8)*(ABS(H85-'설정'!$E$6:$F$8)&lt;='설정'!$C$15))&gt;0,"경계",""))</f>
        <v/>
      </c>
      <c r="M85" s="7" t="n"/>
      <c r="N85" s="7" t="n"/>
      <c r="O85" s="26">
        <f>IF(M85&lt;&gt;"",M85,K85)</f>
        <v/>
      </c>
      <c r="P85" s="29">
        <f>IF(I85="","",IF(G85="","공수1 미응시",IF(H85="","공수2 미응시","")))</f>
        <v/>
      </c>
      <c r="Q85" s="10">
        <f>IF(J85="","",J85+ROW()/100000)</f>
        <v/>
      </c>
    </row>
    <row r="86">
      <c r="A86" s="5" t="n">
        <v>80</v>
      </c>
      <c r="B86" s="10">
        <f>IF('학생명단'!B86="","",'학생명단'!B86)</f>
        <v/>
      </c>
      <c r="C86" s="10">
        <f>IF('학생명단'!C86="","",'학생명단'!C86)</f>
        <v/>
      </c>
      <c r="D86" s="10">
        <f>IF('학생명단'!D86="","",'학생명단'!D86)</f>
        <v/>
      </c>
      <c r="E86" s="10">
        <f>IF('학생명단'!E86="","",'학생명단'!E86)</f>
        <v/>
      </c>
      <c r="F86" s="11">
        <f>IF('학생명단'!F86="","",'학생명단'!F86)</f>
        <v/>
      </c>
      <c r="G86" s="10">
        <f>'공수1'!Y86</f>
        <v/>
      </c>
      <c r="H86" s="10">
        <f>'공수2'!Y86</f>
        <v/>
      </c>
      <c r="I86" s="27">
        <f>IF(AND(G86="",H86=""),"",N(G86)*'설정'!$C$13+N(H86)*'설정'!$C$14)</f>
        <v/>
      </c>
      <c r="J86" s="10">
        <f>IF(I86="","",COUNTIF($I$7:$I$86,"&gt;"&amp;I86)+1)</f>
        <v/>
      </c>
      <c r="K86" s="26">
        <f>IF(I86="","",IF(OR(G86="",H86=""),'설정'!$B$9,IF(AND(OR('설정'!$C$6="",G86&gt;='설정'!$C$6),OR('설정'!$D$6="",G86&lt;'설정'!$D$6),OR('설정'!$E$6="",H86&gt;='설정'!$E$6),OR('설정'!$F$6="",H86&lt;'설정'!$F$6)),'설정'!$B$6,IF(AND(OR('설정'!$C$7="",G86&gt;='설정'!$C$7),OR('설정'!$D$7="",G86&lt;'설정'!$D$7),OR('설정'!$E$7="",H86&gt;='설정'!$E$7),OR('설정'!$F$7="",H86&lt;'설정'!$F$7)),'설정'!$B$7,IF(AND(OR('설정'!$C$8="",G86&gt;='설정'!$C$8),OR('설정'!$D$8="",G86&lt;'설정'!$D$8),OR('설정'!$E$8="",H86&gt;='설정'!$E$8),OR('설정'!$F$8="",H86&lt;'설정'!$F$8)),'설정'!$B$8,'설정'!$B$9)))))</f>
        <v/>
      </c>
      <c r="L86" s="28">
        <f>IF(OR(G86="",H86=""),"",IF(SUMPRODUCT(ISNUMBER('설정'!$C$6:$D$8)*(ABS(G86-'설정'!$C$6:$D$8)&lt;='설정'!$C$15))+SUMPRODUCT(ISNUMBER('설정'!$E$6:$F$8)*(ABS(H86-'설정'!$E$6:$F$8)&lt;='설정'!$C$15))&gt;0,"경계",""))</f>
        <v/>
      </c>
      <c r="M86" s="7" t="n"/>
      <c r="N86" s="7" t="n"/>
      <c r="O86" s="26">
        <f>IF(M86&lt;&gt;"",M86,K86)</f>
        <v/>
      </c>
      <c r="P86" s="29">
        <f>IF(I86="","",IF(G86="","공수1 미응시",IF(H86="","공수2 미응시","")))</f>
        <v/>
      </c>
      <c r="Q86" s="10">
        <f>IF(J86="","",J86+ROW()/100000)</f>
        <v/>
      </c>
    </row>
  </sheetData>
  <mergeCells count="3">
    <mergeCell ref="A2:Y2"/>
    <mergeCell ref="S13:Y18"/>
    <mergeCell ref="A1:Y1"/>
  </mergeCells>
  <conditionalFormatting sqref="A7:P86">
    <cfRule type="expression" priority="1" dxfId="2">
      <formula>$L7="경계"</formula>
    </cfRule>
  </conditionalFormatting>
  <conditionalFormatting sqref="K7:K86">
    <cfRule type="expression" priority="2" dxfId="3">
      <formula>AND($K7&lt;&gt;"",$K7='설정'!$B$6)</formula>
    </cfRule>
    <cfRule type="expression" priority="3" dxfId="4">
      <formula>AND($K7&lt;&gt;"",$K7='설정'!$B$7)</formula>
    </cfRule>
    <cfRule type="expression" priority="4" dxfId="5">
      <formula>AND($K7&lt;&gt;"",$K7='설정'!$B$8)</formula>
    </cfRule>
    <cfRule type="expression" priority="5" dxfId="6">
      <formula>AND($K7&lt;&gt;"",$K7='설정'!$B$9)</formula>
    </cfRule>
  </conditionalFormatting>
  <conditionalFormatting sqref="O7:O86">
    <cfRule type="expression" priority="6" dxfId="3">
      <formula>AND($O7&lt;&gt;"",$O7='설정'!$B$6)</formula>
    </cfRule>
    <cfRule type="expression" priority="7" dxfId="4">
      <formula>AND($O7&lt;&gt;"",$O7='설정'!$B$7)</formula>
    </cfRule>
    <cfRule type="expression" priority="8" dxfId="5">
      <formula>AND($O7&lt;&gt;"",$O7='설정'!$B$8)</formula>
    </cfRule>
    <cfRule type="expression" priority="9" dxfId="6">
      <formula>AND($O7&lt;&gt;"",$O7='설정'!$B$9)</formula>
    </cfRule>
  </conditionalFormatting>
  <dataValidations count="2">
    <dataValidation sqref="M7:M86" showDropDown="0" showInputMessage="0" showErrorMessage="0" allowBlank="1" type="list">
      <formula1>='설정'!$A$55:$A$60</formula1>
    </dataValidation>
    <dataValidation sqref="N7:N86" showDropDown="0" showInputMessage="0" showErrorMessage="0" allowBlank="1" type="list">
      <formula1>='설정'!$A$64:$A$69</formula1>
    </dataValidation>
  </dataValidation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N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2" customWidth="1" min="3" max="3"/>
    <col width="7" customWidth="1" min="4" max="4"/>
    <col width="9" customWidth="1" min="5" max="5"/>
    <col width="7" customWidth="1" min="6" max="6"/>
    <col width="7" customWidth="1" min="7" max="7"/>
    <col width="9" customWidth="1" min="8" max="8"/>
    <col width="10" customWidth="1" min="9" max="9"/>
    <col width="10" customWidth="1" min="10" max="10"/>
    <col width="6" customWidth="1" min="11" max="11"/>
    <col width="13" customWidth="1" min="12" max="12"/>
    <col hidden="1" width="13" customWidth="1" min="13" max="13"/>
    <col hidden="1" width="13" customWidth="1" min="14" max="14"/>
  </cols>
  <sheetData>
    <row r="1" ht="26" customHeight="1">
      <c r="A1" s="1" t="inlineStr">
        <is>
          <t>석차순 명단 (참고·상담용)</t>
        </is>
      </c>
    </row>
    <row r="2" ht="30" customHeight="1">
      <c r="A2" s="2" t="inlineStr">
        <is>
          <t>자동 정렬됩니다. 반 배정은 절대평가이며 석차는 참고용입니다.</t>
        </is>
      </c>
    </row>
    <row r="6">
      <c r="A6" s="4" t="inlineStr">
        <is>
          <t>석차</t>
        </is>
      </c>
      <c r="B6" s="4" t="inlineStr">
        <is>
          <t>이름</t>
        </is>
      </c>
      <c r="C6" s="4" t="inlineStr">
        <is>
          <t>학교</t>
        </is>
      </c>
      <c r="D6" s="4" t="inlineStr">
        <is>
          <t>구분</t>
        </is>
      </c>
      <c r="E6" s="4" t="inlineStr">
        <is>
          <t>기존 반</t>
        </is>
      </c>
      <c r="F6" s="4" t="inlineStr">
        <is>
          <t>공수1</t>
        </is>
      </c>
      <c r="G6" s="4" t="inlineStr">
        <is>
          <t>공수2</t>
        </is>
      </c>
      <c r="H6" s="4" t="inlineStr">
        <is>
          <t>환산총점</t>
        </is>
      </c>
      <c r="I6" s="4" t="inlineStr">
        <is>
          <t>공통수학반</t>
        </is>
      </c>
      <c r="J6" s="4" t="inlineStr">
        <is>
          <t>선행반</t>
        </is>
      </c>
      <c r="K6" s="4" t="inlineStr">
        <is>
          <t>경계</t>
        </is>
      </c>
      <c r="L6" s="4" t="inlineStr">
        <is>
          <t>비고</t>
        </is>
      </c>
    </row>
    <row r="7">
      <c r="A7" s="10">
        <f>IF($N7="","",INDEX('반배정'!J$7:J$86,$N7))</f>
        <v/>
      </c>
      <c r="B7" s="10">
        <f>IF($N7="","",INDEX('반배정'!B$7:B$86,$N7))</f>
        <v/>
      </c>
      <c r="C7" s="10">
        <f>IF($N7="","",INDEX('반배정'!C$7:C$86,$N7))</f>
        <v/>
      </c>
      <c r="D7" s="10">
        <f>IF($N7="","",INDEX('반배정'!D$7:D$86,$N7))</f>
        <v/>
      </c>
      <c r="E7" s="10">
        <f>IF($N7="","",INDEX('반배정'!E$7:E$86,$N7))</f>
        <v/>
      </c>
      <c r="F7" s="10">
        <f>IF($N7="","",INDEX('반배정'!G$7:G$86,$N7))</f>
        <v/>
      </c>
      <c r="G7" s="10">
        <f>IF($N7="","",INDEX('반배정'!H$7:H$86,$N7))</f>
        <v/>
      </c>
      <c r="H7" s="36">
        <f>IF($N7="","",INDEX('반배정'!I$7:I$86,$N7))</f>
        <v/>
      </c>
      <c r="I7" s="26">
        <f>IF($N7="","",INDEX('반배정'!O$7:O$86,$N7))</f>
        <v/>
      </c>
      <c r="J7" s="10">
        <f>IF($N7="","",INDEX('반배정'!N$7:N$86,$N7)&amp;"")</f>
        <v/>
      </c>
      <c r="K7" s="10">
        <f>IF($N7="","",INDEX('반배정'!L$7:L$86,$N7))</f>
        <v/>
      </c>
      <c r="L7" s="10">
        <f>IF($N7="","",INDEX('반배정'!P$7:P$86,$N7))</f>
        <v/>
      </c>
      <c r="M7" s="10">
        <f>IFERROR(SMALL('반배정'!$Q$7:$Q$86,1),"")</f>
        <v/>
      </c>
      <c r="N7" s="10">
        <f>IF(M7="","",MATCH(M7,'반배정'!$Q$7:$Q$86,0))</f>
        <v/>
      </c>
    </row>
    <row r="8">
      <c r="A8" s="10">
        <f>IF($N8="","",INDEX('반배정'!J$7:J$86,$N8))</f>
        <v/>
      </c>
      <c r="B8" s="10">
        <f>IF($N8="","",INDEX('반배정'!B$7:B$86,$N8))</f>
        <v/>
      </c>
      <c r="C8" s="10">
        <f>IF($N8="","",INDEX('반배정'!C$7:C$86,$N8))</f>
        <v/>
      </c>
      <c r="D8" s="10">
        <f>IF($N8="","",INDEX('반배정'!D$7:D$86,$N8))</f>
        <v/>
      </c>
      <c r="E8" s="10">
        <f>IF($N8="","",INDEX('반배정'!E$7:E$86,$N8))</f>
        <v/>
      </c>
      <c r="F8" s="10">
        <f>IF($N8="","",INDEX('반배정'!G$7:G$86,$N8))</f>
        <v/>
      </c>
      <c r="G8" s="10">
        <f>IF($N8="","",INDEX('반배정'!H$7:H$86,$N8))</f>
        <v/>
      </c>
      <c r="H8" s="36">
        <f>IF($N8="","",INDEX('반배정'!I$7:I$86,$N8))</f>
        <v/>
      </c>
      <c r="I8" s="26">
        <f>IF($N8="","",INDEX('반배정'!O$7:O$86,$N8))</f>
        <v/>
      </c>
      <c r="J8" s="10">
        <f>IF($N8="","",INDEX('반배정'!N$7:N$86,$N8)&amp;"")</f>
        <v/>
      </c>
      <c r="K8" s="10">
        <f>IF($N8="","",INDEX('반배정'!L$7:L$86,$N8))</f>
        <v/>
      </c>
      <c r="L8" s="10">
        <f>IF($N8="","",INDEX('반배정'!P$7:P$86,$N8))</f>
        <v/>
      </c>
      <c r="M8" s="10">
        <f>IFERROR(SMALL('반배정'!$Q$7:$Q$86,2),"")</f>
        <v/>
      </c>
      <c r="N8" s="10">
        <f>IF(M8="","",MATCH(M8,'반배정'!$Q$7:$Q$86,0))</f>
        <v/>
      </c>
    </row>
    <row r="9">
      <c r="A9" s="10">
        <f>IF($N9="","",INDEX('반배정'!J$7:J$86,$N9))</f>
        <v/>
      </c>
      <c r="B9" s="10">
        <f>IF($N9="","",INDEX('반배정'!B$7:B$86,$N9))</f>
        <v/>
      </c>
      <c r="C9" s="10">
        <f>IF($N9="","",INDEX('반배정'!C$7:C$86,$N9))</f>
        <v/>
      </c>
      <c r="D9" s="10">
        <f>IF($N9="","",INDEX('반배정'!D$7:D$86,$N9))</f>
        <v/>
      </c>
      <c r="E9" s="10">
        <f>IF($N9="","",INDEX('반배정'!E$7:E$86,$N9))</f>
        <v/>
      </c>
      <c r="F9" s="10">
        <f>IF($N9="","",INDEX('반배정'!G$7:G$86,$N9))</f>
        <v/>
      </c>
      <c r="G9" s="10">
        <f>IF($N9="","",INDEX('반배정'!H$7:H$86,$N9))</f>
        <v/>
      </c>
      <c r="H9" s="36">
        <f>IF($N9="","",INDEX('반배정'!I$7:I$86,$N9))</f>
        <v/>
      </c>
      <c r="I9" s="26">
        <f>IF($N9="","",INDEX('반배정'!O$7:O$86,$N9))</f>
        <v/>
      </c>
      <c r="J9" s="10">
        <f>IF($N9="","",INDEX('반배정'!N$7:N$86,$N9)&amp;"")</f>
        <v/>
      </c>
      <c r="K9" s="10">
        <f>IF($N9="","",INDEX('반배정'!L$7:L$86,$N9))</f>
        <v/>
      </c>
      <c r="L9" s="10">
        <f>IF($N9="","",INDEX('반배정'!P$7:P$86,$N9))</f>
        <v/>
      </c>
      <c r="M9" s="10">
        <f>IFERROR(SMALL('반배정'!$Q$7:$Q$86,3),"")</f>
        <v/>
      </c>
      <c r="N9" s="10">
        <f>IF(M9="","",MATCH(M9,'반배정'!$Q$7:$Q$86,0))</f>
        <v/>
      </c>
    </row>
    <row r="10">
      <c r="A10" s="10">
        <f>IF($N10="","",INDEX('반배정'!J$7:J$86,$N10))</f>
        <v/>
      </c>
      <c r="B10" s="10">
        <f>IF($N10="","",INDEX('반배정'!B$7:B$86,$N10))</f>
        <v/>
      </c>
      <c r="C10" s="10">
        <f>IF($N10="","",INDEX('반배정'!C$7:C$86,$N10))</f>
        <v/>
      </c>
      <c r="D10" s="10">
        <f>IF($N10="","",INDEX('반배정'!D$7:D$86,$N10))</f>
        <v/>
      </c>
      <c r="E10" s="10">
        <f>IF($N10="","",INDEX('반배정'!E$7:E$86,$N10))</f>
        <v/>
      </c>
      <c r="F10" s="10">
        <f>IF($N10="","",INDEX('반배정'!G$7:G$86,$N10))</f>
        <v/>
      </c>
      <c r="G10" s="10">
        <f>IF($N10="","",INDEX('반배정'!H$7:H$86,$N10))</f>
        <v/>
      </c>
      <c r="H10" s="36">
        <f>IF($N10="","",INDEX('반배정'!I$7:I$86,$N10))</f>
        <v/>
      </c>
      <c r="I10" s="26">
        <f>IF($N10="","",INDEX('반배정'!O$7:O$86,$N10))</f>
        <v/>
      </c>
      <c r="J10" s="10">
        <f>IF($N10="","",INDEX('반배정'!N$7:N$86,$N10)&amp;"")</f>
        <v/>
      </c>
      <c r="K10" s="10">
        <f>IF($N10="","",INDEX('반배정'!L$7:L$86,$N10))</f>
        <v/>
      </c>
      <c r="L10" s="10">
        <f>IF($N10="","",INDEX('반배정'!P$7:P$86,$N10))</f>
        <v/>
      </c>
      <c r="M10" s="10">
        <f>IFERROR(SMALL('반배정'!$Q$7:$Q$86,4),"")</f>
        <v/>
      </c>
      <c r="N10" s="10">
        <f>IF(M10="","",MATCH(M10,'반배정'!$Q$7:$Q$86,0))</f>
        <v/>
      </c>
    </row>
    <row r="11">
      <c r="A11" s="10">
        <f>IF($N11="","",INDEX('반배정'!J$7:J$86,$N11))</f>
        <v/>
      </c>
      <c r="B11" s="10">
        <f>IF($N11="","",INDEX('반배정'!B$7:B$86,$N11))</f>
        <v/>
      </c>
      <c r="C11" s="10">
        <f>IF($N11="","",INDEX('반배정'!C$7:C$86,$N11))</f>
        <v/>
      </c>
      <c r="D11" s="10">
        <f>IF($N11="","",INDEX('반배정'!D$7:D$86,$N11))</f>
        <v/>
      </c>
      <c r="E11" s="10">
        <f>IF($N11="","",INDEX('반배정'!E$7:E$86,$N11))</f>
        <v/>
      </c>
      <c r="F11" s="10">
        <f>IF($N11="","",INDEX('반배정'!G$7:G$86,$N11))</f>
        <v/>
      </c>
      <c r="G11" s="10">
        <f>IF($N11="","",INDEX('반배정'!H$7:H$86,$N11))</f>
        <v/>
      </c>
      <c r="H11" s="36">
        <f>IF($N11="","",INDEX('반배정'!I$7:I$86,$N11))</f>
        <v/>
      </c>
      <c r="I11" s="26">
        <f>IF($N11="","",INDEX('반배정'!O$7:O$86,$N11))</f>
        <v/>
      </c>
      <c r="J11" s="10">
        <f>IF($N11="","",INDEX('반배정'!N$7:N$86,$N11)&amp;"")</f>
        <v/>
      </c>
      <c r="K11" s="10">
        <f>IF($N11="","",INDEX('반배정'!L$7:L$86,$N11))</f>
        <v/>
      </c>
      <c r="L11" s="10">
        <f>IF($N11="","",INDEX('반배정'!P$7:P$86,$N11))</f>
        <v/>
      </c>
      <c r="M11" s="10">
        <f>IFERROR(SMALL('반배정'!$Q$7:$Q$86,5),"")</f>
        <v/>
      </c>
      <c r="N11" s="10">
        <f>IF(M11="","",MATCH(M11,'반배정'!$Q$7:$Q$86,0))</f>
        <v/>
      </c>
    </row>
    <row r="12">
      <c r="A12" s="10">
        <f>IF($N12="","",INDEX('반배정'!J$7:J$86,$N12))</f>
        <v/>
      </c>
      <c r="B12" s="10">
        <f>IF($N12="","",INDEX('반배정'!B$7:B$86,$N12))</f>
        <v/>
      </c>
      <c r="C12" s="10">
        <f>IF($N12="","",INDEX('반배정'!C$7:C$86,$N12))</f>
        <v/>
      </c>
      <c r="D12" s="10">
        <f>IF($N12="","",INDEX('반배정'!D$7:D$86,$N12))</f>
        <v/>
      </c>
      <c r="E12" s="10">
        <f>IF($N12="","",INDEX('반배정'!E$7:E$86,$N12))</f>
        <v/>
      </c>
      <c r="F12" s="10">
        <f>IF($N12="","",INDEX('반배정'!G$7:G$86,$N12))</f>
        <v/>
      </c>
      <c r="G12" s="10">
        <f>IF($N12="","",INDEX('반배정'!H$7:H$86,$N12))</f>
        <v/>
      </c>
      <c r="H12" s="36">
        <f>IF($N12="","",INDEX('반배정'!I$7:I$86,$N12))</f>
        <v/>
      </c>
      <c r="I12" s="26">
        <f>IF($N12="","",INDEX('반배정'!O$7:O$86,$N12))</f>
        <v/>
      </c>
      <c r="J12" s="10">
        <f>IF($N12="","",INDEX('반배정'!N$7:N$86,$N12)&amp;"")</f>
        <v/>
      </c>
      <c r="K12" s="10">
        <f>IF($N12="","",INDEX('반배정'!L$7:L$86,$N12))</f>
        <v/>
      </c>
      <c r="L12" s="10">
        <f>IF($N12="","",INDEX('반배정'!P$7:P$86,$N12))</f>
        <v/>
      </c>
      <c r="M12" s="10">
        <f>IFERROR(SMALL('반배정'!$Q$7:$Q$86,6),"")</f>
        <v/>
      </c>
      <c r="N12" s="10">
        <f>IF(M12="","",MATCH(M12,'반배정'!$Q$7:$Q$86,0))</f>
        <v/>
      </c>
    </row>
    <row r="13">
      <c r="A13" s="10">
        <f>IF($N13="","",INDEX('반배정'!J$7:J$86,$N13))</f>
        <v/>
      </c>
      <c r="B13" s="10">
        <f>IF($N13="","",INDEX('반배정'!B$7:B$86,$N13))</f>
        <v/>
      </c>
      <c r="C13" s="10">
        <f>IF($N13="","",INDEX('반배정'!C$7:C$86,$N13))</f>
        <v/>
      </c>
      <c r="D13" s="10">
        <f>IF($N13="","",INDEX('반배정'!D$7:D$86,$N13))</f>
        <v/>
      </c>
      <c r="E13" s="10">
        <f>IF($N13="","",INDEX('반배정'!E$7:E$86,$N13))</f>
        <v/>
      </c>
      <c r="F13" s="10">
        <f>IF($N13="","",INDEX('반배정'!G$7:G$86,$N13))</f>
        <v/>
      </c>
      <c r="G13" s="10">
        <f>IF($N13="","",INDEX('반배정'!H$7:H$86,$N13))</f>
        <v/>
      </c>
      <c r="H13" s="36">
        <f>IF($N13="","",INDEX('반배정'!I$7:I$86,$N13))</f>
        <v/>
      </c>
      <c r="I13" s="26">
        <f>IF($N13="","",INDEX('반배정'!O$7:O$86,$N13))</f>
        <v/>
      </c>
      <c r="J13" s="10">
        <f>IF($N13="","",INDEX('반배정'!N$7:N$86,$N13)&amp;"")</f>
        <v/>
      </c>
      <c r="K13" s="10">
        <f>IF($N13="","",INDEX('반배정'!L$7:L$86,$N13))</f>
        <v/>
      </c>
      <c r="L13" s="10">
        <f>IF($N13="","",INDEX('반배정'!P$7:P$86,$N13))</f>
        <v/>
      </c>
      <c r="M13" s="10">
        <f>IFERROR(SMALL('반배정'!$Q$7:$Q$86,7),"")</f>
        <v/>
      </c>
      <c r="N13" s="10">
        <f>IF(M13="","",MATCH(M13,'반배정'!$Q$7:$Q$86,0))</f>
        <v/>
      </c>
    </row>
    <row r="14">
      <c r="A14" s="10">
        <f>IF($N14="","",INDEX('반배정'!J$7:J$86,$N14))</f>
        <v/>
      </c>
      <c r="B14" s="10">
        <f>IF($N14="","",INDEX('반배정'!B$7:B$86,$N14))</f>
        <v/>
      </c>
      <c r="C14" s="10">
        <f>IF($N14="","",INDEX('반배정'!C$7:C$86,$N14))</f>
        <v/>
      </c>
      <c r="D14" s="10">
        <f>IF($N14="","",INDEX('반배정'!D$7:D$86,$N14))</f>
        <v/>
      </c>
      <c r="E14" s="10">
        <f>IF($N14="","",INDEX('반배정'!E$7:E$86,$N14))</f>
        <v/>
      </c>
      <c r="F14" s="10">
        <f>IF($N14="","",INDEX('반배정'!G$7:G$86,$N14))</f>
        <v/>
      </c>
      <c r="G14" s="10">
        <f>IF($N14="","",INDEX('반배정'!H$7:H$86,$N14))</f>
        <v/>
      </c>
      <c r="H14" s="36">
        <f>IF($N14="","",INDEX('반배정'!I$7:I$86,$N14))</f>
        <v/>
      </c>
      <c r="I14" s="26">
        <f>IF($N14="","",INDEX('반배정'!O$7:O$86,$N14))</f>
        <v/>
      </c>
      <c r="J14" s="10">
        <f>IF($N14="","",INDEX('반배정'!N$7:N$86,$N14)&amp;"")</f>
        <v/>
      </c>
      <c r="K14" s="10">
        <f>IF($N14="","",INDEX('반배정'!L$7:L$86,$N14))</f>
        <v/>
      </c>
      <c r="L14" s="10">
        <f>IF($N14="","",INDEX('반배정'!P$7:P$86,$N14))</f>
        <v/>
      </c>
      <c r="M14" s="10">
        <f>IFERROR(SMALL('반배정'!$Q$7:$Q$86,8),"")</f>
        <v/>
      </c>
      <c r="N14" s="10">
        <f>IF(M14="","",MATCH(M14,'반배정'!$Q$7:$Q$86,0))</f>
        <v/>
      </c>
    </row>
    <row r="15">
      <c r="A15" s="10">
        <f>IF($N15="","",INDEX('반배정'!J$7:J$86,$N15))</f>
        <v/>
      </c>
      <c r="B15" s="10">
        <f>IF($N15="","",INDEX('반배정'!B$7:B$86,$N15))</f>
        <v/>
      </c>
      <c r="C15" s="10">
        <f>IF($N15="","",INDEX('반배정'!C$7:C$86,$N15))</f>
        <v/>
      </c>
      <c r="D15" s="10">
        <f>IF($N15="","",INDEX('반배정'!D$7:D$86,$N15))</f>
        <v/>
      </c>
      <c r="E15" s="10">
        <f>IF($N15="","",INDEX('반배정'!E$7:E$86,$N15))</f>
        <v/>
      </c>
      <c r="F15" s="10">
        <f>IF($N15="","",INDEX('반배정'!G$7:G$86,$N15))</f>
        <v/>
      </c>
      <c r="G15" s="10">
        <f>IF($N15="","",INDEX('반배정'!H$7:H$86,$N15))</f>
        <v/>
      </c>
      <c r="H15" s="36">
        <f>IF($N15="","",INDEX('반배정'!I$7:I$86,$N15))</f>
        <v/>
      </c>
      <c r="I15" s="26">
        <f>IF($N15="","",INDEX('반배정'!O$7:O$86,$N15))</f>
        <v/>
      </c>
      <c r="J15" s="10">
        <f>IF($N15="","",INDEX('반배정'!N$7:N$86,$N15)&amp;"")</f>
        <v/>
      </c>
      <c r="K15" s="10">
        <f>IF($N15="","",INDEX('반배정'!L$7:L$86,$N15))</f>
        <v/>
      </c>
      <c r="L15" s="10">
        <f>IF($N15="","",INDEX('반배정'!P$7:P$86,$N15))</f>
        <v/>
      </c>
      <c r="M15" s="10">
        <f>IFERROR(SMALL('반배정'!$Q$7:$Q$86,9),"")</f>
        <v/>
      </c>
      <c r="N15" s="10">
        <f>IF(M15="","",MATCH(M15,'반배정'!$Q$7:$Q$86,0))</f>
        <v/>
      </c>
    </row>
    <row r="16">
      <c r="A16" s="10">
        <f>IF($N16="","",INDEX('반배정'!J$7:J$86,$N16))</f>
        <v/>
      </c>
      <c r="B16" s="10">
        <f>IF($N16="","",INDEX('반배정'!B$7:B$86,$N16))</f>
        <v/>
      </c>
      <c r="C16" s="10">
        <f>IF($N16="","",INDEX('반배정'!C$7:C$86,$N16))</f>
        <v/>
      </c>
      <c r="D16" s="10">
        <f>IF($N16="","",INDEX('반배정'!D$7:D$86,$N16))</f>
        <v/>
      </c>
      <c r="E16" s="10">
        <f>IF($N16="","",INDEX('반배정'!E$7:E$86,$N16))</f>
        <v/>
      </c>
      <c r="F16" s="10">
        <f>IF($N16="","",INDEX('반배정'!G$7:G$86,$N16))</f>
        <v/>
      </c>
      <c r="G16" s="10">
        <f>IF($N16="","",INDEX('반배정'!H$7:H$86,$N16))</f>
        <v/>
      </c>
      <c r="H16" s="36">
        <f>IF($N16="","",INDEX('반배정'!I$7:I$86,$N16))</f>
        <v/>
      </c>
      <c r="I16" s="26">
        <f>IF($N16="","",INDEX('반배정'!O$7:O$86,$N16))</f>
        <v/>
      </c>
      <c r="J16" s="10">
        <f>IF($N16="","",INDEX('반배정'!N$7:N$86,$N16)&amp;"")</f>
        <v/>
      </c>
      <c r="K16" s="10">
        <f>IF($N16="","",INDEX('반배정'!L$7:L$86,$N16))</f>
        <v/>
      </c>
      <c r="L16" s="10">
        <f>IF($N16="","",INDEX('반배정'!P$7:P$86,$N16))</f>
        <v/>
      </c>
      <c r="M16" s="10">
        <f>IFERROR(SMALL('반배정'!$Q$7:$Q$86,10),"")</f>
        <v/>
      </c>
      <c r="N16" s="10">
        <f>IF(M16="","",MATCH(M16,'반배정'!$Q$7:$Q$86,0))</f>
        <v/>
      </c>
    </row>
    <row r="17">
      <c r="A17" s="10">
        <f>IF($N17="","",INDEX('반배정'!J$7:J$86,$N17))</f>
        <v/>
      </c>
      <c r="B17" s="10">
        <f>IF($N17="","",INDEX('반배정'!B$7:B$86,$N17))</f>
        <v/>
      </c>
      <c r="C17" s="10">
        <f>IF($N17="","",INDEX('반배정'!C$7:C$86,$N17))</f>
        <v/>
      </c>
      <c r="D17" s="10">
        <f>IF($N17="","",INDEX('반배정'!D$7:D$86,$N17))</f>
        <v/>
      </c>
      <c r="E17" s="10">
        <f>IF($N17="","",INDEX('반배정'!E$7:E$86,$N17))</f>
        <v/>
      </c>
      <c r="F17" s="10">
        <f>IF($N17="","",INDEX('반배정'!G$7:G$86,$N17))</f>
        <v/>
      </c>
      <c r="G17" s="10">
        <f>IF($N17="","",INDEX('반배정'!H$7:H$86,$N17))</f>
        <v/>
      </c>
      <c r="H17" s="36">
        <f>IF($N17="","",INDEX('반배정'!I$7:I$86,$N17))</f>
        <v/>
      </c>
      <c r="I17" s="26">
        <f>IF($N17="","",INDEX('반배정'!O$7:O$86,$N17))</f>
        <v/>
      </c>
      <c r="J17" s="10">
        <f>IF($N17="","",INDEX('반배정'!N$7:N$86,$N17)&amp;"")</f>
        <v/>
      </c>
      <c r="K17" s="10">
        <f>IF($N17="","",INDEX('반배정'!L$7:L$86,$N17))</f>
        <v/>
      </c>
      <c r="L17" s="10">
        <f>IF($N17="","",INDEX('반배정'!P$7:P$86,$N17))</f>
        <v/>
      </c>
      <c r="M17" s="10">
        <f>IFERROR(SMALL('반배정'!$Q$7:$Q$86,11),"")</f>
        <v/>
      </c>
      <c r="N17" s="10">
        <f>IF(M17="","",MATCH(M17,'반배정'!$Q$7:$Q$86,0))</f>
        <v/>
      </c>
    </row>
    <row r="18">
      <c r="A18" s="10">
        <f>IF($N18="","",INDEX('반배정'!J$7:J$86,$N18))</f>
        <v/>
      </c>
      <c r="B18" s="10">
        <f>IF($N18="","",INDEX('반배정'!B$7:B$86,$N18))</f>
        <v/>
      </c>
      <c r="C18" s="10">
        <f>IF($N18="","",INDEX('반배정'!C$7:C$86,$N18))</f>
        <v/>
      </c>
      <c r="D18" s="10">
        <f>IF($N18="","",INDEX('반배정'!D$7:D$86,$N18))</f>
        <v/>
      </c>
      <c r="E18" s="10">
        <f>IF($N18="","",INDEX('반배정'!E$7:E$86,$N18))</f>
        <v/>
      </c>
      <c r="F18" s="10">
        <f>IF($N18="","",INDEX('반배정'!G$7:G$86,$N18))</f>
        <v/>
      </c>
      <c r="G18" s="10">
        <f>IF($N18="","",INDEX('반배정'!H$7:H$86,$N18))</f>
        <v/>
      </c>
      <c r="H18" s="36">
        <f>IF($N18="","",INDEX('반배정'!I$7:I$86,$N18))</f>
        <v/>
      </c>
      <c r="I18" s="26">
        <f>IF($N18="","",INDEX('반배정'!O$7:O$86,$N18))</f>
        <v/>
      </c>
      <c r="J18" s="10">
        <f>IF($N18="","",INDEX('반배정'!N$7:N$86,$N18)&amp;"")</f>
        <v/>
      </c>
      <c r="K18" s="10">
        <f>IF($N18="","",INDEX('반배정'!L$7:L$86,$N18))</f>
        <v/>
      </c>
      <c r="L18" s="10">
        <f>IF($N18="","",INDEX('반배정'!P$7:P$86,$N18))</f>
        <v/>
      </c>
      <c r="M18" s="10">
        <f>IFERROR(SMALL('반배정'!$Q$7:$Q$86,12),"")</f>
        <v/>
      </c>
      <c r="N18" s="10">
        <f>IF(M18="","",MATCH(M18,'반배정'!$Q$7:$Q$86,0))</f>
        <v/>
      </c>
    </row>
    <row r="19">
      <c r="A19" s="10">
        <f>IF($N19="","",INDEX('반배정'!J$7:J$86,$N19))</f>
        <v/>
      </c>
      <c r="B19" s="10">
        <f>IF($N19="","",INDEX('반배정'!B$7:B$86,$N19))</f>
        <v/>
      </c>
      <c r="C19" s="10">
        <f>IF($N19="","",INDEX('반배정'!C$7:C$86,$N19))</f>
        <v/>
      </c>
      <c r="D19" s="10">
        <f>IF($N19="","",INDEX('반배정'!D$7:D$86,$N19))</f>
        <v/>
      </c>
      <c r="E19" s="10">
        <f>IF($N19="","",INDEX('반배정'!E$7:E$86,$N19))</f>
        <v/>
      </c>
      <c r="F19" s="10">
        <f>IF($N19="","",INDEX('반배정'!G$7:G$86,$N19))</f>
        <v/>
      </c>
      <c r="G19" s="10">
        <f>IF($N19="","",INDEX('반배정'!H$7:H$86,$N19))</f>
        <v/>
      </c>
      <c r="H19" s="36">
        <f>IF($N19="","",INDEX('반배정'!I$7:I$86,$N19))</f>
        <v/>
      </c>
      <c r="I19" s="26">
        <f>IF($N19="","",INDEX('반배정'!O$7:O$86,$N19))</f>
        <v/>
      </c>
      <c r="J19" s="10">
        <f>IF($N19="","",INDEX('반배정'!N$7:N$86,$N19)&amp;"")</f>
        <v/>
      </c>
      <c r="K19" s="10">
        <f>IF($N19="","",INDEX('반배정'!L$7:L$86,$N19))</f>
        <v/>
      </c>
      <c r="L19" s="10">
        <f>IF($N19="","",INDEX('반배정'!P$7:P$86,$N19))</f>
        <v/>
      </c>
      <c r="M19" s="10">
        <f>IFERROR(SMALL('반배정'!$Q$7:$Q$86,13),"")</f>
        <v/>
      </c>
      <c r="N19" s="10">
        <f>IF(M19="","",MATCH(M19,'반배정'!$Q$7:$Q$86,0))</f>
        <v/>
      </c>
    </row>
    <row r="20">
      <c r="A20" s="10">
        <f>IF($N20="","",INDEX('반배정'!J$7:J$86,$N20))</f>
        <v/>
      </c>
      <c r="B20" s="10">
        <f>IF($N20="","",INDEX('반배정'!B$7:B$86,$N20))</f>
        <v/>
      </c>
      <c r="C20" s="10">
        <f>IF($N20="","",INDEX('반배정'!C$7:C$86,$N20))</f>
        <v/>
      </c>
      <c r="D20" s="10">
        <f>IF($N20="","",INDEX('반배정'!D$7:D$86,$N20))</f>
        <v/>
      </c>
      <c r="E20" s="10">
        <f>IF($N20="","",INDEX('반배정'!E$7:E$86,$N20))</f>
        <v/>
      </c>
      <c r="F20" s="10">
        <f>IF($N20="","",INDEX('반배정'!G$7:G$86,$N20))</f>
        <v/>
      </c>
      <c r="G20" s="10">
        <f>IF($N20="","",INDEX('반배정'!H$7:H$86,$N20))</f>
        <v/>
      </c>
      <c r="H20" s="36">
        <f>IF($N20="","",INDEX('반배정'!I$7:I$86,$N20))</f>
        <v/>
      </c>
      <c r="I20" s="26">
        <f>IF($N20="","",INDEX('반배정'!O$7:O$86,$N20))</f>
        <v/>
      </c>
      <c r="J20" s="10">
        <f>IF($N20="","",INDEX('반배정'!N$7:N$86,$N20)&amp;"")</f>
        <v/>
      </c>
      <c r="K20" s="10">
        <f>IF($N20="","",INDEX('반배정'!L$7:L$86,$N20))</f>
        <v/>
      </c>
      <c r="L20" s="10">
        <f>IF($N20="","",INDEX('반배정'!P$7:P$86,$N20))</f>
        <v/>
      </c>
      <c r="M20" s="10">
        <f>IFERROR(SMALL('반배정'!$Q$7:$Q$86,14),"")</f>
        <v/>
      </c>
      <c r="N20" s="10">
        <f>IF(M20="","",MATCH(M20,'반배정'!$Q$7:$Q$86,0))</f>
        <v/>
      </c>
    </row>
    <row r="21">
      <c r="A21" s="10">
        <f>IF($N21="","",INDEX('반배정'!J$7:J$86,$N21))</f>
        <v/>
      </c>
      <c r="B21" s="10">
        <f>IF($N21="","",INDEX('반배정'!B$7:B$86,$N21))</f>
        <v/>
      </c>
      <c r="C21" s="10">
        <f>IF($N21="","",INDEX('반배정'!C$7:C$86,$N21))</f>
        <v/>
      </c>
      <c r="D21" s="10">
        <f>IF($N21="","",INDEX('반배정'!D$7:D$86,$N21))</f>
        <v/>
      </c>
      <c r="E21" s="10">
        <f>IF($N21="","",INDEX('반배정'!E$7:E$86,$N21))</f>
        <v/>
      </c>
      <c r="F21" s="10">
        <f>IF($N21="","",INDEX('반배정'!G$7:G$86,$N21))</f>
        <v/>
      </c>
      <c r="G21" s="10">
        <f>IF($N21="","",INDEX('반배정'!H$7:H$86,$N21))</f>
        <v/>
      </c>
      <c r="H21" s="36">
        <f>IF($N21="","",INDEX('반배정'!I$7:I$86,$N21))</f>
        <v/>
      </c>
      <c r="I21" s="26">
        <f>IF($N21="","",INDEX('반배정'!O$7:O$86,$N21))</f>
        <v/>
      </c>
      <c r="J21" s="10">
        <f>IF($N21="","",INDEX('반배정'!N$7:N$86,$N21)&amp;"")</f>
        <v/>
      </c>
      <c r="K21" s="10">
        <f>IF($N21="","",INDEX('반배정'!L$7:L$86,$N21))</f>
        <v/>
      </c>
      <c r="L21" s="10">
        <f>IF($N21="","",INDEX('반배정'!P$7:P$86,$N21))</f>
        <v/>
      </c>
      <c r="M21" s="10">
        <f>IFERROR(SMALL('반배정'!$Q$7:$Q$86,15),"")</f>
        <v/>
      </c>
      <c r="N21" s="10">
        <f>IF(M21="","",MATCH(M21,'반배정'!$Q$7:$Q$86,0))</f>
        <v/>
      </c>
    </row>
    <row r="22">
      <c r="A22" s="10">
        <f>IF($N22="","",INDEX('반배정'!J$7:J$86,$N22))</f>
        <v/>
      </c>
      <c r="B22" s="10">
        <f>IF($N22="","",INDEX('반배정'!B$7:B$86,$N22))</f>
        <v/>
      </c>
      <c r="C22" s="10">
        <f>IF($N22="","",INDEX('반배정'!C$7:C$86,$N22))</f>
        <v/>
      </c>
      <c r="D22" s="10">
        <f>IF($N22="","",INDEX('반배정'!D$7:D$86,$N22))</f>
        <v/>
      </c>
      <c r="E22" s="10">
        <f>IF($N22="","",INDEX('반배정'!E$7:E$86,$N22))</f>
        <v/>
      </c>
      <c r="F22" s="10">
        <f>IF($N22="","",INDEX('반배정'!G$7:G$86,$N22))</f>
        <v/>
      </c>
      <c r="G22" s="10">
        <f>IF($N22="","",INDEX('반배정'!H$7:H$86,$N22))</f>
        <v/>
      </c>
      <c r="H22" s="36">
        <f>IF($N22="","",INDEX('반배정'!I$7:I$86,$N22))</f>
        <v/>
      </c>
      <c r="I22" s="26">
        <f>IF($N22="","",INDEX('반배정'!O$7:O$86,$N22))</f>
        <v/>
      </c>
      <c r="J22" s="10">
        <f>IF($N22="","",INDEX('반배정'!N$7:N$86,$N22)&amp;"")</f>
        <v/>
      </c>
      <c r="K22" s="10">
        <f>IF($N22="","",INDEX('반배정'!L$7:L$86,$N22))</f>
        <v/>
      </c>
      <c r="L22" s="10">
        <f>IF($N22="","",INDEX('반배정'!P$7:P$86,$N22))</f>
        <v/>
      </c>
      <c r="M22" s="10">
        <f>IFERROR(SMALL('반배정'!$Q$7:$Q$86,16),"")</f>
        <v/>
      </c>
      <c r="N22" s="10">
        <f>IF(M22="","",MATCH(M22,'반배정'!$Q$7:$Q$86,0))</f>
        <v/>
      </c>
    </row>
    <row r="23">
      <c r="A23" s="10">
        <f>IF($N23="","",INDEX('반배정'!J$7:J$86,$N23))</f>
        <v/>
      </c>
      <c r="B23" s="10">
        <f>IF($N23="","",INDEX('반배정'!B$7:B$86,$N23))</f>
        <v/>
      </c>
      <c r="C23" s="10">
        <f>IF($N23="","",INDEX('반배정'!C$7:C$86,$N23))</f>
        <v/>
      </c>
      <c r="D23" s="10">
        <f>IF($N23="","",INDEX('반배정'!D$7:D$86,$N23))</f>
        <v/>
      </c>
      <c r="E23" s="10">
        <f>IF($N23="","",INDEX('반배정'!E$7:E$86,$N23))</f>
        <v/>
      </c>
      <c r="F23" s="10">
        <f>IF($N23="","",INDEX('반배정'!G$7:G$86,$N23))</f>
        <v/>
      </c>
      <c r="G23" s="10">
        <f>IF($N23="","",INDEX('반배정'!H$7:H$86,$N23))</f>
        <v/>
      </c>
      <c r="H23" s="36">
        <f>IF($N23="","",INDEX('반배정'!I$7:I$86,$N23))</f>
        <v/>
      </c>
      <c r="I23" s="26">
        <f>IF($N23="","",INDEX('반배정'!O$7:O$86,$N23))</f>
        <v/>
      </c>
      <c r="J23" s="10">
        <f>IF($N23="","",INDEX('반배정'!N$7:N$86,$N23)&amp;"")</f>
        <v/>
      </c>
      <c r="K23" s="10">
        <f>IF($N23="","",INDEX('반배정'!L$7:L$86,$N23))</f>
        <v/>
      </c>
      <c r="L23" s="10">
        <f>IF($N23="","",INDEX('반배정'!P$7:P$86,$N23))</f>
        <v/>
      </c>
      <c r="M23" s="10">
        <f>IFERROR(SMALL('반배정'!$Q$7:$Q$86,17),"")</f>
        <v/>
      </c>
      <c r="N23" s="10">
        <f>IF(M23="","",MATCH(M23,'반배정'!$Q$7:$Q$86,0))</f>
        <v/>
      </c>
    </row>
    <row r="24">
      <c r="A24" s="10">
        <f>IF($N24="","",INDEX('반배정'!J$7:J$86,$N24))</f>
        <v/>
      </c>
      <c r="B24" s="10">
        <f>IF($N24="","",INDEX('반배정'!B$7:B$86,$N24))</f>
        <v/>
      </c>
      <c r="C24" s="10">
        <f>IF($N24="","",INDEX('반배정'!C$7:C$86,$N24))</f>
        <v/>
      </c>
      <c r="D24" s="10">
        <f>IF($N24="","",INDEX('반배정'!D$7:D$86,$N24))</f>
        <v/>
      </c>
      <c r="E24" s="10">
        <f>IF($N24="","",INDEX('반배정'!E$7:E$86,$N24))</f>
        <v/>
      </c>
      <c r="F24" s="10">
        <f>IF($N24="","",INDEX('반배정'!G$7:G$86,$N24))</f>
        <v/>
      </c>
      <c r="G24" s="10">
        <f>IF($N24="","",INDEX('반배정'!H$7:H$86,$N24))</f>
        <v/>
      </c>
      <c r="H24" s="36">
        <f>IF($N24="","",INDEX('반배정'!I$7:I$86,$N24))</f>
        <v/>
      </c>
      <c r="I24" s="26">
        <f>IF($N24="","",INDEX('반배정'!O$7:O$86,$N24))</f>
        <v/>
      </c>
      <c r="J24" s="10">
        <f>IF($N24="","",INDEX('반배정'!N$7:N$86,$N24)&amp;"")</f>
        <v/>
      </c>
      <c r="K24" s="10">
        <f>IF($N24="","",INDEX('반배정'!L$7:L$86,$N24))</f>
        <v/>
      </c>
      <c r="L24" s="10">
        <f>IF($N24="","",INDEX('반배정'!P$7:P$86,$N24))</f>
        <v/>
      </c>
      <c r="M24" s="10">
        <f>IFERROR(SMALL('반배정'!$Q$7:$Q$86,18),"")</f>
        <v/>
      </c>
      <c r="N24" s="10">
        <f>IF(M24="","",MATCH(M24,'반배정'!$Q$7:$Q$86,0))</f>
        <v/>
      </c>
    </row>
    <row r="25">
      <c r="A25" s="10">
        <f>IF($N25="","",INDEX('반배정'!J$7:J$86,$N25))</f>
        <v/>
      </c>
      <c r="B25" s="10">
        <f>IF($N25="","",INDEX('반배정'!B$7:B$86,$N25))</f>
        <v/>
      </c>
      <c r="C25" s="10">
        <f>IF($N25="","",INDEX('반배정'!C$7:C$86,$N25))</f>
        <v/>
      </c>
      <c r="D25" s="10">
        <f>IF($N25="","",INDEX('반배정'!D$7:D$86,$N25))</f>
        <v/>
      </c>
      <c r="E25" s="10">
        <f>IF($N25="","",INDEX('반배정'!E$7:E$86,$N25))</f>
        <v/>
      </c>
      <c r="F25" s="10">
        <f>IF($N25="","",INDEX('반배정'!G$7:G$86,$N25))</f>
        <v/>
      </c>
      <c r="G25" s="10">
        <f>IF($N25="","",INDEX('반배정'!H$7:H$86,$N25))</f>
        <v/>
      </c>
      <c r="H25" s="36">
        <f>IF($N25="","",INDEX('반배정'!I$7:I$86,$N25))</f>
        <v/>
      </c>
      <c r="I25" s="26">
        <f>IF($N25="","",INDEX('반배정'!O$7:O$86,$N25))</f>
        <v/>
      </c>
      <c r="J25" s="10">
        <f>IF($N25="","",INDEX('반배정'!N$7:N$86,$N25)&amp;"")</f>
        <v/>
      </c>
      <c r="K25" s="10">
        <f>IF($N25="","",INDEX('반배정'!L$7:L$86,$N25))</f>
        <v/>
      </c>
      <c r="L25" s="10">
        <f>IF($N25="","",INDEX('반배정'!P$7:P$86,$N25))</f>
        <v/>
      </c>
      <c r="M25" s="10">
        <f>IFERROR(SMALL('반배정'!$Q$7:$Q$86,19),"")</f>
        <v/>
      </c>
      <c r="N25" s="10">
        <f>IF(M25="","",MATCH(M25,'반배정'!$Q$7:$Q$86,0))</f>
        <v/>
      </c>
    </row>
    <row r="26">
      <c r="A26" s="10">
        <f>IF($N26="","",INDEX('반배정'!J$7:J$86,$N26))</f>
        <v/>
      </c>
      <c r="B26" s="10">
        <f>IF($N26="","",INDEX('반배정'!B$7:B$86,$N26))</f>
        <v/>
      </c>
      <c r="C26" s="10">
        <f>IF($N26="","",INDEX('반배정'!C$7:C$86,$N26))</f>
        <v/>
      </c>
      <c r="D26" s="10">
        <f>IF($N26="","",INDEX('반배정'!D$7:D$86,$N26))</f>
        <v/>
      </c>
      <c r="E26" s="10">
        <f>IF($N26="","",INDEX('반배정'!E$7:E$86,$N26))</f>
        <v/>
      </c>
      <c r="F26" s="10">
        <f>IF($N26="","",INDEX('반배정'!G$7:G$86,$N26))</f>
        <v/>
      </c>
      <c r="G26" s="10">
        <f>IF($N26="","",INDEX('반배정'!H$7:H$86,$N26))</f>
        <v/>
      </c>
      <c r="H26" s="36">
        <f>IF($N26="","",INDEX('반배정'!I$7:I$86,$N26))</f>
        <v/>
      </c>
      <c r="I26" s="26">
        <f>IF($N26="","",INDEX('반배정'!O$7:O$86,$N26))</f>
        <v/>
      </c>
      <c r="J26" s="10">
        <f>IF($N26="","",INDEX('반배정'!N$7:N$86,$N26)&amp;"")</f>
        <v/>
      </c>
      <c r="K26" s="10">
        <f>IF($N26="","",INDEX('반배정'!L$7:L$86,$N26))</f>
        <v/>
      </c>
      <c r="L26" s="10">
        <f>IF($N26="","",INDEX('반배정'!P$7:P$86,$N26))</f>
        <v/>
      </c>
      <c r="M26" s="10">
        <f>IFERROR(SMALL('반배정'!$Q$7:$Q$86,20),"")</f>
        <v/>
      </c>
      <c r="N26" s="10">
        <f>IF(M26="","",MATCH(M26,'반배정'!$Q$7:$Q$86,0))</f>
        <v/>
      </c>
    </row>
    <row r="27">
      <c r="A27" s="10">
        <f>IF($N27="","",INDEX('반배정'!J$7:J$86,$N27))</f>
        <v/>
      </c>
      <c r="B27" s="10">
        <f>IF($N27="","",INDEX('반배정'!B$7:B$86,$N27))</f>
        <v/>
      </c>
      <c r="C27" s="10">
        <f>IF($N27="","",INDEX('반배정'!C$7:C$86,$N27))</f>
        <v/>
      </c>
      <c r="D27" s="10">
        <f>IF($N27="","",INDEX('반배정'!D$7:D$86,$N27))</f>
        <v/>
      </c>
      <c r="E27" s="10">
        <f>IF($N27="","",INDEX('반배정'!E$7:E$86,$N27))</f>
        <v/>
      </c>
      <c r="F27" s="10">
        <f>IF($N27="","",INDEX('반배정'!G$7:G$86,$N27))</f>
        <v/>
      </c>
      <c r="G27" s="10">
        <f>IF($N27="","",INDEX('반배정'!H$7:H$86,$N27))</f>
        <v/>
      </c>
      <c r="H27" s="36">
        <f>IF($N27="","",INDEX('반배정'!I$7:I$86,$N27))</f>
        <v/>
      </c>
      <c r="I27" s="26">
        <f>IF($N27="","",INDEX('반배정'!O$7:O$86,$N27))</f>
        <v/>
      </c>
      <c r="J27" s="10">
        <f>IF($N27="","",INDEX('반배정'!N$7:N$86,$N27)&amp;"")</f>
        <v/>
      </c>
      <c r="K27" s="10">
        <f>IF($N27="","",INDEX('반배정'!L$7:L$86,$N27))</f>
        <v/>
      </c>
      <c r="L27" s="10">
        <f>IF($N27="","",INDEX('반배정'!P$7:P$86,$N27))</f>
        <v/>
      </c>
      <c r="M27" s="10">
        <f>IFERROR(SMALL('반배정'!$Q$7:$Q$86,21),"")</f>
        <v/>
      </c>
      <c r="N27" s="10">
        <f>IF(M27="","",MATCH(M27,'반배정'!$Q$7:$Q$86,0))</f>
        <v/>
      </c>
    </row>
    <row r="28">
      <c r="A28" s="10">
        <f>IF($N28="","",INDEX('반배정'!J$7:J$86,$N28))</f>
        <v/>
      </c>
      <c r="B28" s="10">
        <f>IF($N28="","",INDEX('반배정'!B$7:B$86,$N28))</f>
        <v/>
      </c>
      <c r="C28" s="10">
        <f>IF($N28="","",INDEX('반배정'!C$7:C$86,$N28))</f>
        <v/>
      </c>
      <c r="D28" s="10">
        <f>IF($N28="","",INDEX('반배정'!D$7:D$86,$N28))</f>
        <v/>
      </c>
      <c r="E28" s="10">
        <f>IF($N28="","",INDEX('반배정'!E$7:E$86,$N28))</f>
        <v/>
      </c>
      <c r="F28" s="10">
        <f>IF($N28="","",INDEX('반배정'!G$7:G$86,$N28))</f>
        <v/>
      </c>
      <c r="G28" s="10">
        <f>IF($N28="","",INDEX('반배정'!H$7:H$86,$N28))</f>
        <v/>
      </c>
      <c r="H28" s="36">
        <f>IF($N28="","",INDEX('반배정'!I$7:I$86,$N28))</f>
        <v/>
      </c>
      <c r="I28" s="26">
        <f>IF($N28="","",INDEX('반배정'!O$7:O$86,$N28))</f>
        <v/>
      </c>
      <c r="J28" s="10">
        <f>IF($N28="","",INDEX('반배정'!N$7:N$86,$N28)&amp;"")</f>
        <v/>
      </c>
      <c r="K28" s="10">
        <f>IF($N28="","",INDEX('반배정'!L$7:L$86,$N28))</f>
        <v/>
      </c>
      <c r="L28" s="10">
        <f>IF($N28="","",INDEX('반배정'!P$7:P$86,$N28))</f>
        <v/>
      </c>
      <c r="M28" s="10">
        <f>IFERROR(SMALL('반배정'!$Q$7:$Q$86,22),"")</f>
        <v/>
      </c>
      <c r="N28" s="10">
        <f>IF(M28="","",MATCH(M28,'반배정'!$Q$7:$Q$86,0))</f>
        <v/>
      </c>
    </row>
    <row r="29">
      <c r="A29" s="10">
        <f>IF($N29="","",INDEX('반배정'!J$7:J$86,$N29))</f>
        <v/>
      </c>
      <c r="B29" s="10">
        <f>IF($N29="","",INDEX('반배정'!B$7:B$86,$N29))</f>
        <v/>
      </c>
      <c r="C29" s="10">
        <f>IF($N29="","",INDEX('반배정'!C$7:C$86,$N29))</f>
        <v/>
      </c>
      <c r="D29" s="10">
        <f>IF($N29="","",INDEX('반배정'!D$7:D$86,$N29))</f>
        <v/>
      </c>
      <c r="E29" s="10">
        <f>IF($N29="","",INDEX('반배정'!E$7:E$86,$N29))</f>
        <v/>
      </c>
      <c r="F29" s="10">
        <f>IF($N29="","",INDEX('반배정'!G$7:G$86,$N29))</f>
        <v/>
      </c>
      <c r="G29" s="10">
        <f>IF($N29="","",INDEX('반배정'!H$7:H$86,$N29))</f>
        <v/>
      </c>
      <c r="H29" s="36">
        <f>IF($N29="","",INDEX('반배정'!I$7:I$86,$N29))</f>
        <v/>
      </c>
      <c r="I29" s="26">
        <f>IF($N29="","",INDEX('반배정'!O$7:O$86,$N29))</f>
        <v/>
      </c>
      <c r="J29" s="10">
        <f>IF($N29="","",INDEX('반배정'!N$7:N$86,$N29)&amp;"")</f>
        <v/>
      </c>
      <c r="K29" s="10">
        <f>IF($N29="","",INDEX('반배정'!L$7:L$86,$N29))</f>
        <v/>
      </c>
      <c r="L29" s="10">
        <f>IF($N29="","",INDEX('반배정'!P$7:P$86,$N29))</f>
        <v/>
      </c>
      <c r="M29" s="10">
        <f>IFERROR(SMALL('반배정'!$Q$7:$Q$86,23),"")</f>
        <v/>
      </c>
      <c r="N29" s="10">
        <f>IF(M29="","",MATCH(M29,'반배정'!$Q$7:$Q$86,0))</f>
        <v/>
      </c>
    </row>
    <row r="30">
      <c r="A30" s="10">
        <f>IF($N30="","",INDEX('반배정'!J$7:J$86,$N30))</f>
        <v/>
      </c>
      <c r="B30" s="10">
        <f>IF($N30="","",INDEX('반배정'!B$7:B$86,$N30))</f>
        <v/>
      </c>
      <c r="C30" s="10">
        <f>IF($N30="","",INDEX('반배정'!C$7:C$86,$N30))</f>
        <v/>
      </c>
      <c r="D30" s="10">
        <f>IF($N30="","",INDEX('반배정'!D$7:D$86,$N30))</f>
        <v/>
      </c>
      <c r="E30" s="10">
        <f>IF($N30="","",INDEX('반배정'!E$7:E$86,$N30))</f>
        <v/>
      </c>
      <c r="F30" s="10">
        <f>IF($N30="","",INDEX('반배정'!G$7:G$86,$N30))</f>
        <v/>
      </c>
      <c r="G30" s="10">
        <f>IF($N30="","",INDEX('반배정'!H$7:H$86,$N30))</f>
        <v/>
      </c>
      <c r="H30" s="36">
        <f>IF($N30="","",INDEX('반배정'!I$7:I$86,$N30))</f>
        <v/>
      </c>
      <c r="I30" s="26">
        <f>IF($N30="","",INDEX('반배정'!O$7:O$86,$N30))</f>
        <v/>
      </c>
      <c r="J30" s="10">
        <f>IF($N30="","",INDEX('반배정'!N$7:N$86,$N30)&amp;"")</f>
        <v/>
      </c>
      <c r="K30" s="10">
        <f>IF($N30="","",INDEX('반배정'!L$7:L$86,$N30))</f>
        <v/>
      </c>
      <c r="L30" s="10">
        <f>IF($N30="","",INDEX('반배정'!P$7:P$86,$N30))</f>
        <v/>
      </c>
      <c r="M30" s="10">
        <f>IFERROR(SMALL('반배정'!$Q$7:$Q$86,24),"")</f>
        <v/>
      </c>
      <c r="N30" s="10">
        <f>IF(M30="","",MATCH(M30,'반배정'!$Q$7:$Q$86,0))</f>
        <v/>
      </c>
    </row>
    <row r="31">
      <c r="A31" s="10">
        <f>IF($N31="","",INDEX('반배정'!J$7:J$86,$N31))</f>
        <v/>
      </c>
      <c r="B31" s="10">
        <f>IF($N31="","",INDEX('반배정'!B$7:B$86,$N31))</f>
        <v/>
      </c>
      <c r="C31" s="10">
        <f>IF($N31="","",INDEX('반배정'!C$7:C$86,$N31))</f>
        <v/>
      </c>
      <c r="D31" s="10">
        <f>IF($N31="","",INDEX('반배정'!D$7:D$86,$N31))</f>
        <v/>
      </c>
      <c r="E31" s="10">
        <f>IF($N31="","",INDEX('반배정'!E$7:E$86,$N31))</f>
        <v/>
      </c>
      <c r="F31" s="10">
        <f>IF($N31="","",INDEX('반배정'!G$7:G$86,$N31))</f>
        <v/>
      </c>
      <c r="G31" s="10">
        <f>IF($N31="","",INDEX('반배정'!H$7:H$86,$N31))</f>
        <v/>
      </c>
      <c r="H31" s="36">
        <f>IF($N31="","",INDEX('반배정'!I$7:I$86,$N31))</f>
        <v/>
      </c>
      <c r="I31" s="26">
        <f>IF($N31="","",INDEX('반배정'!O$7:O$86,$N31))</f>
        <v/>
      </c>
      <c r="J31" s="10">
        <f>IF($N31="","",INDEX('반배정'!N$7:N$86,$N31)&amp;"")</f>
        <v/>
      </c>
      <c r="K31" s="10">
        <f>IF($N31="","",INDEX('반배정'!L$7:L$86,$N31))</f>
        <v/>
      </c>
      <c r="L31" s="10">
        <f>IF($N31="","",INDEX('반배정'!P$7:P$86,$N31))</f>
        <v/>
      </c>
      <c r="M31" s="10">
        <f>IFERROR(SMALL('반배정'!$Q$7:$Q$86,25),"")</f>
        <v/>
      </c>
      <c r="N31" s="10">
        <f>IF(M31="","",MATCH(M31,'반배정'!$Q$7:$Q$86,0))</f>
        <v/>
      </c>
    </row>
    <row r="32">
      <c r="A32" s="10">
        <f>IF($N32="","",INDEX('반배정'!J$7:J$86,$N32))</f>
        <v/>
      </c>
      <c r="B32" s="10">
        <f>IF($N32="","",INDEX('반배정'!B$7:B$86,$N32))</f>
        <v/>
      </c>
      <c r="C32" s="10">
        <f>IF($N32="","",INDEX('반배정'!C$7:C$86,$N32))</f>
        <v/>
      </c>
      <c r="D32" s="10">
        <f>IF($N32="","",INDEX('반배정'!D$7:D$86,$N32))</f>
        <v/>
      </c>
      <c r="E32" s="10">
        <f>IF($N32="","",INDEX('반배정'!E$7:E$86,$N32))</f>
        <v/>
      </c>
      <c r="F32" s="10">
        <f>IF($N32="","",INDEX('반배정'!G$7:G$86,$N32))</f>
        <v/>
      </c>
      <c r="G32" s="10">
        <f>IF($N32="","",INDEX('반배정'!H$7:H$86,$N32))</f>
        <v/>
      </c>
      <c r="H32" s="36">
        <f>IF($N32="","",INDEX('반배정'!I$7:I$86,$N32))</f>
        <v/>
      </c>
      <c r="I32" s="26">
        <f>IF($N32="","",INDEX('반배정'!O$7:O$86,$N32))</f>
        <v/>
      </c>
      <c r="J32" s="10">
        <f>IF($N32="","",INDEX('반배정'!N$7:N$86,$N32)&amp;"")</f>
        <v/>
      </c>
      <c r="K32" s="10">
        <f>IF($N32="","",INDEX('반배정'!L$7:L$86,$N32))</f>
        <v/>
      </c>
      <c r="L32" s="10">
        <f>IF($N32="","",INDEX('반배정'!P$7:P$86,$N32))</f>
        <v/>
      </c>
      <c r="M32" s="10">
        <f>IFERROR(SMALL('반배정'!$Q$7:$Q$86,26),"")</f>
        <v/>
      </c>
      <c r="N32" s="10">
        <f>IF(M32="","",MATCH(M32,'반배정'!$Q$7:$Q$86,0))</f>
        <v/>
      </c>
    </row>
    <row r="33">
      <c r="A33" s="10">
        <f>IF($N33="","",INDEX('반배정'!J$7:J$86,$N33))</f>
        <v/>
      </c>
      <c r="B33" s="10">
        <f>IF($N33="","",INDEX('반배정'!B$7:B$86,$N33))</f>
        <v/>
      </c>
      <c r="C33" s="10">
        <f>IF($N33="","",INDEX('반배정'!C$7:C$86,$N33))</f>
        <v/>
      </c>
      <c r="D33" s="10">
        <f>IF($N33="","",INDEX('반배정'!D$7:D$86,$N33))</f>
        <v/>
      </c>
      <c r="E33" s="10">
        <f>IF($N33="","",INDEX('반배정'!E$7:E$86,$N33))</f>
        <v/>
      </c>
      <c r="F33" s="10">
        <f>IF($N33="","",INDEX('반배정'!G$7:G$86,$N33))</f>
        <v/>
      </c>
      <c r="G33" s="10">
        <f>IF($N33="","",INDEX('반배정'!H$7:H$86,$N33))</f>
        <v/>
      </c>
      <c r="H33" s="36">
        <f>IF($N33="","",INDEX('반배정'!I$7:I$86,$N33))</f>
        <v/>
      </c>
      <c r="I33" s="26">
        <f>IF($N33="","",INDEX('반배정'!O$7:O$86,$N33))</f>
        <v/>
      </c>
      <c r="J33" s="10">
        <f>IF($N33="","",INDEX('반배정'!N$7:N$86,$N33)&amp;"")</f>
        <v/>
      </c>
      <c r="K33" s="10">
        <f>IF($N33="","",INDEX('반배정'!L$7:L$86,$N33))</f>
        <v/>
      </c>
      <c r="L33" s="10">
        <f>IF($N33="","",INDEX('반배정'!P$7:P$86,$N33))</f>
        <v/>
      </c>
      <c r="M33" s="10">
        <f>IFERROR(SMALL('반배정'!$Q$7:$Q$86,27),"")</f>
        <v/>
      </c>
      <c r="N33" s="10">
        <f>IF(M33="","",MATCH(M33,'반배정'!$Q$7:$Q$86,0))</f>
        <v/>
      </c>
    </row>
    <row r="34">
      <c r="A34" s="10">
        <f>IF($N34="","",INDEX('반배정'!J$7:J$86,$N34))</f>
        <v/>
      </c>
      <c r="B34" s="10">
        <f>IF($N34="","",INDEX('반배정'!B$7:B$86,$N34))</f>
        <v/>
      </c>
      <c r="C34" s="10">
        <f>IF($N34="","",INDEX('반배정'!C$7:C$86,$N34))</f>
        <v/>
      </c>
      <c r="D34" s="10">
        <f>IF($N34="","",INDEX('반배정'!D$7:D$86,$N34))</f>
        <v/>
      </c>
      <c r="E34" s="10">
        <f>IF($N34="","",INDEX('반배정'!E$7:E$86,$N34))</f>
        <v/>
      </c>
      <c r="F34" s="10">
        <f>IF($N34="","",INDEX('반배정'!G$7:G$86,$N34))</f>
        <v/>
      </c>
      <c r="G34" s="10">
        <f>IF($N34="","",INDEX('반배정'!H$7:H$86,$N34))</f>
        <v/>
      </c>
      <c r="H34" s="36">
        <f>IF($N34="","",INDEX('반배정'!I$7:I$86,$N34))</f>
        <v/>
      </c>
      <c r="I34" s="26">
        <f>IF($N34="","",INDEX('반배정'!O$7:O$86,$N34))</f>
        <v/>
      </c>
      <c r="J34" s="10">
        <f>IF($N34="","",INDEX('반배정'!N$7:N$86,$N34)&amp;"")</f>
        <v/>
      </c>
      <c r="K34" s="10">
        <f>IF($N34="","",INDEX('반배정'!L$7:L$86,$N34))</f>
        <v/>
      </c>
      <c r="L34" s="10">
        <f>IF($N34="","",INDEX('반배정'!P$7:P$86,$N34))</f>
        <v/>
      </c>
      <c r="M34" s="10">
        <f>IFERROR(SMALL('반배정'!$Q$7:$Q$86,28),"")</f>
        <v/>
      </c>
      <c r="N34" s="10">
        <f>IF(M34="","",MATCH(M34,'반배정'!$Q$7:$Q$86,0))</f>
        <v/>
      </c>
    </row>
    <row r="35">
      <c r="A35" s="10">
        <f>IF($N35="","",INDEX('반배정'!J$7:J$86,$N35))</f>
        <v/>
      </c>
      <c r="B35" s="10">
        <f>IF($N35="","",INDEX('반배정'!B$7:B$86,$N35))</f>
        <v/>
      </c>
      <c r="C35" s="10">
        <f>IF($N35="","",INDEX('반배정'!C$7:C$86,$N35))</f>
        <v/>
      </c>
      <c r="D35" s="10">
        <f>IF($N35="","",INDEX('반배정'!D$7:D$86,$N35))</f>
        <v/>
      </c>
      <c r="E35" s="10">
        <f>IF($N35="","",INDEX('반배정'!E$7:E$86,$N35))</f>
        <v/>
      </c>
      <c r="F35" s="10">
        <f>IF($N35="","",INDEX('반배정'!G$7:G$86,$N35))</f>
        <v/>
      </c>
      <c r="G35" s="10">
        <f>IF($N35="","",INDEX('반배정'!H$7:H$86,$N35))</f>
        <v/>
      </c>
      <c r="H35" s="36">
        <f>IF($N35="","",INDEX('반배정'!I$7:I$86,$N35))</f>
        <v/>
      </c>
      <c r="I35" s="26">
        <f>IF($N35="","",INDEX('반배정'!O$7:O$86,$N35))</f>
        <v/>
      </c>
      <c r="J35" s="10">
        <f>IF($N35="","",INDEX('반배정'!N$7:N$86,$N35)&amp;"")</f>
        <v/>
      </c>
      <c r="K35" s="10">
        <f>IF($N35="","",INDEX('반배정'!L$7:L$86,$N35))</f>
        <v/>
      </c>
      <c r="L35" s="10">
        <f>IF($N35="","",INDEX('반배정'!P$7:P$86,$N35))</f>
        <v/>
      </c>
      <c r="M35" s="10">
        <f>IFERROR(SMALL('반배정'!$Q$7:$Q$86,29),"")</f>
        <v/>
      </c>
      <c r="N35" s="10">
        <f>IF(M35="","",MATCH(M35,'반배정'!$Q$7:$Q$86,0))</f>
        <v/>
      </c>
    </row>
    <row r="36">
      <c r="A36" s="10">
        <f>IF($N36="","",INDEX('반배정'!J$7:J$86,$N36))</f>
        <v/>
      </c>
      <c r="B36" s="10">
        <f>IF($N36="","",INDEX('반배정'!B$7:B$86,$N36))</f>
        <v/>
      </c>
      <c r="C36" s="10">
        <f>IF($N36="","",INDEX('반배정'!C$7:C$86,$N36))</f>
        <v/>
      </c>
      <c r="D36" s="10">
        <f>IF($N36="","",INDEX('반배정'!D$7:D$86,$N36))</f>
        <v/>
      </c>
      <c r="E36" s="10">
        <f>IF($N36="","",INDEX('반배정'!E$7:E$86,$N36))</f>
        <v/>
      </c>
      <c r="F36" s="10">
        <f>IF($N36="","",INDEX('반배정'!G$7:G$86,$N36))</f>
        <v/>
      </c>
      <c r="G36" s="10">
        <f>IF($N36="","",INDEX('반배정'!H$7:H$86,$N36))</f>
        <v/>
      </c>
      <c r="H36" s="36">
        <f>IF($N36="","",INDEX('반배정'!I$7:I$86,$N36))</f>
        <v/>
      </c>
      <c r="I36" s="26">
        <f>IF($N36="","",INDEX('반배정'!O$7:O$86,$N36))</f>
        <v/>
      </c>
      <c r="J36" s="10">
        <f>IF($N36="","",INDEX('반배정'!N$7:N$86,$N36)&amp;"")</f>
        <v/>
      </c>
      <c r="K36" s="10">
        <f>IF($N36="","",INDEX('반배정'!L$7:L$86,$N36))</f>
        <v/>
      </c>
      <c r="L36" s="10">
        <f>IF($N36="","",INDEX('반배정'!P$7:P$86,$N36))</f>
        <v/>
      </c>
      <c r="M36" s="10">
        <f>IFERROR(SMALL('반배정'!$Q$7:$Q$86,30),"")</f>
        <v/>
      </c>
      <c r="N36" s="10">
        <f>IF(M36="","",MATCH(M36,'반배정'!$Q$7:$Q$86,0))</f>
        <v/>
      </c>
    </row>
    <row r="37">
      <c r="A37" s="10">
        <f>IF($N37="","",INDEX('반배정'!J$7:J$86,$N37))</f>
        <v/>
      </c>
      <c r="B37" s="10">
        <f>IF($N37="","",INDEX('반배정'!B$7:B$86,$N37))</f>
        <v/>
      </c>
      <c r="C37" s="10">
        <f>IF($N37="","",INDEX('반배정'!C$7:C$86,$N37))</f>
        <v/>
      </c>
      <c r="D37" s="10">
        <f>IF($N37="","",INDEX('반배정'!D$7:D$86,$N37))</f>
        <v/>
      </c>
      <c r="E37" s="10">
        <f>IF($N37="","",INDEX('반배정'!E$7:E$86,$N37))</f>
        <v/>
      </c>
      <c r="F37" s="10">
        <f>IF($N37="","",INDEX('반배정'!G$7:G$86,$N37))</f>
        <v/>
      </c>
      <c r="G37" s="10">
        <f>IF($N37="","",INDEX('반배정'!H$7:H$86,$N37))</f>
        <v/>
      </c>
      <c r="H37" s="36">
        <f>IF($N37="","",INDEX('반배정'!I$7:I$86,$N37))</f>
        <v/>
      </c>
      <c r="I37" s="26">
        <f>IF($N37="","",INDEX('반배정'!O$7:O$86,$N37))</f>
        <v/>
      </c>
      <c r="J37" s="10">
        <f>IF($N37="","",INDEX('반배정'!N$7:N$86,$N37)&amp;"")</f>
        <v/>
      </c>
      <c r="K37" s="10">
        <f>IF($N37="","",INDEX('반배정'!L$7:L$86,$N37))</f>
        <v/>
      </c>
      <c r="L37" s="10">
        <f>IF($N37="","",INDEX('반배정'!P$7:P$86,$N37))</f>
        <v/>
      </c>
      <c r="M37" s="10">
        <f>IFERROR(SMALL('반배정'!$Q$7:$Q$86,31),"")</f>
        <v/>
      </c>
      <c r="N37" s="10">
        <f>IF(M37="","",MATCH(M37,'반배정'!$Q$7:$Q$86,0))</f>
        <v/>
      </c>
    </row>
    <row r="38">
      <c r="A38" s="10">
        <f>IF($N38="","",INDEX('반배정'!J$7:J$86,$N38))</f>
        <v/>
      </c>
      <c r="B38" s="10">
        <f>IF($N38="","",INDEX('반배정'!B$7:B$86,$N38))</f>
        <v/>
      </c>
      <c r="C38" s="10">
        <f>IF($N38="","",INDEX('반배정'!C$7:C$86,$N38))</f>
        <v/>
      </c>
      <c r="D38" s="10">
        <f>IF($N38="","",INDEX('반배정'!D$7:D$86,$N38))</f>
        <v/>
      </c>
      <c r="E38" s="10">
        <f>IF($N38="","",INDEX('반배정'!E$7:E$86,$N38))</f>
        <v/>
      </c>
      <c r="F38" s="10">
        <f>IF($N38="","",INDEX('반배정'!G$7:G$86,$N38))</f>
        <v/>
      </c>
      <c r="G38" s="10">
        <f>IF($N38="","",INDEX('반배정'!H$7:H$86,$N38))</f>
        <v/>
      </c>
      <c r="H38" s="36">
        <f>IF($N38="","",INDEX('반배정'!I$7:I$86,$N38))</f>
        <v/>
      </c>
      <c r="I38" s="26">
        <f>IF($N38="","",INDEX('반배정'!O$7:O$86,$N38))</f>
        <v/>
      </c>
      <c r="J38" s="10">
        <f>IF($N38="","",INDEX('반배정'!N$7:N$86,$N38)&amp;"")</f>
        <v/>
      </c>
      <c r="K38" s="10">
        <f>IF($N38="","",INDEX('반배정'!L$7:L$86,$N38))</f>
        <v/>
      </c>
      <c r="L38" s="10">
        <f>IF($N38="","",INDEX('반배정'!P$7:P$86,$N38))</f>
        <v/>
      </c>
      <c r="M38" s="10">
        <f>IFERROR(SMALL('반배정'!$Q$7:$Q$86,32),"")</f>
        <v/>
      </c>
      <c r="N38" s="10">
        <f>IF(M38="","",MATCH(M38,'반배정'!$Q$7:$Q$86,0))</f>
        <v/>
      </c>
    </row>
    <row r="39">
      <c r="A39" s="10">
        <f>IF($N39="","",INDEX('반배정'!J$7:J$86,$N39))</f>
        <v/>
      </c>
      <c r="B39" s="10">
        <f>IF($N39="","",INDEX('반배정'!B$7:B$86,$N39))</f>
        <v/>
      </c>
      <c r="C39" s="10">
        <f>IF($N39="","",INDEX('반배정'!C$7:C$86,$N39))</f>
        <v/>
      </c>
      <c r="D39" s="10">
        <f>IF($N39="","",INDEX('반배정'!D$7:D$86,$N39))</f>
        <v/>
      </c>
      <c r="E39" s="10">
        <f>IF($N39="","",INDEX('반배정'!E$7:E$86,$N39))</f>
        <v/>
      </c>
      <c r="F39" s="10">
        <f>IF($N39="","",INDEX('반배정'!G$7:G$86,$N39))</f>
        <v/>
      </c>
      <c r="G39" s="10">
        <f>IF($N39="","",INDEX('반배정'!H$7:H$86,$N39))</f>
        <v/>
      </c>
      <c r="H39" s="36">
        <f>IF($N39="","",INDEX('반배정'!I$7:I$86,$N39))</f>
        <v/>
      </c>
      <c r="I39" s="26">
        <f>IF($N39="","",INDEX('반배정'!O$7:O$86,$N39))</f>
        <v/>
      </c>
      <c r="J39" s="10">
        <f>IF($N39="","",INDEX('반배정'!N$7:N$86,$N39)&amp;"")</f>
        <v/>
      </c>
      <c r="K39" s="10">
        <f>IF($N39="","",INDEX('반배정'!L$7:L$86,$N39))</f>
        <v/>
      </c>
      <c r="L39" s="10">
        <f>IF($N39="","",INDEX('반배정'!P$7:P$86,$N39))</f>
        <v/>
      </c>
      <c r="M39" s="10">
        <f>IFERROR(SMALL('반배정'!$Q$7:$Q$86,33),"")</f>
        <v/>
      </c>
      <c r="N39" s="10">
        <f>IF(M39="","",MATCH(M39,'반배정'!$Q$7:$Q$86,0))</f>
        <v/>
      </c>
    </row>
    <row r="40">
      <c r="A40" s="10">
        <f>IF($N40="","",INDEX('반배정'!J$7:J$86,$N40))</f>
        <v/>
      </c>
      <c r="B40" s="10">
        <f>IF($N40="","",INDEX('반배정'!B$7:B$86,$N40))</f>
        <v/>
      </c>
      <c r="C40" s="10">
        <f>IF($N40="","",INDEX('반배정'!C$7:C$86,$N40))</f>
        <v/>
      </c>
      <c r="D40" s="10">
        <f>IF($N40="","",INDEX('반배정'!D$7:D$86,$N40))</f>
        <v/>
      </c>
      <c r="E40" s="10">
        <f>IF($N40="","",INDEX('반배정'!E$7:E$86,$N40))</f>
        <v/>
      </c>
      <c r="F40" s="10">
        <f>IF($N40="","",INDEX('반배정'!G$7:G$86,$N40))</f>
        <v/>
      </c>
      <c r="G40" s="10">
        <f>IF($N40="","",INDEX('반배정'!H$7:H$86,$N40))</f>
        <v/>
      </c>
      <c r="H40" s="36">
        <f>IF($N40="","",INDEX('반배정'!I$7:I$86,$N40))</f>
        <v/>
      </c>
      <c r="I40" s="26">
        <f>IF($N40="","",INDEX('반배정'!O$7:O$86,$N40))</f>
        <v/>
      </c>
      <c r="J40" s="10">
        <f>IF($N40="","",INDEX('반배정'!N$7:N$86,$N40)&amp;"")</f>
        <v/>
      </c>
      <c r="K40" s="10">
        <f>IF($N40="","",INDEX('반배정'!L$7:L$86,$N40))</f>
        <v/>
      </c>
      <c r="L40" s="10">
        <f>IF($N40="","",INDEX('반배정'!P$7:P$86,$N40))</f>
        <v/>
      </c>
      <c r="M40" s="10">
        <f>IFERROR(SMALL('반배정'!$Q$7:$Q$86,34),"")</f>
        <v/>
      </c>
      <c r="N40" s="10">
        <f>IF(M40="","",MATCH(M40,'반배정'!$Q$7:$Q$86,0))</f>
        <v/>
      </c>
    </row>
    <row r="41">
      <c r="A41" s="10">
        <f>IF($N41="","",INDEX('반배정'!J$7:J$86,$N41))</f>
        <v/>
      </c>
      <c r="B41" s="10">
        <f>IF($N41="","",INDEX('반배정'!B$7:B$86,$N41))</f>
        <v/>
      </c>
      <c r="C41" s="10">
        <f>IF($N41="","",INDEX('반배정'!C$7:C$86,$N41))</f>
        <v/>
      </c>
      <c r="D41" s="10">
        <f>IF($N41="","",INDEX('반배정'!D$7:D$86,$N41))</f>
        <v/>
      </c>
      <c r="E41" s="10">
        <f>IF($N41="","",INDEX('반배정'!E$7:E$86,$N41))</f>
        <v/>
      </c>
      <c r="F41" s="10">
        <f>IF($N41="","",INDEX('반배정'!G$7:G$86,$N41))</f>
        <v/>
      </c>
      <c r="G41" s="10">
        <f>IF($N41="","",INDEX('반배정'!H$7:H$86,$N41))</f>
        <v/>
      </c>
      <c r="H41" s="36">
        <f>IF($N41="","",INDEX('반배정'!I$7:I$86,$N41))</f>
        <v/>
      </c>
      <c r="I41" s="26">
        <f>IF($N41="","",INDEX('반배정'!O$7:O$86,$N41))</f>
        <v/>
      </c>
      <c r="J41" s="10">
        <f>IF($N41="","",INDEX('반배정'!N$7:N$86,$N41)&amp;"")</f>
        <v/>
      </c>
      <c r="K41" s="10">
        <f>IF($N41="","",INDEX('반배정'!L$7:L$86,$N41))</f>
        <v/>
      </c>
      <c r="L41" s="10">
        <f>IF($N41="","",INDEX('반배정'!P$7:P$86,$N41))</f>
        <v/>
      </c>
      <c r="M41" s="10">
        <f>IFERROR(SMALL('반배정'!$Q$7:$Q$86,35),"")</f>
        <v/>
      </c>
      <c r="N41" s="10">
        <f>IF(M41="","",MATCH(M41,'반배정'!$Q$7:$Q$86,0))</f>
        <v/>
      </c>
    </row>
    <row r="42">
      <c r="A42" s="10">
        <f>IF($N42="","",INDEX('반배정'!J$7:J$86,$N42))</f>
        <v/>
      </c>
      <c r="B42" s="10">
        <f>IF($N42="","",INDEX('반배정'!B$7:B$86,$N42))</f>
        <v/>
      </c>
      <c r="C42" s="10">
        <f>IF($N42="","",INDEX('반배정'!C$7:C$86,$N42))</f>
        <v/>
      </c>
      <c r="D42" s="10">
        <f>IF($N42="","",INDEX('반배정'!D$7:D$86,$N42))</f>
        <v/>
      </c>
      <c r="E42" s="10">
        <f>IF($N42="","",INDEX('반배정'!E$7:E$86,$N42))</f>
        <v/>
      </c>
      <c r="F42" s="10">
        <f>IF($N42="","",INDEX('반배정'!G$7:G$86,$N42))</f>
        <v/>
      </c>
      <c r="G42" s="10">
        <f>IF($N42="","",INDEX('반배정'!H$7:H$86,$N42))</f>
        <v/>
      </c>
      <c r="H42" s="36">
        <f>IF($N42="","",INDEX('반배정'!I$7:I$86,$N42))</f>
        <v/>
      </c>
      <c r="I42" s="26">
        <f>IF($N42="","",INDEX('반배정'!O$7:O$86,$N42))</f>
        <v/>
      </c>
      <c r="J42" s="10">
        <f>IF($N42="","",INDEX('반배정'!N$7:N$86,$N42)&amp;"")</f>
        <v/>
      </c>
      <c r="K42" s="10">
        <f>IF($N42="","",INDEX('반배정'!L$7:L$86,$N42))</f>
        <v/>
      </c>
      <c r="L42" s="10">
        <f>IF($N42="","",INDEX('반배정'!P$7:P$86,$N42))</f>
        <v/>
      </c>
      <c r="M42" s="10">
        <f>IFERROR(SMALL('반배정'!$Q$7:$Q$86,36),"")</f>
        <v/>
      </c>
      <c r="N42" s="10">
        <f>IF(M42="","",MATCH(M42,'반배정'!$Q$7:$Q$86,0))</f>
        <v/>
      </c>
    </row>
    <row r="43">
      <c r="A43" s="10">
        <f>IF($N43="","",INDEX('반배정'!J$7:J$86,$N43))</f>
        <v/>
      </c>
      <c r="B43" s="10">
        <f>IF($N43="","",INDEX('반배정'!B$7:B$86,$N43))</f>
        <v/>
      </c>
      <c r="C43" s="10">
        <f>IF($N43="","",INDEX('반배정'!C$7:C$86,$N43))</f>
        <v/>
      </c>
      <c r="D43" s="10">
        <f>IF($N43="","",INDEX('반배정'!D$7:D$86,$N43))</f>
        <v/>
      </c>
      <c r="E43" s="10">
        <f>IF($N43="","",INDEX('반배정'!E$7:E$86,$N43))</f>
        <v/>
      </c>
      <c r="F43" s="10">
        <f>IF($N43="","",INDEX('반배정'!G$7:G$86,$N43))</f>
        <v/>
      </c>
      <c r="G43" s="10">
        <f>IF($N43="","",INDEX('반배정'!H$7:H$86,$N43))</f>
        <v/>
      </c>
      <c r="H43" s="36">
        <f>IF($N43="","",INDEX('반배정'!I$7:I$86,$N43))</f>
        <v/>
      </c>
      <c r="I43" s="26">
        <f>IF($N43="","",INDEX('반배정'!O$7:O$86,$N43))</f>
        <v/>
      </c>
      <c r="J43" s="10">
        <f>IF($N43="","",INDEX('반배정'!N$7:N$86,$N43)&amp;"")</f>
        <v/>
      </c>
      <c r="K43" s="10">
        <f>IF($N43="","",INDEX('반배정'!L$7:L$86,$N43))</f>
        <v/>
      </c>
      <c r="L43" s="10">
        <f>IF($N43="","",INDEX('반배정'!P$7:P$86,$N43))</f>
        <v/>
      </c>
      <c r="M43" s="10">
        <f>IFERROR(SMALL('반배정'!$Q$7:$Q$86,37),"")</f>
        <v/>
      </c>
      <c r="N43" s="10">
        <f>IF(M43="","",MATCH(M43,'반배정'!$Q$7:$Q$86,0))</f>
        <v/>
      </c>
    </row>
    <row r="44">
      <c r="A44" s="10">
        <f>IF($N44="","",INDEX('반배정'!J$7:J$86,$N44))</f>
        <v/>
      </c>
      <c r="B44" s="10">
        <f>IF($N44="","",INDEX('반배정'!B$7:B$86,$N44))</f>
        <v/>
      </c>
      <c r="C44" s="10">
        <f>IF($N44="","",INDEX('반배정'!C$7:C$86,$N44))</f>
        <v/>
      </c>
      <c r="D44" s="10">
        <f>IF($N44="","",INDEX('반배정'!D$7:D$86,$N44))</f>
        <v/>
      </c>
      <c r="E44" s="10">
        <f>IF($N44="","",INDEX('반배정'!E$7:E$86,$N44))</f>
        <v/>
      </c>
      <c r="F44" s="10">
        <f>IF($N44="","",INDEX('반배정'!G$7:G$86,$N44))</f>
        <v/>
      </c>
      <c r="G44" s="10">
        <f>IF($N44="","",INDEX('반배정'!H$7:H$86,$N44))</f>
        <v/>
      </c>
      <c r="H44" s="36">
        <f>IF($N44="","",INDEX('반배정'!I$7:I$86,$N44))</f>
        <v/>
      </c>
      <c r="I44" s="26">
        <f>IF($N44="","",INDEX('반배정'!O$7:O$86,$N44))</f>
        <v/>
      </c>
      <c r="J44" s="10">
        <f>IF($N44="","",INDEX('반배정'!N$7:N$86,$N44)&amp;"")</f>
        <v/>
      </c>
      <c r="K44" s="10">
        <f>IF($N44="","",INDEX('반배정'!L$7:L$86,$N44))</f>
        <v/>
      </c>
      <c r="L44" s="10">
        <f>IF($N44="","",INDEX('반배정'!P$7:P$86,$N44))</f>
        <v/>
      </c>
      <c r="M44" s="10">
        <f>IFERROR(SMALL('반배정'!$Q$7:$Q$86,38),"")</f>
        <v/>
      </c>
      <c r="N44" s="10">
        <f>IF(M44="","",MATCH(M44,'반배정'!$Q$7:$Q$86,0))</f>
        <v/>
      </c>
    </row>
    <row r="45">
      <c r="A45" s="10">
        <f>IF($N45="","",INDEX('반배정'!J$7:J$86,$N45))</f>
        <v/>
      </c>
      <c r="B45" s="10">
        <f>IF($N45="","",INDEX('반배정'!B$7:B$86,$N45))</f>
        <v/>
      </c>
      <c r="C45" s="10">
        <f>IF($N45="","",INDEX('반배정'!C$7:C$86,$N45))</f>
        <v/>
      </c>
      <c r="D45" s="10">
        <f>IF($N45="","",INDEX('반배정'!D$7:D$86,$N45))</f>
        <v/>
      </c>
      <c r="E45" s="10">
        <f>IF($N45="","",INDEX('반배정'!E$7:E$86,$N45))</f>
        <v/>
      </c>
      <c r="F45" s="10">
        <f>IF($N45="","",INDEX('반배정'!G$7:G$86,$N45))</f>
        <v/>
      </c>
      <c r="G45" s="10">
        <f>IF($N45="","",INDEX('반배정'!H$7:H$86,$N45))</f>
        <v/>
      </c>
      <c r="H45" s="36">
        <f>IF($N45="","",INDEX('반배정'!I$7:I$86,$N45))</f>
        <v/>
      </c>
      <c r="I45" s="26">
        <f>IF($N45="","",INDEX('반배정'!O$7:O$86,$N45))</f>
        <v/>
      </c>
      <c r="J45" s="10">
        <f>IF($N45="","",INDEX('반배정'!N$7:N$86,$N45)&amp;"")</f>
        <v/>
      </c>
      <c r="K45" s="10">
        <f>IF($N45="","",INDEX('반배정'!L$7:L$86,$N45))</f>
        <v/>
      </c>
      <c r="L45" s="10">
        <f>IF($N45="","",INDEX('반배정'!P$7:P$86,$N45))</f>
        <v/>
      </c>
      <c r="M45" s="10">
        <f>IFERROR(SMALL('반배정'!$Q$7:$Q$86,39),"")</f>
        <v/>
      </c>
      <c r="N45" s="10">
        <f>IF(M45="","",MATCH(M45,'반배정'!$Q$7:$Q$86,0))</f>
        <v/>
      </c>
    </row>
    <row r="46">
      <c r="A46" s="10">
        <f>IF($N46="","",INDEX('반배정'!J$7:J$86,$N46))</f>
        <v/>
      </c>
      <c r="B46" s="10">
        <f>IF($N46="","",INDEX('반배정'!B$7:B$86,$N46))</f>
        <v/>
      </c>
      <c r="C46" s="10">
        <f>IF($N46="","",INDEX('반배정'!C$7:C$86,$N46))</f>
        <v/>
      </c>
      <c r="D46" s="10">
        <f>IF($N46="","",INDEX('반배정'!D$7:D$86,$N46))</f>
        <v/>
      </c>
      <c r="E46" s="10">
        <f>IF($N46="","",INDEX('반배정'!E$7:E$86,$N46))</f>
        <v/>
      </c>
      <c r="F46" s="10">
        <f>IF($N46="","",INDEX('반배정'!G$7:G$86,$N46))</f>
        <v/>
      </c>
      <c r="G46" s="10">
        <f>IF($N46="","",INDEX('반배정'!H$7:H$86,$N46))</f>
        <v/>
      </c>
      <c r="H46" s="36">
        <f>IF($N46="","",INDEX('반배정'!I$7:I$86,$N46))</f>
        <v/>
      </c>
      <c r="I46" s="26">
        <f>IF($N46="","",INDEX('반배정'!O$7:O$86,$N46))</f>
        <v/>
      </c>
      <c r="J46" s="10">
        <f>IF($N46="","",INDEX('반배정'!N$7:N$86,$N46)&amp;"")</f>
        <v/>
      </c>
      <c r="K46" s="10">
        <f>IF($N46="","",INDEX('반배정'!L$7:L$86,$N46))</f>
        <v/>
      </c>
      <c r="L46" s="10">
        <f>IF($N46="","",INDEX('반배정'!P$7:P$86,$N46))</f>
        <v/>
      </c>
      <c r="M46" s="10">
        <f>IFERROR(SMALL('반배정'!$Q$7:$Q$86,40),"")</f>
        <v/>
      </c>
      <c r="N46" s="10">
        <f>IF(M46="","",MATCH(M46,'반배정'!$Q$7:$Q$86,0))</f>
        <v/>
      </c>
    </row>
    <row r="47">
      <c r="A47" s="10">
        <f>IF($N47="","",INDEX('반배정'!J$7:J$86,$N47))</f>
        <v/>
      </c>
      <c r="B47" s="10">
        <f>IF($N47="","",INDEX('반배정'!B$7:B$86,$N47))</f>
        <v/>
      </c>
      <c r="C47" s="10">
        <f>IF($N47="","",INDEX('반배정'!C$7:C$86,$N47))</f>
        <v/>
      </c>
      <c r="D47" s="10">
        <f>IF($N47="","",INDEX('반배정'!D$7:D$86,$N47))</f>
        <v/>
      </c>
      <c r="E47" s="10">
        <f>IF($N47="","",INDEX('반배정'!E$7:E$86,$N47))</f>
        <v/>
      </c>
      <c r="F47" s="10">
        <f>IF($N47="","",INDEX('반배정'!G$7:G$86,$N47))</f>
        <v/>
      </c>
      <c r="G47" s="10">
        <f>IF($N47="","",INDEX('반배정'!H$7:H$86,$N47))</f>
        <v/>
      </c>
      <c r="H47" s="36">
        <f>IF($N47="","",INDEX('반배정'!I$7:I$86,$N47))</f>
        <v/>
      </c>
      <c r="I47" s="26">
        <f>IF($N47="","",INDEX('반배정'!O$7:O$86,$N47))</f>
        <v/>
      </c>
      <c r="J47" s="10">
        <f>IF($N47="","",INDEX('반배정'!N$7:N$86,$N47)&amp;"")</f>
        <v/>
      </c>
      <c r="K47" s="10">
        <f>IF($N47="","",INDEX('반배정'!L$7:L$86,$N47))</f>
        <v/>
      </c>
      <c r="L47" s="10">
        <f>IF($N47="","",INDEX('반배정'!P$7:P$86,$N47))</f>
        <v/>
      </c>
      <c r="M47" s="10">
        <f>IFERROR(SMALL('반배정'!$Q$7:$Q$86,41),"")</f>
        <v/>
      </c>
      <c r="N47" s="10">
        <f>IF(M47="","",MATCH(M47,'반배정'!$Q$7:$Q$86,0))</f>
        <v/>
      </c>
    </row>
    <row r="48">
      <c r="A48" s="10">
        <f>IF($N48="","",INDEX('반배정'!J$7:J$86,$N48))</f>
        <v/>
      </c>
      <c r="B48" s="10">
        <f>IF($N48="","",INDEX('반배정'!B$7:B$86,$N48))</f>
        <v/>
      </c>
      <c r="C48" s="10">
        <f>IF($N48="","",INDEX('반배정'!C$7:C$86,$N48))</f>
        <v/>
      </c>
      <c r="D48" s="10">
        <f>IF($N48="","",INDEX('반배정'!D$7:D$86,$N48))</f>
        <v/>
      </c>
      <c r="E48" s="10">
        <f>IF($N48="","",INDEX('반배정'!E$7:E$86,$N48))</f>
        <v/>
      </c>
      <c r="F48" s="10">
        <f>IF($N48="","",INDEX('반배정'!G$7:G$86,$N48))</f>
        <v/>
      </c>
      <c r="G48" s="10">
        <f>IF($N48="","",INDEX('반배정'!H$7:H$86,$N48))</f>
        <v/>
      </c>
      <c r="H48" s="36">
        <f>IF($N48="","",INDEX('반배정'!I$7:I$86,$N48))</f>
        <v/>
      </c>
      <c r="I48" s="26">
        <f>IF($N48="","",INDEX('반배정'!O$7:O$86,$N48))</f>
        <v/>
      </c>
      <c r="J48" s="10">
        <f>IF($N48="","",INDEX('반배정'!N$7:N$86,$N48)&amp;"")</f>
        <v/>
      </c>
      <c r="K48" s="10">
        <f>IF($N48="","",INDEX('반배정'!L$7:L$86,$N48))</f>
        <v/>
      </c>
      <c r="L48" s="10">
        <f>IF($N48="","",INDEX('반배정'!P$7:P$86,$N48))</f>
        <v/>
      </c>
      <c r="M48" s="10">
        <f>IFERROR(SMALL('반배정'!$Q$7:$Q$86,42),"")</f>
        <v/>
      </c>
      <c r="N48" s="10">
        <f>IF(M48="","",MATCH(M48,'반배정'!$Q$7:$Q$86,0))</f>
        <v/>
      </c>
    </row>
    <row r="49">
      <c r="A49" s="10">
        <f>IF($N49="","",INDEX('반배정'!J$7:J$86,$N49))</f>
        <v/>
      </c>
      <c r="B49" s="10">
        <f>IF($N49="","",INDEX('반배정'!B$7:B$86,$N49))</f>
        <v/>
      </c>
      <c r="C49" s="10">
        <f>IF($N49="","",INDEX('반배정'!C$7:C$86,$N49))</f>
        <v/>
      </c>
      <c r="D49" s="10">
        <f>IF($N49="","",INDEX('반배정'!D$7:D$86,$N49))</f>
        <v/>
      </c>
      <c r="E49" s="10">
        <f>IF($N49="","",INDEX('반배정'!E$7:E$86,$N49))</f>
        <v/>
      </c>
      <c r="F49" s="10">
        <f>IF($N49="","",INDEX('반배정'!G$7:G$86,$N49))</f>
        <v/>
      </c>
      <c r="G49" s="10">
        <f>IF($N49="","",INDEX('반배정'!H$7:H$86,$N49))</f>
        <v/>
      </c>
      <c r="H49" s="36">
        <f>IF($N49="","",INDEX('반배정'!I$7:I$86,$N49))</f>
        <v/>
      </c>
      <c r="I49" s="26">
        <f>IF($N49="","",INDEX('반배정'!O$7:O$86,$N49))</f>
        <v/>
      </c>
      <c r="J49" s="10">
        <f>IF($N49="","",INDEX('반배정'!N$7:N$86,$N49)&amp;"")</f>
        <v/>
      </c>
      <c r="K49" s="10">
        <f>IF($N49="","",INDEX('반배정'!L$7:L$86,$N49))</f>
        <v/>
      </c>
      <c r="L49" s="10">
        <f>IF($N49="","",INDEX('반배정'!P$7:P$86,$N49))</f>
        <v/>
      </c>
      <c r="M49" s="10">
        <f>IFERROR(SMALL('반배정'!$Q$7:$Q$86,43),"")</f>
        <v/>
      </c>
      <c r="N49" s="10">
        <f>IF(M49="","",MATCH(M49,'반배정'!$Q$7:$Q$86,0))</f>
        <v/>
      </c>
    </row>
    <row r="50">
      <c r="A50" s="10">
        <f>IF($N50="","",INDEX('반배정'!J$7:J$86,$N50))</f>
        <v/>
      </c>
      <c r="B50" s="10">
        <f>IF($N50="","",INDEX('반배정'!B$7:B$86,$N50))</f>
        <v/>
      </c>
      <c r="C50" s="10">
        <f>IF($N50="","",INDEX('반배정'!C$7:C$86,$N50))</f>
        <v/>
      </c>
      <c r="D50" s="10">
        <f>IF($N50="","",INDEX('반배정'!D$7:D$86,$N50))</f>
        <v/>
      </c>
      <c r="E50" s="10">
        <f>IF($N50="","",INDEX('반배정'!E$7:E$86,$N50))</f>
        <v/>
      </c>
      <c r="F50" s="10">
        <f>IF($N50="","",INDEX('반배정'!G$7:G$86,$N50))</f>
        <v/>
      </c>
      <c r="G50" s="10">
        <f>IF($N50="","",INDEX('반배정'!H$7:H$86,$N50))</f>
        <v/>
      </c>
      <c r="H50" s="36">
        <f>IF($N50="","",INDEX('반배정'!I$7:I$86,$N50))</f>
        <v/>
      </c>
      <c r="I50" s="26">
        <f>IF($N50="","",INDEX('반배정'!O$7:O$86,$N50))</f>
        <v/>
      </c>
      <c r="J50" s="10">
        <f>IF($N50="","",INDEX('반배정'!N$7:N$86,$N50)&amp;"")</f>
        <v/>
      </c>
      <c r="K50" s="10">
        <f>IF($N50="","",INDEX('반배정'!L$7:L$86,$N50))</f>
        <v/>
      </c>
      <c r="L50" s="10">
        <f>IF($N50="","",INDEX('반배정'!P$7:P$86,$N50))</f>
        <v/>
      </c>
      <c r="M50" s="10">
        <f>IFERROR(SMALL('반배정'!$Q$7:$Q$86,44),"")</f>
        <v/>
      </c>
      <c r="N50" s="10">
        <f>IF(M50="","",MATCH(M50,'반배정'!$Q$7:$Q$86,0))</f>
        <v/>
      </c>
    </row>
    <row r="51">
      <c r="A51" s="10">
        <f>IF($N51="","",INDEX('반배정'!J$7:J$86,$N51))</f>
        <v/>
      </c>
      <c r="B51" s="10">
        <f>IF($N51="","",INDEX('반배정'!B$7:B$86,$N51))</f>
        <v/>
      </c>
      <c r="C51" s="10">
        <f>IF($N51="","",INDEX('반배정'!C$7:C$86,$N51))</f>
        <v/>
      </c>
      <c r="D51" s="10">
        <f>IF($N51="","",INDEX('반배정'!D$7:D$86,$N51))</f>
        <v/>
      </c>
      <c r="E51" s="10">
        <f>IF($N51="","",INDEX('반배정'!E$7:E$86,$N51))</f>
        <v/>
      </c>
      <c r="F51" s="10">
        <f>IF($N51="","",INDEX('반배정'!G$7:G$86,$N51))</f>
        <v/>
      </c>
      <c r="G51" s="10">
        <f>IF($N51="","",INDEX('반배정'!H$7:H$86,$N51))</f>
        <v/>
      </c>
      <c r="H51" s="36">
        <f>IF($N51="","",INDEX('반배정'!I$7:I$86,$N51))</f>
        <v/>
      </c>
      <c r="I51" s="26">
        <f>IF($N51="","",INDEX('반배정'!O$7:O$86,$N51))</f>
        <v/>
      </c>
      <c r="J51" s="10">
        <f>IF($N51="","",INDEX('반배정'!N$7:N$86,$N51)&amp;"")</f>
        <v/>
      </c>
      <c r="K51" s="10">
        <f>IF($N51="","",INDEX('반배정'!L$7:L$86,$N51))</f>
        <v/>
      </c>
      <c r="L51" s="10">
        <f>IF($N51="","",INDEX('반배정'!P$7:P$86,$N51))</f>
        <v/>
      </c>
      <c r="M51" s="10">
        <f>IFERROR(SMALL('반배정'!$Q$7:$Q$86,45),"")</f>
        <v/>
      </c>
      <c r="N51" s="10">
        <f>IF(M51="","",MATCH(M51,'반배정'!$Q$7:$Q$86,0))</f>
        <v/>
      </c>
    </row>
    <row r="52">
      <c r="A52" s="10">
        <f>IF($N52="","",INDEX('반배정'!J$7:J$86,$N52))</f>
        <v/>
      </c>
      <c r="B52" s="10">
        <f>IF($N52="","",INDEX('반배정'!B$7:B$86,$N52))</f>
        <v/>
      </c>
      <c r="C52" s="10">
        <f>IF($N52="","",INDEX('반배정'!C$7:C$86,$N52))</f>
        <v/>
      </c>
      <c r="D52" s="10">
        <f>IF($N52="","",INDEX('반배정'!D$7:D$86,$N52))</f>
        <v/>
      </c>
      <c r="E52" s="10">
        <f>IF($N52="","",INDEX('반배정'!E$7:E$86,$N52))</f>
        <v/>
      </c>
      <c r="F52" s="10">
        <f>IF($N52="","",INDEX('반배정'!G$7:G$86,$N52))</f>
        <v/>
      </c>
      <c r="G52" s="10">
        <f>IF($N52="","",INDEX('반배정'!H$7:H$86,$N52))</f>
        <v/>
      </c>
      <c r="H52" s="36">
        <f>IF($N52="","",INDEX('반배정'!I$7:I$86,$N52))</f>
        <v/>
      </c>
      <c r="I52" s="26">
        <f>IF($N52="","",INDEX('반배정'!O$7:O$86,$N52))</f>
        <v/>
      </c>
      <c r="J52" s="10">
        <f>IF($N52="","",INDEX('반배정'!N$7:N$86,$N52)&amp;"")</f>
        <v/>
      </c>
      <c r="K52" s="10">
        <f>IF($N52="","",INDEX('반배정'!L$7:L$86,$N52))</f>
        <v/>
      </c>
      <c r="L52" s="10">
        <f>IF($N52="","",INDEX('반배정'!P$7:P$86,$N52))</f>
        <v/>
      </c>
      <c r="M52" s="10">
        <f>IFERROR(SMALL('반배정'!$Q$7:$Q$86,46),"")</f>
        <v/>
      </c>
      <c r="N52" s="10">
        <f>IF(M52="","",MATCH(M52,'반배정'!$Q$7:$Q$86,0))</f>
        <v/>
      </c>
    </row>
    <row r="53">
      <c r="A53" s="10">
        <f>IF($N53="","",INDEX('반배정'!J$7:J$86,$N53))</f>
        <v/>
      </c>
      <c r="B53" s="10">
        <f>IF($N53="","",INDEX('반배정'!B$7:B$86,$N53))</f>
        <v/>
      </c>
      <c r="C53" s="10">
        <f>IF($N53="","",INDEX('반배정'!C$7:C$86,$N53))</f>
        <v/>
      </c>
      <c r="D53" s="10">
        <f>IF($N53="","",INDEX('반배정'!D$7:D$86,$N53))</f>
        <v/>
      </c>
      <c r="E53" s="10">
        <f>IF($N53="","",INDEX('반배정'!E$7:E$86,$N53))</f>
        <v/>
      </c>
      <c r="F53" s="10">
        <f>IF($N53="","",INDEX('반배정'!G$7:G$86,$N53))</f>
        <v/>
      </c>
      <c r="G53" s="10">
        <f>IF($N53="","",INDEX('반배정'!H$7:H$86,$N53))</f>
        <v/>
      </c>
      <c r="H53" s="36">
        <f>IF($N53="","",INDEX('반배정'!I$7:I$86,$N53))</f>
        <v/>
      </c>
      <c r="I53" s="26">
        <f>IF($N53="","",INDEX('반배정'!O$7:O$86,$N53))</f>
        <v/>
      </c>
      <c r="J53" s="10">
        <f>IF($N53="","",INDEX('반배정'!N$7:N$86,$N53)&amp;"")</f>
        <v/>
      </c>
      <c r="K53" s="10">
        <f>IF($N53="","",INDEX('반배정'!L$7:L$86,$N53))</f>
        <v/>
      </c>
      <c r="L53" s="10">
        <f>IF($N53="","",INDEX('반배정'!P$7:P$86,$N53))</f>
        <v/>
      </c>
      <c r="M53" s="10">
        <f>IFERROR(SMALL('반배정'!$Q$7:$Q$86,47),"")</f>
        <v/>
      </c>
      <c r="N53" s="10">
        <f>IF(M53="","",MATCH(M53,'반배정'!$Q$7:$Q$86,0))</f>
        <v/>
      </c>
    </row>
    <row r="54">
      <c r="A54" s="10">
        <f>IF($N54="","",INDEX('반배정'!J$7:J$86,$N54))</f>
        <v/>
      </c>
      <c r="B54" s="10">
        <f>IF($N54="","",INDEX('반배정'!B$7:B$86,$N54))</f>
        <v/>
      </c>
      <c r="C54" s="10">
        <f>IF($N54="","",INDEX('반배정'!C$7:C$86,$N54))</f>
        <v/>
      </c>
      <c r="D54" s="10">
        <f>IF($N54="","",INDEX('반배정'!D$7:D$86,$N54))</f>
        <v/>
      </c>
      <c r="E54" s="10">
        <f>IF($N54="","",INDEX('반배정'!E$7:E$86,$N54))</f>
        <v/>
      </c>
      <c r="F54" s="10">
        <f>IF($N54="","",INDEX('반배정'!G$7:G$86,$N54))</f>
        <v/>
      </c>
      <c r="G54" s="10">
        <f>IF($N54="","",INDEX('반배정'!H$7:H$86,$N54))</f>
        <v/>
      </c>
      <c r="H54" s="36">
        <f>IF($N54="","",INDEX('반배정'!I$7:I$86,$N54))</f>
        <v/>
      </c>
      <c r="I54" s="26">
        <f>IF($N54="","",INDEX('반배정'!O$7:O$86,$N54))</f>
        <v/>
      </c>
      <c r="J54" s="10">
        <f>IF($N54="","",INDEX('반배정'!N$7:N$86,$N54)&amp;"")</f>
        <v/>
      </c>
      <c r="K54" s="10">
        <f>IF($N54="","",INDEX('반배정'!L$7:L$86,$N54))</f>
        <v/>
      </c>
      <c r="L54" s="10">
        <f>IF($N54="","",INDEX('반배정'!P$7:P$86,$N54))</f>
        <v/>
      </c>
      <c r="M54" s="10">
        <f>IFERROR(SMALL('반배정'!$Q$7:$Q$86,48),"")</f>
        <v/>
      </c>
      <c r="N54" s="10">
        <f>IF(M54="","",MATCH(M54,'반배정'!$Q$7:$Q$86,0))</f>
        <v/>
      </c>
    </row>
    <row r="55">
      <c r="A55" s="10">
        <f>IF($N55="","",INDEX('반배정'!J$7:J$86,$N55))</f>
        <v/>
      </c>
      <c r="B55" s="10">
        <f>IF($N55="","",INDEX('반배정'!B$7:B$86,$N55))</f>
        <v/>
      </c>
      <c r="C55" s="10">
        <f>IF($N55="","",INDEX('반배정'!C$7:C$86,$N55))</f>
        <v/>
      </c>
      <c r="D55" s="10">
        <f>IF($N55="","",INDEX('반배정'!D$7:D$86,$N55))</f>
        <v/>
      </c>
      <c r="E55" s="10">
        <f>IF($N55="","",INDEX('반배정'!E$7:E$86,$N55))</f>
        <v/>
      </c>
      <c r="F55" s="10">
        <f>IF($N55="","",INDEX('반배정'!G$7:G$86,$N55))</f>
        <v/>
      </c>
      <c r="G55" s="10">
        <f>IF($N55="","",INDEX('반배정'!H$7:H$86,$N55))</f>
        <v/>
      </c>
      <c r="H55" s="36">
        <f>IF($N55="","",INDEX('반배정'!I$7:I$86,$N55))</f>
        <v/>
      </c>
      <c r="I55" s="26">
        <f>IF($N55="","",INDEX('반배정'!O$7:O$86,$N55))</f>
        <v/>
      </c>
      <c r="J55" s="10">
        <f>IF($N55="","",INDEX('반배정'!N$7:N$86,$N55)&amp;"")</f>
        <v/>
      </c>
      <c r="K55" s="10">
        <f>IF($N55="","",INDEX('반배정'!L$7:L$86,$N55))</f>
        <v/>
      </c>
      <c r="L55" s="10">
        <f>IF($N55="","",INDEX('반배정'!P$7:P$86,$N55))</f>
        <v/>
      </c>
      <c r="M55" s="10">
        <f>IFERROR(SMALL('반배정'!$Q$7:$Q$86,49),"")</f>
        <v/>
      </c>
      <c r="N55" s="10">
        <f>IF(M55="","",MATCH(M55,'반배정'!$Q$7:$Q$86,0))</f>
        <v/>
      </c>
    </row>
    <row r="56">
      <c r="A56" s="10">
        <f>IF($N56="","",INDEX('반배정'!J$7:J$86,$N56))</f>
        <v/>
      </c>
      <c r="B56" s="10">
        <f>IF($N56="","",INDEX('반배정'!B$7:B$86,$N56))</f>
        <v/>
      </c>
      <c r="C56" s="10">
        <f>IF($N56="","",INDEX('반배정'!C$7:C$86,$N56))</f>
        <v/>
      </c>
      <c r="D56" s="10">
        <f>IF($N56="","",INDEX('반배정'!D$7:D$86,$N56))</f>
        <v/>
      </c>
      <c r="E56" s="10">
        <f>IF($N56="","",INDEX('반배정'!E$7:E$86,$N56))</f>
        <v/>
      </c>
      <c r="F56" s="10">
        <f>IF($N56="","",INDEX('반배정'!G$7:G$86,$N56))</f>
        <v/>
      </c>
      <c r="G56" s="10">
        <f>IF($N56="","",INDEX('반배정'!H$7:H$86,$N56))</f>
        <v/>
      </c>
      <c r="H56" s="36">
        <f>IF($N56="","",INDEX('반배정'!I$7:I$86,$N56))</f>
        <v/>
      </c>
      <c r="I56" s="26">
        <f>IF($N56="","",INDEX('반배정'!O$7:O$86,$N56))</f>
        <v/>
      </c>
      <c r="J56" s="10">
        <f>IF($N56="","",INDEX('반배정'!N$7:N$86,$N56)&amp;"")</f>
        <v/>
      </c>
      <c r="K56" s="10">
        <f>IF($N56="","",INDEX('반배정'!L$7:L$86,$N56))</f>
        <v/>
      </c>
      <c r="L56" s="10">
        <f>IF($N56="","",INDEX('반배정'!P$7:P$86,$N56))</f>
        <v/>
      </c>
      <c r="M56" s="10">
        <f>IFERROR(SMALL('반배정'!$Q$7:$Q$86,50),"")</f>
        <v/>
      </c>
      <c r="N56" s="10">
        <f>IF(M56="","",MATCH(M56,'반배정'!$Q$7:$Q$86,0))</f>
        <v/>
      </c>
    </row>
    <row r="57">
      <c r="A57" s="10">
        <f>IF($N57="","",INDEX('반배정'!J$7:J$86,$N57))</f>
        <v/>
      </c>
      <c r="B57" s="10">
        <f>IF($N57="","",INDEX('반배정'!B$7:B$86,$N57))</f>
        <v/>
      </c>
      <c r="C57" s="10">
        <f>IF($N57="","",INDEX('반배정'!C$7:C$86,$N57))</f>
        <v/>
      </c>
      <c r="D57" s="10">
        <f>IF($N57="","",INDEX('반배정'!D$7:D$86,$N57))</f>
        <v/>
      </c>
      <c r="E57" s="10">
        <f>IF($N57="","",INDEX('반배정'!E$7:E$86,$N57))</f>
        <v/>
      </c>
      <c r="F57" s="10">
        <f>IF($N57="","",INDEX('반배정'!G$7:G$86,$N57))</f>
        <v/>
      </c>
      <c r="G57" s="10">
        <f>IF($N57="","",INDEX('반배정'!H$7:H$86,$N57))</f>
        <v/>
      </c>
      <c r="H57" s="36">
        <f>IF($N57="","",INDEX('반배정'!I$7:I$86,$N57))</f>
        <v/>
      </c>
      <c r="I57" s="26">
        <f>IF($N57="","",INDEX('반배정'!O$7:O$86,$N57))</f>
        <v/>
      </c>
      <c r="J57" s="10">
        <f>IF($N57="","",INDEX('반배정'!N$7:N$86,$N57)&amp;"")</f>
        <v/>
      </c>
      <c r="K57" s="10">
        <f>IF($N57="","",INDEX('반배정'!L$7:L$86,$N57))</f>
        <v/>
      </c>
      <c r="L57" s="10">
        <f>IF($N57="","",INDEX('반배정'!P$7:P$86,$N57))</f>
        <v/>
      </c>
      <c r="M57" s="10">
        <f>IFERROR(SMALL('반배정'!$Q$7:$Q$86,51),"")</f>
        <v/>
      </c>
      <c r="N57" s="10">
        <f>IF(M57="","",MATCH(M57,'반배정'!$Q$7:$Q$86,0))</f>
        <v/>
      </c>
    </row>
    <row r="58">
      <c r="A58" s="10">
        <f>IF($N58="","",INDEX('반배정'!J$7:J$86,$N58))</f>
        <v/>
      </c>
      <c r="B58" s="10">
        <f>IF($N58="","",INDEX('반배정'!B$7:B$86,$N58))</f>
        <v/>
      </c>
      <c r="C58" s="10">
        <f>IF($N58="","",INDEX('반배정'!C$7:C$86,$N58))</f>
        <v/>
      </c>
      <c r="D58" s="10">
        <f>IF($N58="","",INDEX('반배정'!D$7:D$86,$N58))</f>
        <v/>
      </c>
      <c r="E58" s="10">
        <f>IF($N58="","",INDEX('반배정'!E$7:E$86,$N58))</f>
        <v/>
      </c>
      <c r="F58" s="10">
        <f>IF($N58="","",INDEX('반배정'!G$7:G$86,$N58))</f>
        <v/>
      </c>
      <c r="G58" s="10">
        <f>IF($N58="","",INDEX('반배정'!H$7:H$86,$N58))</f>
        <v/>
      </c>
      <c r="H58" s="36">
        <f>IF($N58="","",INDEX('반배정'!I$7:I$86,$N58))</f>
        <v/>
      </c>
      <c r="I58" s="26">
        <f>IF($N58="","",INDEX('반배정'!O$7:O$86,$N58))</f>
        <v/>
      </c>
      <c r="J58" s="10">
        <f>IF($N58="","",INDEX('반배정'!N$7:N$86,$N58)&amp;"")</f>
        <v/>
      </c>
      <c r="K58" s="10">
        <f>IF($N58="","",INDEX('반배정'!L$7:L$86,$N58))</f>
        <v/>
      </c>
      <c r="L58" s="10">
        <f>IF($N58="","",INDEX('반배정'!P$7:P$86,$N58))</f>
        <v/>
      </c>
      <c r="M58" s="10">
        <f>IFERROR(SMALL('반배정'!$Q$7:$Q$86,52),"")</f>
        <v/>
      </c>
      <c r="N58" s="10">
        <f>IF(M58="","",MATCH(M58,'반배정'!$Q$7:$Q$86,0))</f>
        <v/>
      </c>
    </row>
    <row r="59">
      <c r="A59" s="10">
        <f>IF($N59="","",INDEX('반배정'!J$7:J$86,$N59))</f>
        <v/>
      </c>
      <c r="B59" s="10">
        <f>IF($N59="","",INDEX('반배정'!B$7:B$86,$N59))</f>
        <v/>
      </c>
      <c r="C59" s="10">
        <f>IF($N59="","",INDEX('반배정'!C$7:C$86,$N59))</f>
        <v/>
      </c>
      <c r="D59" s="10">
        <f>IF($N59="","",INDEX('반배정'!D$7:D$86,$N59))</f>
        <v/>
      </c>
      <c r="E59" s="10">
        <f>IF($N59="","",INDEX('반배정'!E$7:E$86,$N59))</f>
        <v/>
      </c>
      <c r="F59" s="10">
        <f>IF($N59="","",INDEX('반배정'!G$7:G$86,$N59))</f>
        <v/>
      </c>
      <c r="G59" s="10">
        <f>IF($N59="","",INDEX('반배정'!H$7:H$86,$N59))</f>
        <v/>
      </c>
      <c r="H59" s="36">
        <f>IF($N59="","",INDEX('반배정'!I$7:I$86,$N59))</f>
        <v/>
      </c>
      <c r="I59" s="26">
        <f>IF($N59="","",INDEX('반배정'!O$7:O$86,$N59))</f>
        <v/>
      </c>
      <c r="J59" s="10">
        <f>IF($N59="","",INDEX('반배정'!N$7:N$86,$N59)&amp;"")</f>
        <v/>
      </c>
      <c r="K59" s="10">
        <f>IF($N59="","",INDEX('반배정'!L$7:L$86,$N59))</f>
        <v/>
      </c>
      <c r="L59" s="10">
        <f>IF($N59="","",INDEX('반배정'!P$7:P$86,$N59))</f>
        <v/>
      </c>
      <c r="M59" s="10">
        <f>IFERROR(SMALL('반배정'!$Q$7:$Q$86,53),"")</f>
        <v/>
      </c>
      <c r="N59" s="10">
        <f>IF(M59="","",MATCH(M59,'반배정'!$Q$7:$Q$86,0))</f>
        <v/>
      </c>
    </row>
    <row r="60">
      <c r="A60" s="10">
        <f>IF($N60="","",INDEX('반배정'!J$7:J$86,$N60))</f>
        <v/>
      </c>
      <c r="B60" s="10">
        <f>IF($N60="","",INDEX('반배정'!B$7:B$86,$N60))</f>
        <v/>
      </c>
      <c r="C60" s="10">
        <f>IF($N60="","",INDEX('반배정'!C$7:C$86,$N60))</f>
        <v/>
      </c>
      <c r="D60" s="10">
        <f>IF($N60="","",INDEX('반배정'!D$7:D$86,$N60))</f>
        <v/>
      </c>
      <c r="E60" s="10">
        <f>IF($N60="","",INDEX('반배정'!E$7:E$86,$N60))</f>
        <v/>
      </c>
      <c r="F60" s="10">
        <f>IF($N60="","",INDEX('반배정'!G$7:G$86,$N60))</f>
        <v/>
      </c>
      <c r="G60" s="10">
        <f>IF($N60="","",INDEX('반배정'!H$7:H$86,$N60))</f>
        <v/>
      </c>
      <c r="H60" s="36">
        <f>IF($N60="","",INDEX('반배정'!I$7:I$86,$N60))</f>
        <v/>
      </c>
      <c r="I60" s="26">
        <f>IF($N60="","",INDEX('반배정'!O$7:O$86,$N60))</f>
        <v/>
      </c>
      <c r="J60" s="10">
        <f>IF($N60="","",INDEX('반배정'!N$7:N$86,$N60)&amp;"")</f>
        <v/>
      </c>
      <c r="K60" s="10">
        <f>IF($N60="","",INDEX('반배정'!L$7:L$86,$N60))</f>
        <v/>
      </c>
      <c r="L60" s="10">
        <f>IF($N60="","",INDEX('반배정'!P$7:P$86,$N60))</f>
        <v/>
      </c>
      <c r="M60" s="10">
        <f>IFERROR(SMALL('반배정'!$Q$7:$Q$86,54),"")</f>
        <v/>
      </c>
      <c r="N60" s="10">
        <f>IF(M60="","",MATCH(M60,'반배정'!$Q$7:$Q$86,0))</f>
        <v/>
      </c>
    </row>
    <row r="61">
      <c r="A61" s="10">
        <f>IF($N61="","",INDEX('반배정'!J$7:J$86,$N61))</f>
        <v/>
      </c>
      <c r="B61" s="10">
        <f>IF($N61="","",INDEX('반배정'!B$7:B$86,$N61))</f>
        <v/>
      </c>
      <c r="C61" s="10">
        <f>IF($N61="","",INDEX('반배정'!C$7:C$86,$N61))</f>
        <v/>
      </c>
      <c r="D61" s="10">
        <f>IF($N61="","",INDEX('반배정'!D$7:D$86,$N61))</f>
        <v/>
      </c>
      <c r="E61" s="10">
        <f>IF($N61="","",INDEX('반배정'!E$7:E$86,$N61))</f>
        <v/>
      </c>
      <c r="F61" s="10">
        <f>IF($N61="","",INDEX('반배정'!G$7:G$86,$N61))</f>
        <v/>
      </c>
      <c r="G61" s="10">
        <f>IF($N61="","",INDEX('반배정'!H$7:H$86,$N61))</f>
        <v/>
      </c>
      <c r="H61" s="36">
        <f>IF($N61="","",INDEX('반배정'!I$7:I$86,$N61))</f>
        <v/>
      </c>
      <c r="I61" s="26">
        <f>IF($N61="","",INDEX('반배정'!O$7:O$86,$N61))</f>
        <v/>
      </c>
      <c r="J61" s="10">
        <f>IF($N61="","",INDEX('반배정'!N$7:N$86,$N61)&amp;"")</f>
        <v/>
      </c>
      <c r="K61" s="10">
        <f>IF($N61="","",INDEX('반배정'!L$7:L$86,$N61))</f>
        <v/>
      </c>
      <c r="L61" s="10">
        <f>IF($N61="","",INDEX('반배정'!P$7:P$86,$N61))</f>
        <v/>
      </c>
      <c r="M61" s="10">
        <f>IFERROR(SMALL('반배정'!$Q$7:$Q$86,55),"")</f>
        <v/>
      </c>
      <c r="N61" s="10">
        <f>IF(M61="","",MATCH(M61,'반배정'!$Q$7:$Q$86,0))</f>
        <v/>
      </c>
    </row>
    <row r="62">
      <c r="A62" s="10">
        <f>IF($N62="","",INDEX('반배정'!J$7:J$86,$N62))</f>
        <v/>
      </c>
      <c r="B62" s="10">
        <f>IF($N62="","",INDEX('반배정'!B$7:B$86,$N62))</f>
        <v/>
      </c>
      <c r="C62" s="10">
        <f>IF($N62="","",INDEX('반배정'!C$7:C$86,$N62))</f>
        <v/>
      </c>
      <c r="D62" s="10">
        <f>IF($N62="","",INDEX('반배정'!D$7:D$86,$N62))</f>
        <v/>
      </c>
      <c r="E62" s="10">
        <f>IF($N62="","",INDEX('반배정'!E$7:E$86,$N62))</f>
        <v/>
      </c>
      <c r="F62" s="10">
        <f>IF($N62="","",INDEX('반배정'!G$7:G$86,$N62))</f>
        <v/>
      </c>
      <c r="G62" s="10">
        <f>IF($N62="","",INDEX('반배정'!H$7:H$86,$N62))</f>
        <v/>
      </c>
      <c r="H62" s="36">
        <f>IF($N62="","",INDEX('반배정'!I$7:I$86,$N62))</f>
        <v/>
      </c>
      <c r="I62" s="26">
        <f>IF($N62="","",INDEX('반배정'!O$7:O$86,$N62))</f>
        <v/>
      </c>
      <c r="J62" s="10">
        <f>IF($N62="","",INDEX('반배정'!N$7:N$86,$N62)&amp;"")</f>
        <v/>
      </c>
      <c r="K62" s="10">
        <f>IF($N62="","",INDEX('반배정'!L$7:L$86,$N62))</f>
        <v/>
      </c>
      <c r="L62" s="10">
        <f>IF($N62="","",INDEX('반배정'!P$7:P$86,$N62))</f>
        <v/>
      </c>
      <c r="M62" s="10">
        <f>IFERROR(SMALL('반배정'!$Q$7:$Q$86,56),"")</f>
        <v/>
      </c>
      <c r="N62" s="10">
        <f>IF(M62="","",MATCH(M62,'반배정'!$Q$7:$Q$86,0))</f>
        <v/>
      </c>
    </row>
    <row r="63">
      <c r="A63" s="10">
        <f>IF($N63="","",INDEX('반배정'!J$7:J$86,$N63))</f>
        <v/>
      </c>
      <c r="B63" s="10">
        <f>IF($N63="","",INDEX('반배정'!B$7:B$86,$N63))</f>
        <v/>
      </c>
      <c r="C63" s="10">
        <f>IF($N63="","",INDEX('반배정'!C$7:C$86,$N63))</f>
        <v/>
      </c>
      <c r="D63" s="10">
        <f>IF($N63="","",INDEX('반배정'!D$7:D$86,$N63))</f>
        <v/>
      </c>
      <c r="E63" s="10">
        <f>IF($N63="","",INDEX('반배정'!E$7:E$86,$N63))</f>
        <v/>
      </c>
      <c r="F63" s="10">
        <f>IF($N63="","",INDEX('반배정'!G$7:G$86,$N63))</f>
        <v/>
      </c>
      <c r="G63" s="10">
        <f>IF($N63="","",INDEX('반배정'!H$7:H$86,$N63))</f>
        <v/>
      </c>
      <c r="H63" s="36">
        <f>IF($N63="","",INDEX('반배정'!I$7:I$86,$N63))</f>
        <v/>
      </c>
      <c r="I63" s="26">
        <f>IF($N63="","",INDEX('반배정'!O$7:O$86,$N63))</f>
        <v/>
      </c>
      <c r="J63" s="10">
        <f>IF($N63="","",INDEX('반배정'!N$7:N$86,$N63)&amp;"")</f>
        <v/>
      </c>
      <c r="K63" s="10">
        <f>IF($N63="","",INDEX('반배정'!L$7:L$86,$N63))</f>
        <v/>
      </c>
      <c r="L63" s="10">
        <f>IF($N63="","",INDEX('반배정'!P$7:P$86,$N63))</f>
        <v/>
      </c>
      <c r="M63" s="10">
        <f>IFERROR(SMALL('반배정'!$Q$7:$Q$86,57),"")</f>
        <v/>
      </c>
      <c r="N63" s="10">
        <f>IF(M63="","",MATCH(M63,'반배정'!$Q$7:$Q$86,0))</f>
        <v/>
      </c>
    </row>
    <row r="64">
      <c r="A64" s="10">
        <f>IF($N64="","",INDEX('반배정'!J$7:J$86,$N64))</f>
        <v/>
      </c>
      <c r="B64" s="10">
        <f>IF($N64="","",INDEX('반배정'!B$7:B$86,$N64))</f>
        <v/>
      </c>
      <c r="C64" s="10">
        <f>IF($N64="","",INDEX('반배정'!C$7:C$86,$N64))</f>
        <v/>
      </c>
      <c r="D64" s="10">
        <f>IF($N64="","",INDEX('반배정'!D$7:D$86,$N64))</f>
        <v/>
      </c>
      <c r="E64" s="10">
        <f>IF($N64="","",INDEX('반배정'!E$7:E$86,$N64))</f>
        <v/>
      </c>
      <c r="F64" s="10">
        <f>IF($N64="","",INDEX('반배정'!G$7:G$86,$N64))</f>
        <v/>
      </c>
      <c r="G64" s="10">
        <f>IF($N64="","",INDEX('반배정'!H$7:H$86,$N64))</f>
        <v/>
      </c>
      <c r="H64" s="36">
        <f>IF($N64="","",INDEX('반배정'!I$7:I$86,$N64))</f>
        <v/>
      </c>
      <c r="I64" s="26">
        <f>IF($N64="","",INDEX('반배정'!O$7:O$86,$N64))</f>
        <v/>
      </c>
      <c r="J64" s="10">
        <f>IF($N64="","",INDEX('반배정'!N$7:N$86,$N64)&amp;"")</f>
        <v/>
      </c>
      <c r="K64" s="10">
        <f>IF($N64="","",INDEX('반배정'!L$7:L$86,$N64))</f>
        <v/>
      </c>
      <c r="L64" s="10">
        <f>IF($N64="","",INDEX('반배정'!P$7:P$86,$N64))</f>
        <v/>
      </c>
      <c r="M64" s="10">
        <f>IFERROR(SMALL('반배정'!$Q$7:$Q$86,58),"")</f>
        <v/>
      </c>
      <c r="N64" s="10">
        <f>IF(M64="","",MATCH(M64,'반배정'!$Q$7:$Q$86,0))</f>
        <v/>
      </c>
    </row>
    <row r="65">
      <c r="A65" s="10">
        <f>IF($N65="","",INDEX('반배정'!J$7:J$86,$N65))</f>
        <v/>
      </c>
      <c r="B65" s="10">
        <f>IF($N65="","",INDEX('반배정'!B$7:B$86,$N65))</f>
        <v/>
      </c>
      <c r="C65" s="10">
        <f>IF($N65="","",INDEX('반배정'!C$7:C$86,$N65))</f>
        <v/>
      </c>
      <c r="D65" s="10">
        <f>IF($N65="","",INDEX('반배정'!D$7:D$86,$N65))</f>
        <v/>
      </c>
      <c r="E65" s="10">
        <f>IF($N65="","",INDEX('반배정'!E$7:E$86,$N65))</f>
        <v/>
      </c>
      <c r="F65" s="10">
        <f>IF($N65="","",INDEX('반배정'!G$7:G$86,$N65))</f>
        <v/>
      </c>
      <c r="G65" s="10">
        <f>IF($N65="","",INDEX('반배정'!H$7:H$86,$N65))</f>
        <v/>
      </c>
      <c r="H65" s="36">
        <f>IF($N65="","",INDEX('반배정'!I$7:I$86,$N65))</f>
        <v/>
      </c>
      <c r="I65" s="26">
        <f>IF($N65="","",INDEX('반배정'!O$7:O$86,$N65))</f>
        <v/>
      </c>
      <c r="J65" s="10">
        <f>IF($N65="","",INDEX('반배정'!N$7:N$86,$N65)&amp;"")</f>
        <v/>
      </c>
      <c r="K65" s="10">
        <f>IF($N65="","",INDEX('반배정'!L$7:L$86,$N65))</f>
        <v/>
      </c>
      <c r="L65" s="10">
        <f>IF($N65="","",INDEX('반배정'!P$7:P$86,$N65))</f>
        <v/>
      </c>
      <c r="M65" s="10">
        <f>IFERROR(SMALL('반배정'!$Q$7:$Q$86,59),"")</f>
        <v/>
      </c>
      <c r="N65" s="10">
        <f>IF(M65="","",MATCH(M65,'반배정'!$Q$7:$Q$86,0))</f>
        <v/>
      </c>
    </row>
    <row r="66">
      <c r="A66" s="10">
        <f>IF($N66="","",INDEX('반배정'!J$7:J$86,$N66))</f>
        <v/>
      </c>
      <c r="B66" s="10">
        <f>IF($N66="","",INDEX('반배정'!B$7:B$86,$N66))</f>
        <v/>
      </c>
      <c r="C66" s="10">
        <f>IF($N66="","",INDEX('반배정'!C$7:C$86,$N66))</f>
        <v/>
      </c>
      <c r="D66" s="10">
        <f>IF($N66="","",INDEX('반배정'!D$7:D$86,$N66))</f>
        <v/>
      </c>
      <c r="E66" s="10">
        <f>IF($N66="","",INDEX('반배정'!E$7:E$86,$N66))</f>
        <v/>
      </c>
      <c r="F66" s="10">
        <f>IF($N66="","",INDEX('반배정'!G$7:G$86,$N66))</f>
        <v/>
      </c>
      <c r="G66" s="10">
        <f>IF($N66="","",INDEX('반배정'!H$7:H$86,$N66))</f>
        <v/>
      </c>
      <c r="H66" s="36">
        <f>IF($N66="","",INDEX('반배정'!I$7:I$86,$N66))</f>
        <v/>
      </c>
      <c r="I66" s="26">
        <f>IF($N66="","",INDEX('반배정'!O$7:O$86,$N66))</f>
        <v/>
      </c>
      <c r="J66" s="10">
        <f>IF($N66="","",INDEX('반배정'!N$7:N$86,$N66)&amp;"")</f>
        <v/>
      </c>
      <c r="K66" s="10">
        <f>IF($N66="","",INDEX('반배정'!L$7:L$86,$N66))</f>
        <v/>
      </c>
      <c r="L66" s="10">
        <f>IF($N66="","",INDEX('반배정'!P$7:P$86,$N66))</f>
        <v/>
      </c>
      <c r="M66" s="10">
        <f>IFERROR(SMALL('반배정'!$Q$7:$Q$86,60),"")</f>
        <v/>
      </c>
      <c r="N66" s="10">
        <f>IF(M66="","",MATCH(M66,'반배정'!$Q$7:$Q$86,0))</f>
        <v/>
      </c>
    </row>
    <row r="67">
      <c r="A67" s="10">
        <f>IF($N67="","",INDEX('반배정'!J$7:J$86,$N67))</f>
        <v/>
      </c>
      <c r="B67" s="10">
        <f>IF($N67="","",INDEX('반배정'!B$7:B$86,$N67))</f>
        <v/>
      </c>
      <c r="C67" s="10">
        <f>IF($N67="","",INDEX('반배정'!C$7:C$86,$N67))</f>
        <v/>
      </c>
      <c r="D67" s="10">
        <f>IF($N67="","",INDEX('반배정'!D$7:D$86,$N67))</f>
        <v/>
      </c>
      <c r="E67" s="10">
        <f>IF($N67="","",INDEX('반배정'!E$7:E$86,$N67))</f>
        <v/>
      </c>
      <c r="F67" s="10">
        <f>IF($N67="","",INDEX('반배정'!G$7:G$86,$N67))</f>
        <v/>
      </c>
      <c r="G67" s="10">
        <f>IF($N67="","",INDEX('반배정'!H$7:H$86,$N67))</f>
        <v/>
      </c>
      <c r="H67" s="36">
        <f>IF($N67="","",INDEX('반배정'!I$7:I$86,$N67))</f>
        <v/>
      </c>
      <c r="I67" s="26">
        <f>IF($N67="","",INDEX('반배정'!O$7:O$86,$N67))</f>
        <v/>
      </c>
      <c r="J67" s="10">
        <f>IF($N67="","",INDEX('반배정'!N$7:N$86,$N67)&amp;"")</f>
        <v/>
      </c>
      <c r="K67" s="10">
        <f>IF($N67="","",INDEX('반배정'!L$7:L$86,$N67))</f>
        <v/>
      </c>
      <c r="L67" s="10">
        <f>IF($N67="","",INDEX('반배정'!P$7:P$86,$N67))</f>
        <v/>
      </c>
      <c r="M67" s="10">
        <f>IFERROR(SMALL('반배정'!$Q$7:$Q$86,61),"")</f>
        <v/>
      </c>
      <c r="N67" s="10">
        <f>IF(M67="","",MATCH(M67,'반배정'!$Q$7:$Q$86,0))</f>
        <v/>
      </c>
    </row>
    <row r="68">
      <c r="A68" s="10">
        <f>IF($N68="","",INDEX('반배정'!J$7:J$86,$N68))</f>
        <v/>
      </c>
      <c r="B68" s="10">
        <f>IF($N68="","",INDEX('반배정'!B$7:B$86,$N68))</f>
        <v/>
      </c>
      <c r="C68" s="10">
        <f>IF($N68="","",INDEX('반배정'!C$7:C$86,$N68))</f>
        <v/>
      </c>
      <c r="D68" s="10">
        <f>IF($N68="","",INDEX('반배정'!D$7:D$86,$N68))</f>
        <v/>
      </c>
      <c r="E68" s="10">
        <f>IF($N68="","",INDEX('반배정'!E$7:E$86,$N68))</f>
        <v/>
      </c>
      <c r="F68" s="10">
        <f>IF($N68="","",INDEX('반배정'!G$7:G$86,$N68))</f>
        <v/>
      </c>
      <c r="G68" s="10">
        <f>IF($N68="","",INDEX('반배정'!H$7:H$86,$N68))</f>
        <v/>
      </c>
      <c r="H68" s="36">
        <f>IF($N68="","",INDEX('반배정'!I$7:I$86,$N68))</f>
        <v/>
      </c>
      <c r="I68" s="26">
        <f>IF($N68="","",INDEX('반배정'!O$7:O$86,$N68))</f>
        <v/>
      </c>
      <c r="J68" s="10">
        <f>IF($N68="","",INDEX('반배정'!N$7:N$86,$N68)&amp;"")</f>
        <v/>
      </c>
      <c r="K68" s="10">
        <f>IF($N68="","",INDEX('반배정'!L$7:L$86,$N68))</f>
        <v/>
      </c>
      <c r="L68" s="10">
        <f>IF($N68="","",INDEX('반배정'!P$7:P$86,$N68))</f>
        <v/>
      </c>
      <c r="M68" s="10">
        <f>IFERROR(SMALL('반배정'!$Q$7:$Q$86,62),"")</f>
        <v/>
      </c>
      <c r="N68" s="10">
        <f>IF(M68="","",MATCH(M68,'반배정'!$Q$7:$Q$86,0))</f>
        <v/>
      </c>
    </row>
    <row r="69">
      <c r="A69" s="10">
        <f>IF($N69="","",INDEX('반배정'!J$7:J$86,$N69))</f>
        <v/>
      </c>
      <c r="B69" s="10">
        <f>IF($N69="","",INDEX('반배정'!B$7:B$86,$N69))</f>
        <v/>
      </c>
      <c r="C69" s="10">
        <f>IF($N69="","",INDEX('반배정'!C$7:C$86,$N69))</f>
        <v/>
      </c>
      <c r="D69" s="10">
        <f>IF($N69="","",INDEX('반배정'!D$7:D$86,$N69))</f>
        <v/>
      </c>
      <c r="E69" s="10">
        <f>IF($N69="","",INDEX('반배정'!E$7:E$86,$N69))</f>
        <v/>
      </c>
      <c r="F69" s="10">
        <f>IF($N69="","",INDEX('반배정'!G$7:G$86,$N69))</f>
        <v/>
      </c>
      <c r="G69" s="10">
        <f>IF($N69="","",INDEX('반배정'!H$7:H$86,$N69))</f>
        <v/>
      </c>
      <c r="H69" s="36">
        <f>IF($N69="","",INDEX('반배정'!I$7:I$86,$N69))</f>
        <v/>
      </c>
      <c r="I69" s="26">
        <f>IF($N69="","",INDEX('반배정'!O$7:O$86,$N69))</f>
        <v/>
      </c>
      <c r="J69" s="10">
        <f>IF($N69="","",INDEX('반배정'!N$7:N$86,$N69)&amp;"")</f>
        <v/>
      </c>
      <c r="K69" s="10">
        <f>IF($N69="","",INDEX('반배정'!L$7:L$86,$N69))</f>
        <v/>
      </c>
      <c r="L69" s="10">
        <f>IF($N69="","",INDEX('반배정'!P$7:P$86,$N69))</f>
        <v/>
      </c>
      <c r="M69" s="10">
        <f>IFERROR(SMALL('반배정'!$Q$7:$Q$86,63),"")</f>
        <v/>
      </c>
      <c r="N69" s="10">
        <f>IF(M69="","",MATCH(M69,'반배정'!$Q$7:$Q$86,0))</f>
        <v/>
      </c>
    </row>
    <row r="70">
      <c r="A70" s="10">
        <f>IF($N70="","",INDEX('반배정'!J$7:J$86,$N70))</f>
        <v/>
      </c>
      <c r="B70" s="10">
        <f>IF($N70="","",INDEX('반배정'!B$7:B$86,$N70))</f>
        <v/>
      </c>
      <c r="C70" s="10">
        <f>IF($N70="","",INDEX('반배정'!C$7:C$86,$N70))</f>
        <v/>
      </c>
      <c r="D70" s="10">
        <f>IF($N70="","",INDEX('반배정'!D$7:D$86,$N70))</f>
        <v/>
      </c>
      <c r="E70" s="10">
        <f>IF($N70="","",INDEX('반배정'!E$7:E$86,$N70))</f>
        <v/>
      </c>
      <c r="F70" s="10">
        <f>IF($N70="","",INDEX('반배정'!G$7:G$86,$N70))</f>
        <v/>
      </c>
      <c r="G70" s="10">
        <f>IF($N70="","",INDEX('반배정'!H$7:H$86,$N70))</f>
        <v/>
      </c>
      <c r="H70" s="36">
        <f>IF($N70="","",INDEX('반배정'!I$7:I$86,$N70))</f>
        <v/>
      </c>
      <c r="I70" s="26">
        <f>IF($N70="","",INDEX('반배정'!O$7:O$86,$N70))</f>
        <v/>
      </c>
      <c r="J70" s="10">
        <f>IF($N70="","",INDEX('반배정'!N$7:N$86,$N70)&amp;"")</f>
        <v/>
      </c>
      <c r="K70" s="10">
        <f>IF($N70="","",INDEX('반배정'!L$7:L$86,$N70))</f>
        <v/>
      </c>
      <c r="L70" s="10">
        <f>IF($N70="","",INDEX('반배정'!P$7:P$86,$N70))</f>
        <v/>
      </c>
      <c r="M70" s="10">
        <f>IFERROR(SMALL('반배정'!$Q$7:$Q$86,64),"")</f>
        <v/>
      </c>
      <c r="N70" s="10">
        <f>IF(M70="","",MATCH(M70,'반배정'!$Q$7:$Q$86,0))</f>
        <v/>
      </c>
    </row>
    <row r="71">
      <c r="A71" s="10">
        <f>IF($N71="","",INDEX('반배정'!J$7:J$86,$N71))</f>
        <v/>
      </c>
      <c r="B71" s="10">
        <f>IF($N71="","",INDEX('반배정'!B$7:B$86,$N71))</f>
        <v/>
      </c>
      <c r="C71" s="10">
        <f>IF($N71="","",INDEX('반배정'!C$7:C$86,$N71))</f>
        <v/>
      </c>
      <c r="D71" s="10">
        <f>IF($N71="","",INDEX('반배정'!D$7:D$86,$N71))</f>
        <v/>
      </c>
      <c r="E71" s="10">
        <f>IF($N71="","",INDEX('반배정'!E$7:E$86,$N71))</f>
        <v/>
      </c>
      <c r="F71" s="10">
        <f>IF($N71="","",INDEX('반배정'!G$7:G$86,$N71))</f>
        <v/>
      </c>
      <c r="G71" s="10">
        <f>IF($N71="","",INDEX('반배정'!H$7:H$86,$N71))</f>
        <v/>
      </c>
      <c r="H71" s="36">
        <f>IF($N71="","",INDEX('반배정'!I$7:I$86,$N71))</f>
        <v/>
      </c>
      <c r="I71" s="26">
        <f>IF($N71="","",INDEX('반배정'!O$7:O$86,$N71))</f>
        <v/>
      </c>
      <c r="J71" s="10">
        <f>IF($N71="","",INDEX('반배정'!N$7:N$86,$N71)&amp;"")</f>
        <v/>
      </c>
      <c r="K71" s="10">
        <f>IF($N71="","",INDEX('반배정'!L$7:L$86,$N71))</f>
        <v/>
      </c>
      <c r="L71" s="10">
        <f>IF($N71="","",INDEX('반배정'!P$7:P$86,$N71))</f>
        <v/>
      </c>
      <c r="M71" s="10">
        <f>IFERROR(SMALL('반배정'!$Q$7:$Q$86,65),"")</f>
        <v/>
      </c>
      <c r="N71" s="10">
        <f>IF(M71="","",MATCH(M71,'반배정'!$Q$7:$Q$86,0))</f>
        <v/>
      </c>
    </row>
    <row r="72">
      <c r="A72" s="10">
        <f>IF($N72="","",INDEX('반배정'!J$7:J$86,$N72))</f>
        <v/>
      </c>
      <c r="B72" s="10">
        <f>IF($N72="","",INDEX('반배정'!B$7:B$86,$N72))</f>
        <v/>
      </c>
      <c r="C72" s="10">
        <f>IF($N72="","",INDEX('반배정'!C$7:C$86,$N72))</f>
        <v/>
      </c>
      <c r="D72" s="10">
        <f>IF($N72="","",INDEX('반배정'!D$7:D$86,$N72))</f>
        <v/>
      </c>
      <c r="E72" s="10">
        <f>IF($N72="","",INDEX('반배정'!E$7:E$86,$N72))</f>
        <v/>
      </c>
      <c r="F72" s="10">
        <f>IF($N72="","",INDEX('반배정'!G$7:G$86,$N72))</f>
        <v/>
      </c>
      <c r="G72" s="10">
        <f>IF($N72="","",INDEX('반배정'!H$7:H$86,$N72))</f>
        <v/>
      </c>
      <c r="H72" s="36">
        <f>IF($N72="","",INDEX('반배정'!I$7:I$86,$N72))</f>
        <v/>
      </c>
      <c r="I72" s="26">
        <f>IF($N72="","",INDEX('반배정'!O$7:O$86,$N72))</f>
        <v/>
      </c>
      <c r="J72" s="10">
        <f>IF($N72="","",INDEX('반배정'!N$7:N$86,$N72)&amp;"")</f>
        <v/>
      </c>
      <c r="K72" s="10">
        <f>IF($N72="","",INDEX('반배정'!L$7:L$86,$N72))</f>
        <v/>
      </c>
      <c r="L72" s="10">
        <f>IF($N72="","",INDEX('반배정'!P$7:P$86,$N72))</f>
        <v/>
      </c>
      <c r="M72" s="10">
        <f>IFERROR(SMALL('반배정'!$Q$7:$Q$86,66),"")</f>
        <v/>
      </c>
      <c r="N72" s="10">
        <f>IF(M72="","",MATCH(M72,'반배정'!$Q$7:$Q$86,0))</f>
        <v/>
      </c>
    </row>
    <row r="73">
      <c r="A73" s="10">
        <f>IF($N73="","",INDEX('반배정'!J$7:J$86,$N73))</f>
        <v/>
      </c>
      <c r="B73" s="10">
        <f>IF($N73="","",INDEX('반배정'!B$7:B$86,$N73))</f>
        <v/>
      </c>
      <c r="C73" s="10">
        <f>IF($N73="","",INDEX('반배정'!C$7:C$86,$N73))</f>
        <v/>
      </c>
      <c r="D73" s="10">
        <f>IF($N73="","",INDEX('반배정'!D$7:D$86,$N73))</f>
        <v/>
      </c>
      <c r="E73" s="10">
        <f>IF($N73="","",INDEX('반배정'!E$7:E$86,$N73))</f>
        <v/>
      </c>
      <c r="F73" s="10">
        <f>IF($N73="","",INDEX('반배정'!G$7:G$86,$N73))</f>
        <v/>
      </c>
      <c r="G73" s="10">
        <f>IF($N73="","",INDEX('반배정'!H$7:H$86,$N73))</f>
        <v/>
      </c>
      <c r="H73" s="36">
        <f>IF($N73="","",INDEX('반배정'!I$7:I$86,$N73))</f>
        <v/>
      </c>
      <c r="I73" s="26">
        <f>IF($N73="","",INDEX('반배정'!O$7:O$86,$N73))</f>
        <v/>
      </c>
      <c r="J73" s="10">
        <f>IF($N73="","",INDEX('반배정'!N$7:N$86,$N73)&amp;"")</f>
        <v/>
      </c>
      <c r="K73" s="10">
        <f>IF($N73="","",INDEX('반배정'!L$7:L$86,$N73))</f>
        <v/>
      </c>
      <c r="L73" s="10">
        <f>IF($N73="","",INDEX('반배정'!P$7:P$86,$N73))</f>
        <v/>
      </c>
      <c r="M73" s="10">
        <f>IFERROR(SMALL('반배정'!$Q$7:$Q$86,67),"")</f>
        <v/>
      </c>
      <c r="N73" s="10">
        <f>IF(M73="","",MATCH(M73,'반배정'!$Q$7:$Q$86,0))</f>
        <v/>
      </c>
    </row>
    <row r="74">
      <c r="A74" s="10">
        <f>IF($N74="","",INDEX('반배정'!J$7:J$86,$N74))</f>
        <v/>
      </c>
      <c r="B74" s="10">
        <f>IF($N74="","",INDEX('반배정'!B$7:B$86,$N74))</f>
        <v/>
      </c>
      <c r="C74" s="10">
        <f>IF($N74="","",INDEX('반배정'!C$7:C$86,$N74))</f>
        <v/>
      </c>
      <c r="D74" s="10">
        <f>IF($N74="","",INDEX('반배정'!D$7:D$86,$N74))</f>
        <v/>
      </c>
      <c r="E74" s="10">
        <f>IF($N74="","",INDEX('반배정'!E$7:E$86,$N74))</f>
        <v/>
      </c>
      <c r="F74" s="10">
        <f>IF($N74="","",INDEX('반배정'!G$7:G$86,$N74))</f>
        <v/>
      </c>
      <c r="G74" s="10">
        <f>IF($N74="","",INDEX('반배정'!H$7:H$86,$N74))</f>
        <v/>
      </c>
      <c r="H74" s="36">
        <f>IF($N74="","",INDEX('반배정'!I$7:I$86,$N74))</f>
        <v/>
      </c>
      <c r="I74" s="26">
        <f>IF($N74="","",INDEX('반배정'!O$7:O$86,$N74))</f>
        <v/>
      </c>
      <c r="J74" s="10">
        <f>IF($N74="","",INDEX('반배정'!N$7:N$86,$N74)&amp;"")</f>
        <v/>
      </c>
      <c r="K74" s="10">
        <f>IF($N74="","",INDEX('반배정'!L$7:L$86,$N74))</f>
        <v/>
      </c>
      <c r="L74" s="10">
        <f>IF($N74="","",INDEX('반배정'!P$7:P$86,$N74))</f>
        <v/>
      </c>
      <c r="M74" s="10">
        <f>IFERROR(SMALL('반배정'!$Q$7:$Q$86,68),"")</f>
        <v/>
      </c>
      <c r="N74" s="10">
        <f>IF(M74="","",MATCH(M74,'반배정'!$Q$7:$Q$86,0))</f>
        <v/>
      </c>
    </row>
    <row r="75">
      <c r="A75" s="10">
        <f>IF($N75="","",INDEX('반배정'!J$7:J$86,$N75))</f>
        <v/>
      </c>
      <c r="B75" s="10">
        <f>IF($N75="","",INDEX('반배정'!B$7:B$86,$N75))</f>
        <v/>
      </c>
      <c r="C75" s="10">
        <f>IF($N75="","",INDEX('반배정'!C$7:C$86,$N75))</f>
        <v/>
      </c>
      <c r="D75" s="10">
        <f>IF($N75="","",INDEX('반배정'!D$7:D$86,$N75))</f>
        <v/>
      </c>
      <c r="E75" s="10">
        <f>IF($N75="","",INDEX('반배정'!E$7:E$86,$N75))</f>
        <v/>
      </c>
      <c r="F75" s="10">
        <f>IF($N75="","",INDEX('반배정'!G$7:G$86,$N75))</f>
        <v/>
      </c>
      <c r="G75" s="10">
        <f>IF($N75="","",INDEX('반배정'!H$7:H$86,$N75))</f>
        <v/>
      </c>
      <c r="H75" s="36">
        <f>IF($N75="","",INDEX('반배정'!I$7:I$86,$N75))</f>
        <v/>
      </c>
      <c r="I75" s="26">
        <f>IF($N75="","",INDEX('반배정'!O$7:O$86,$N75))</f>
        <v/>
      </c>
      <c r="J75" s="10">
        <f>IF($N75="","",INDEX('반배정'!N$7:N$86,$N75)&amp;"")</f>
        <v/>
      </c>
      <c r="K75" s="10">
        <f>IF($N75="","",INDEX('반배정'!L$7:L$86,$N75))</f>
        <v/>
      </c>
      <c r="L75" s="10">
        <f>IF($N75="","",INDEX('반배정'!P$7:P$86,$N75))</f>
        <v/>
      </c>
      <c r="M75" s="10">
        <f>IFERROR(SMALL('반배정'!$Q$7:$Q$86,69),"")</f>
        <v/>
      </c>
      <c r="N75" s="10">
        <f>IF(M75="","",MATCH(M75,'반배정'!$Q$7:$Q$86,0))</f>
        <v/>
      </c>
    </row>
    <row r="76">
      <c r="A76" s="10">
        <f>IF($N76="","",INDEX('반배정'!J$7:J$86,$N76))</f>
        <v/>
      </c>
      <c r="B76" s="10">
        <f>IF($N76="","",INDEX('반배정'!B$7:B$86,$N76))</f>
        <v/>
      </c>
      <c r="C76" s="10">
        <f>IF($N76="","",INDEX('반배정'!C$7:C$86,$N76))</f>
        <v/>
      </c>
      <c r="D76" s="10">
        <f>IF($N76="","",INDEX('반배정'!D$7:D$86,$N76))</f>
        <v/>
      </c>
      <c r="E76" s="10">
        <f>IF($N76="","",INDEX('반배정'!E$7:E$86,$N76))</f>
        <v/>
      </c>
      <c r="F76" s="10">
        <f>IF($N76="","",INDEX('반배정'!G$7:G$86,$N76))</f>
        <v/>
      </c>
      <c r="G76" s="10">
        <f>IF($N76="","",INDEX('반배정'!H$7:H$86,$N76))</f>
        <v/>
      </c>
      <c r="H76" s="36">
        <f>IF($N76="","",INDEX('반배정'!I$7:I$86,$N76))</f>
        <v/>
      </c>
      <c r="I76" s="26">
        <f>IF($N76="","",INDEX('반배정'!O$7:O$86,$N76))</f>
        <v/>
      </c>
      <c r="J76" s="10">
        <f>IF($N76="","",INDEX('반배정'!N$7:N$86,$N76)&amp;"")</f>
        <v/>
      </c>
      <c r="K76" s="10">
        <f>IF($N76="","",INDEX('반배정'!L$7:L$86,$N76))</f>
        <v/>
      </c>
      <c r="L76" s="10">
        <f>IF($N76="","",INDEX('반배정'!P$7:P$86,$N76))</f>
        <v/>
      </c>
      <c r="M76" s="10">
        <f>IFERROR(SMALL('반배정'!$Q$7:$Q$86,70),"")</f>
        <v/>
      </c>
      <c r="N76" s="10">
        <f>IF(M76="","",MATCH(M76,'반배정'!$Q$7:$Q$86,0))</f>
        <v/>
      </c>
    </row>
    <row r="77">
      <c r="A77" s="10">
        <f>IF($N77="","",INDEX('반배정'!J$7:J$86,$N77))</f>
        <v/>
      </c>
      <c r="B77" s="10">
        <f>IF($N77="","",INDEX('반배정'!B$7:B$86,$N77))</f>
        <v/>
      </c>
      <c r="C77" s="10">
        <f>IF($N77="","",INDEX('반배정'!C$7:C$86,$N77))</f>
        <v/>
      </c>
      <c r="D77" s="10">
        <f>IF($N77="","",INDEX('반배정'!D$7:D$86,$N77))</f>
        <v/>
      </c>
      <c r="E77" s="10">
        <f>IF($N77="","",INDEX('반배정'!E$7:E$86,$N77))</f>
        <v/>
      </c>
      <c r="F77" s="10">
        <f>IF($N77="","",INDEX('반배정'!G$7:G$86,$N77))</f>
        <v/>
      </c>
      <c r="G77" s="10">
        <f>IF($N77="","",INDEX('반배정'!H$7:H$86,$N77))</f>
        <v/>
      </c>
      <c r="H77" s="36">
        <f>IF($N77="","",INDEX('반배정'!I$7:I$86,$N77))</f>
        <v/>
      </c>
      <c r="I77" s="26">
        <f>IF($N77="","",INDEX('반배정'!O$7:O$86,$N77))</f>
        <v/>
      </c>
      <c r="J77" s="10">
        <f>IF($N77="","",INDEX('반배정'!N$7:N$86,$N77)&amp;"")</f>
        <v/>
      </c>
      <c r="K77" s="10">
        <f>IF($N77="","",INDEX('반배정'!L$7:L$86,$N77))</f>
        <v/>
      </c>
      <c r="L77" s="10">
        <f>IF($N77="","",INDEX('반배정'!P$7:P$86,$N77))</f>
        <v/>
      </c>
      <c r="M77" s="10">
        <f>IFERROR(SMALL('반배정'!$Q$7:$Q$86,71),"")</f>
        <v/>
      </c>
      <c r="N77" s="10">
        <f>IF(M77="","",MATCH(M77,'반배정'!$Q$7:$Q$86,0))</f>
        <v/>
      </c>
    </row>
    <row r="78">
      <c r="A78" s="10">
        <f>IF($N78="","",INDEX('반배정'!J$7:J$86,$N78))</f>
        <v/>
      </c>
      <c r="B78" s="10">
        <f>IF($N78="","",INDEX('반배정'!B$7:B$86,$N78))</f>
        <v/>
      </c>
      <c r="C78" s="10">
        <f>IF($N78="","",INDEX('반배정'!C$7:C$86,$N78))</f>
        <v/>
      </c>
      <c r="D78" s="10">
        <f>IF($N78="","",INDEX('반배정'!D$7:D$86,$N78))</f>
        <v/>
      </c>
      <c r="E78" s="10">
        <f>IF($N78="","",INDEX('반배정'!E$7:E$86,$N78))</f>
        <v/>
      </c>
      <c r="F78" s="10">
        <f>IF($N78="","",INDEX('반배정'!G$7:G$86,$N78))</f>
        <v/>
      </c>
      <c r="G78" s="10">
        <f>IF($N78="","",INDEX('반배정'!H$7:H$86,$N78))</f>
        <v/>
      </c>
      <c r="H78" s="36">
        <f>IF($N78="","",INDEX('반배정'!I$7:I$86,$N78))</f>
        <v/>
      </c>
      <c r="I78" s="26">
        <f>IF($N78="","",INDEX('반배정'!O$7:O$86,$N78))</f>
        <v/>
      </c>
      <c r="J78" s="10">
        <f>IF($N78="","",INDEX('반배정'!N$7:N$86,$N78)&amp;"")</f>
        <v/>
      </c>
      <c r="K78" s="10">
        <f>IF($N78="","",INDEX('반배정'!L$7:L$86,$N78))</f>
        <v/>
      </c>
      <c r="L78" s="10">
        <f>IF($N78="","",INDEX('반배정'!P$7:P$86,$N78))</f>
        <v/>
      </c>
      <c r="M78" s="10">
        <f>IFERROR(SMALL('반배정'!$Q$7:$Q$86,72),"")</f>
        <v/>
      </c>
      <c r="N78" s="10">
        <f>IF(M78="","",MATCH(M78,'반배정'!$Q$7:$Q$86,0))</f>
        <v/>
      </c>
    </row>
    <row r="79">
      <c r="A79" s="10">
        <f>IF($N79="","",INDEX('반배정'!J$7:J$86,$N79))</f>
        <v/>
      </c>
      <c r="B79" s="10">
        <f>IF($N79="","",INDEX('반배정'!B$7:B$86,$N79))</f>
        <v/>
      </c>
      <c r="C79" s="10">
        <f>IF($N79="","",INDEX('반배정'!C$7:C$86,$N79))</f>
        <v/>
      </c>
      <c r="D79" s="10">
        <f>IF($N79="","",INDEX('반배정'!D$7:D$86,$N79))</f>
        <v/>
      </c>
      <c r="E79" s="10">
        <f>IF($N79="","",INDEX('반배정'!E$7:E$86,$N79))</f>
        <v/>
      </c>
      <c r="F79" s="10">
        <f>IF($N79="","",INDEX('반배정'!G$7:G$86,$N79))</f>
        <v/>
      </c>
      <c r="G79" s="10">
        <f>IF($N79="","",INDEX('반배정'!H$7:H$86,$N79))</f>
        <v/>
      </c>
      <c r="H79" s="36">
        <f>IF($N79="","",INDEX('반배정'!I$7:I$86,$N79))</f>
        <v/>
      </c>
      <c r="I79" s="26">
        <f>IF($N79="","",INDEX('반배정'!O$7:O$86,$N79))</f>
        <v/>
      </c>
      <c r="J79" s="10">
        <f>IF($N79="","",INDEX('반배정'!N$7:N$86,$N79)&amp;"")</f>
        <v/>
      </c>
      <c r="K79" s="10">
        <f>IF($N79="","",INDEX('반배정'!L$7:L$86,$N79))</f>
        <v/>
      </c>
      <c r="L79" s="10">
        <f>IF($N79="","",INDEX('반배정'!P$7:P$86,$N79))</f>
        <v/>
      </c>
      <c r="M79" s="10">
        <f>IFERROR(SMALL('반배정'!$Q$7:$Q$86,73),"")</f>
        <v/>
      </c>
      <c r="N79" s="10">
        <f>IF(M79="","",MATCH(M79,'반배정'!$Q$7:$Q$86,0))</f>
        <v/>
      </c>
    </row>
    <row r="80">
      <c r="A80" s="10">
        <f>IF($N80="","",INDEX('반배정'!J$7:J$86,$N80))</f>
        <v/>
      </c>
      <c r="B80" s="10">
        <f>IF($N80="","",INDEX('반배정'!B$7:B$86,$N80))</f>
        <v/>
      </c>
      <c r="C80" s="10">
        <f>IF($N80="","",INDEX('반배정'!C$7:C$86,$N80))</f>
        <v/>
      </c>
      <c r="D80" s="10">
        <f>IF($N80="","",INDEX('반배정'!D$7:D$86,$N80))</f>
        <v/>
      </c>
      <c r="E80" s="10">
        <f>IF($N80="","",INDEX('반배정'!E$7:E$86,$N80))</f>
        <v/>
      </c>
      <c r="F80" s="10">
        <f>IF($N80="","",INDEX('반배정'!G$7:G$86,$N80))</f>
        <v/>
      </c>
      <c r="G80" s="10">
        <f>IF($N80="","",INDEX('반배정'!H$7:H$86,$N80))</f>
        <v/>
      </c>
      <c r="H80" s="36">
        <f>IF($N80="","",INDEX('반배정'!I$7:I$86,$N80))</f>
        <v/>
      </c>
      <c r="I80" s="26">
        <f>IF($N80="","",INDEX('반배정'!O$7:O$86,$N80))</f>
        <v/>
      </c>
      <c r="J80" s="10">
        <f>IF($N80="","",INDEX('반배정'!N$7:N$86,$N80)&amp;"")</f>
        <v/>
      </c>
      <c r="K80" s="10">
        <f>IF($N80="","",INDEX('반배정'!L$7:L$86,$N80))</f>
        <v/>
      </c>
      <c r="L80" s="10">
        <f>IF($N80="","",INDEX('반배정'!P$7:P$86,$N80))</f>
        <v/>
      </c>
      <c r="M80" s="10">
        <f>IFERROR(SMALL('반배정'!$Q$7:$Q$86,74),"")</f>
        <v/>
      </c>
      <c r="N80" s="10">
        <f>IF(M80="","",MATCH(M80,'반배정'!$Q$7:$Q$86,0))</f>
        <v/>
      </c>
    </row>
    <row r="81">
      <c r="A81" s="10">
        <f>IF($N81="","",INDEX('반배정'!J$7:J$86,$N81))</f>
        <v/>
      </c>
      <c r="B81" s="10">
        <f>IF($N81="","",INDEX('반배정'!B$7:B$86,$N81))</f>
        <v/>
      </c>
      <c r="C81" s="10">
        <f>IF($N81="","",INDEX('반배정'!C$7:C$86,$N81))</f>
        <v/>
      </c>
      <c r="D81" s="10">
        <f>IF($N81="","",INDEX('반배정'!D$7:D$86,$N81))</f>
        <v/>
      </c>
      <c r="E81" s="10">
        <f>IF($N81="","",INDEX('반배정'!E$7:E$86,$N81))</f>
        <v/>
      </c>
      <c r="F81" s="10">
        <f>IF($N81="","",INDEX('반배정'!G$7:G$86,$N81))</f>
        <v/>
      </c>
      <c r="G81" s="10">
        <f>IF($N81="","",INDEX('반배정'!H$7:H$86,$N81))</f>
        <v/>
      </c>
      <c r="H81" s="36">
        <f>IF($N81="","",INDEX('반배정'!I$7:I$86,$N81))</f>
        <v/>
      </c>
      <c r="I81" s="26">
        <f>IF($N81="","",INDEX('반배정'!O$7:O$86,$N81))</f>
        <v/>
      </c>
      <c r="J81" s="10">
        <f>IF($N81="","",INDEX('반배정'!N$7:N$86,$N81)&amp;"")</f>
        <v/>
      </c>
      <c r="K81" s="10">
        <f>IF($N81="","",INDEX('반배정'!L$7:L$86,$N81))</f>
        <v/>
      </c>
      <c r="L81" s="10">
        <f>IF($N81="","",INDEX('반배정'!P$7:P$86,$N81))</f>
        <v/>
      </c>
      <c r="M81" s="10">
        <f>IFERROR(SMALL('반배정'!$Q$7:$Q$86,75),"")</f>
        <v/>
      </c>
      <c r="N81" s="10">
        <f>IF(M81="","",MATCH(M81,'반배정'!$Q$7:$Q$86,0))</f>
        <v/>
      </c>
    </row>
    <row r="82">
      <c r="A82" s="10">
        <f>IF($N82="","",INDEX('반배정'!J$7:J$86,$N82))</f>
        <v/>
      </c>
      <c r="B82" s="10">
        <f>IF($N82="","",INDEX('반배정'!B$7:B$86,$N82))</f>
        <v/>
      </c>
      <c r="C82" s="10">
        <f>IF($N82="","",INDEX('반배정'!C$7:C$86,$N82))</f>
        <v/>
      </c>
      <c r="D82" s="10">
        <f>IF($N82="","",INDEX('반배정'!D$7:D$86,$N82))</f>
        <v/>
      </c>
      <c r="E82" s="10">
        <f>IF($N82="","",INDEX('반배정'!E$7:E$86,$N82))</f>
        <v/>
      </c>
      <c r="F82" s="10">
        <f>IF($N82="","",INDEX('반배정'!G$7:G$86,$N82))</f>
        <v/>
      </c>
      <c r="G82" s="10">
        <f>IF($N82="","",INDEX('반배정'!H$7:H$86,$N82))</f>
        <v/>
      </c>
      <c r="H82" s="36">
        <f>IF($N82="","",INDEX('반배정'!I$7:I$86,$N82))</f>
        <v/>
      </c>
      <c r="I82" s="26">
        <f>IF($N82="","",INDEX('반배정'!O$7:O$86,$N82))</f>
        <v/>
      </c>
      <c r="J82" s="10">
        <f>IF($N82="","",INDEX('반배정'!N$7:N$86,$N82)&amp;"")</f>
        <v/>
      </c>
      <c r="K82" s="10">
        <f>IF($N82="","",INDEX('반배정'!L$7:L$86,$N82))</f>
        <v/>
      </c>
      <c r="L82" s="10">
        <f>IF($N82="","",INDEX('반배정'!P$7:P$86,$N82))</f>
        <v/>
      </c>
      <c r="M82" s="10">
        <f>IFERROR(SMALL('반배정'!$Q$7:$Q$86,76),"")</f>
        <v/>
      </c>
      <c r="N82" s="10">
        <f>IF(M82="","",MATCH(M82,'반배정'!$Q$7:$Q$86,0))</f>
        <v/>
      </c>
    </row>
    <row r="83">
      <c r="A83" s="10">
        <f>IF($N83="","",INDEX('반배정'!J$7:J$86,$N83))</f>
        <v/>
      </c>
      <c r="B83" s="10">
        <f>IF($N83="","",INDEX('반배정'!B$7:B$86,$N83))</f>
        <v/>
      </c>
      <c r="C83" s="10">
        <f>IF($N83="","",INDEX('반배정'!C$7:C$86,$N83))</f>
        <v/>
      </c>
      <c r="D83" s="10">
        <f>IF($N83="","",INDEX('반배정'!D$7:D$86,$N83))</f>
        <v/>
      </c>
      <c r="E83" s="10">
        <f>IF($N83="","",INDEX('반배정'!E$7:E$86,$N83))</f>
        <v/>
      </c>
      <c r="F83" s="10">
        <f>IF($N83="","",INDEX('반배정'!G$7:G$86,$N83))</f>
        <v/>
      </c>
      <c r="G83" s="10">
        <f>IF($N83="","",INDEX('반배정'!H$7:H$86,$N83))</f>
        <v/>
      </c>
      <c r="H83" s="36">
        <f>IF($N83="","",INDEX('반배정'!I$7:I$86,$N83))</f>
        <v/>
      </c>
      <c r="I83" s="26">
        <f>IF($N83="","",INDEX('반배정'!O$7:O$86,$N83))</f>
        <v/>
      </c>
      <c r="J83" s="10">
        <f>IF($N83="","",INDEX('반배정'!N$7:N$86,$N83)&amp;"")</f>
        <v/>
      </c>
      <c r="K83" s="10">
        <f>IF($N83="","",INDEX('반배정'!L$7:L$86,$N83))</f>
        <v/>
      </c>
      <c r="L83" s="10">
        <f>IF($N83="","",INDEX('반배정'!P$7:P$86,$N83))</f>
        <v/>
      </c>
      <c r="M83" s="10">
        <f>IFERROR(SMALL('반배정'!$Q$7:$Q$86,77),"")</f>
        <v/>
      </c>
      <c r="N83" s="10">
        <f>IF(M83="","",MATCH(M83,'반배정'!$Q$7:$Q$86,0))</f>
        <v/>
      </c>
    </row>
    <row r="84">
      <c r="A84" s="10">
        <f>IF($N84="","",INDEX('반배정'!J$7:J$86,$N84))</f>
        <v/>
      </c>
      <c r="B84" s="10">
        <f>IF($N84="","",INDEX('반배정'!B$7:B$86,$N84))</f>
        <v/>
      </c>
      <c r="C84" s="10">
        <f>IF($N84="","",INDEX('반배정'!C$7:C$86,$N84))</f>
        <v/>
      </c>
      <c r="D84" s="10">
        <f>IF($N84="","",INDEX('반배정'!D$7:D$86,$N84))</f>
        <v/>
      </c>
      <c r="E84" s="10">
        <f>IF($N84="","",INDEX('반배정'!E$7:E$86,$N84))</f>
        <v/>
      </c>
      <c r="F84" s="10">
        <f>IF($N84="","",INDEX('반배정'!G$7:G$86,$N84))</f>
        <v/>
      </c>
      <c r="G84" s="10">
        <f>IF($N84="","",INDEX('반배정'!H$7:H$86,$N84))</f>
        <v/>
      </c>
      <c r="H84" s="36">
        <f>IF($N84="","",INDEX('반배정'!I$7:I$86,$N84))</f>
        <v/>
      </c>
      <c r="I84" s="26">
        <f>IF($N84="","",INDEX('반배정'!O$7:O$86,$N84))</f>
        <v/>
      </c>
      <c r="J84" s="10">
        <f>IF($N84="","",INDEX('반배정'!N$7:N$86,$N84)&amp;"")</f>
        <v/>
      </c>
      <c r="K84" s="10">
        <f>IF($N84="","",INDEX('반배정'!L$7:L$86,$N84))</f>
        <v/>
      </c>
      <c r="L84" s="10">
        <f>IF($N84="","",INDEX('반배정'!P$7:P$86,$N84))</f>
        <v/>
      </c>
      <c r="M84" s="10">
        <f>IFERROR(SMALL('반배정'!$Q$7:$Q$86,78),"")</f>
        <v/>
      </c>
      <c r="N84" s="10">
        <f>IF(M84="","",MATCH(M84,'반배정'!$Q$7:$Q$86,0))</f>
        <v/>
      </c>
    </row>
    <row r="85">
      <c r="A85" s="10">
        <f>IF($N85="","",INDEX('반배정'!J$7:J$86,$N85))</f>
        <v/>
      </c>
      <c r="B85" s="10">
        <f>IF($N85="","",INDEX('반배정'!B$7:B$86,$N85))</f>
        <v/>
      </c>
      <c r="C85" s="10">
        <f>IF($N85="","",INDEX('반배정'!C$7:C$86,$N85))</f>
        <v/>
      </c>
      <c r="D85" s="10">
        <f>IF($N85="","",INDEX('반배정'!D$7:D$86,$N85))</f>
        <v/>
      </c>
      <c r="E85" s="10">
        <f>IF($N85="","",INDEX('반배정'!E$7:E$86,$N85))</f>
        <v/>
      </c>
      <c r="F85" s="10">
        <f>IF($N85="","",INDEX('반배정'!G$7:G$86,$N85))</f>
        <v/>
      </c>
      <c r="G85" s="10">
        <f>IF($N85="","",INDEX('반배정'!H$7:H$86,$N85))</f>
        <v/>
      </c>
      <c r="H85" s="36">
        <f>IF($N85="","",INDEX('반배정'!I$7:I$86,$N85))</f>
        <v/>
      </c>
      <c r="I85" s="26">
        <f>IF($N85="","",INDEX('반배정'!O$7:O$86,$N85))</f>
        <v/>
      </c>
      <c r="J85" s="10">
        <f>IF($N85="","",INDEX('반배정'!N$7:N$86,$N85)&amp;"")</f>
        <v/>
      </c>
      <c r="K85" s="10">
        <f>IF($N85="","",INDEX('반배정'!L$7:L$86,$N85))</f>
        <v/>
      </c>
      <c r="L85" s="10">
        <f>IF($N85="","",INDEX('반배정'!P$7:P$86,$N85))</f>
        <v/>
      </c>
      <c r="M85" s="10">
        <f>IFERROR(SMALL('반배정'!$Q$7:$Q$86,79),"")</f>
        <v/>
      </c>
      <c r="N85" s="10">
        <f>IF(M85="","",MATCH(M85,'반배정'!$Q$7:$Q$86,0))</f>
        <v/>
      </c>
    </row>
    <row r="86">
      <c r="A86" s="10">
        <f>IF($N86="","",INDEX('반배정'!J$7:J$86,$N86))</f>
        <v/>
      </c>
      <c r="B86" s="10">
        <f>IF($N86="","",INDEX('반배정'!B$7:B$86,$N86))</f>
        <v/>
      </c>
      <c r="C86" s="10">
        <f>IF($N86="","",INDEX('반배정'!C$7:C$86,$N86))</f>
        <v/>
      </c>
      <c r="D86" s="10">
        <f>IF($N86="","",INDEX('반배정'!D$7:D$86,$N86))</f>
        <v/>
      </c>
      <c r="E86" s="10">
        <f>IF($N86="","",INDEX('반배정'!E$7:E$86,$N86))</f>
        <v/>
      </c>
      <c r="F86" s="10">
        <f>IF($N86="","",INDEX('반배정'!G$7:G$86,$N86))</f>
        <v/>
      </c>
      <c r="G86" s="10">
        <f>IF($N86="","",INDEX('반배정'!H$7:H$86,$N86))</f>
        <v/>
      </c>
      <c r="H86" s="36">
        <f>IF($N86="","",INDEX('반배정'!I$7:I$86,$N86))</f>
        <v/>
      </c>
      <c r="I86" s="26">
        <f>IF($N86="","",INDEX('반배정'!O$7:O$86,$N86))</f>
        <v/>
      </c>
      <c r="J86" s="10">
        <f>IF($N86="","",INDEX('반배정'!N$7:N$86,$N86)&amp;"")</f>
        <v/>
      </c>
      <c r="K86" s="10">
        <f>IF($N86="","",INDEX('반배정'!L$7:L$86,$N86))</f>
        <v/>
      </c>
      <c r="L86" s="10">
        <f>IF($N86="","",INDEX('반배정'!P$7:P$86,$N86))</f>
        <v/>
      </c>
      <c r="M86" s="10">
        <f>IFERROR(SMALL('반배정'!$Q$7:$Q$86,80),"")</f>
        <v/>
      </c>
      <c r="N86" s="10">
        <f>IF(M86="","",MATCH(M86,'반배정'!$Q$7:$Q$86,0))</f>
        <v/>
      </c>
    </row>
  </sheetData>
  <mergeCells count="2">
    <mergeCell ref="A2:L2"/>
    <mergeCell ref="A1:L1"/>
  </mergeCells>
  <conditionalFormatting sqref="A7:L86">
    <cfRule type="expression" priority="1" dxfId="3">
      <formula>AND($I7&lt;&gt;"",$I7='설정'!$B$6)</formula>
    </cfRule>
    <cfRule type="expression" priority="2" dxfId="4">
      <formula>AND($I7&lt;&gt;"",$I7='설정'!$B$7)</formula>
    </cfRule>
    <cfRule type="expression" priority="3" dxfId="5">
      <formula>AND($I7&lt;&gt;"",$I7='설정'!$B$8)</formula>
    </cfRule>
    <cfRule type="expression" priority="4" dxfId="6">
      <formula>AND($I7&lt;&gt;"",$I7='설정'!$B$9)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S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14" customWidth="1" min="3" max="3"/>
    <col width="6" customWidth="1" min="4" max="4"/>
    <col width="5" customWidth="1" min="5" max="5"/>
    <col width="5" customWidth="1" min="6" max="6"/>
    <col width="5" customWidth="1" min="7" max="7"/>
    <col width="6" customWidth="1" min="8" max="8"/>
    <col width="7" customWidth="1" min="9" max="9"/>
    <col width="8" customWidth="1" min="10" max="10"/>
    <col width="8" customWidth="1" min="11" max="11"/>
    <col width="8" customWidth="1" min="12" max="12"/>
    <col width="7" customWidth="1" min="13" max="13"/>
    <col width="14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</cols>
  <sheetData>
    <row r="1" ht="26" customHeight="1">
      <c r="A1" s="1" t="inlineStr">
        <is>
          <t>문항 분석</t>
        </is>
      </c>
    </row>
    <row r="2" ht="30" customHeight="1">
      <c r="A2" s="2" t="inlineStr">
        <is>
          <t>변별도 = TF1반 정답률 − TF3반 정답률(자동배정 기준, 0.3 이상이면 상·하위를 잘 가르는 문항). 객관식은 선지별 선택 인원으로 매력적 오답을 확인하세요.</t>
        </is>
      </c>
    </row>
    <row r="4">
      <c r="A4" s="37" t="inlineStr">
        <is>
          <t>공통수학1</t>
        </is>
      </c>
    </row>
    <row r="5" ht="30" customHeight="1">
      <c r="A5" s="4" t="inlineStr">
        <is>
          <t>문항</t>
        </is>
      </c>
      <c r="B5" s="4" t="inlineStr">
        <is>
          <t>유형</t>
        </is>
      </c>
      <c r="C5" s="4" t="inlineStr">
        <is>
          <t>단원</t>
        </is>
      </c>
      <c r="D5" s="4" t="inlineStr">
        <is>
          <t>난이도</t>
        </is>
      </c>
      <c r="E5" s="4" t="inlineStr">
        <is>
          <t>배점</t>
        </is>
      </c>
      <c r="F5" s="4" t="inlineStr">
        <is>
          <t>정답</t>
        </is>
      </c>
      <c r="G5" s="4" t="inlineStr">
        <is>
          <t>응시</t>
        </is>
      </c>
      <c r="H5" s="4" t="inlineStr">
        <is>
          <t>정답자</t>
        </is>
      </c>
      <c r="I5" s="4" t="inlineStr">
        <is>
          <t>정답률</t>
        </is>
      </c>
      <c r="J5" s="4">
        <f>'설정'!$B$6&amp;" 정답률"</f>
        <v/>
      </c>
      <c r="K5" s="4">
        <f>'설정'!$B$7&amp;" 정답률"</f>
        <v/>
      </c>
      <c r="L5" s="4">
        <f>'설정'!$B$8&amp;" 정답률"</f>
        <v/>
      </c>
      <c r="M5" s="4" t="inlineStr">
        <is>
          <t>변별도</t>
        </is>
      </c>
      <c r="N5" s="4" t="inlineStr">
        <is>
          <t>진단</t>
        </is>
      </c>
      <c r="O5" s="4" t="inlineStr">
        <is>
          <t>①</t>
        </is>
      </c>
      <c r="P5" s="4" t="inlineStr">
        <is>
          <t>②</t>
        </is>
      </c>
      <c r="Q5" s="4" t="inlineStr">
        <is>
          <t>③</t>
        </is>
      </c>
      <c r="R5" s="4" t="inlineStr">
        <is>
          <t>④</t>
        </is>
      </c>
      <c r="S5" s="4" t="inlineStr">
        <is>
          <t>⑤</t>
        </is>
      </c>
    </row>
    <row r="6">
      <c r="A6" s="8" t="n">
        <v>1</v>
      </c>
      <c r="B6" s="17" t="inlineStr">
        <is>
          <t>객관식</t>
        </is>
      </c>
      <c r="C6" s="38">
        <f>'공수1'!D4</f>
        <v/>
      </c>
      <c r="D6" s="10">
        <f>'공수1'!D5</f>
        <v/>
      </c>
      <c r="E6" s="10">
        <f>'공수1'!D3</f>
        <v/>
      </c>
      <c r="F6" s="39">
        <f>IF('공수1'!$D$2="","",'공수1'!$D$2)</f>
        <v/>
      </c>
      <c r="G6" s="10">
        <f>COUNT('공수1'!$Y$7:$Y$86)</f>
        <v/>
      </c>
      <c r="H6" s="10">
        <f>IF(F6="","",SUMPRODUCT(('공수1'!$D$7:$D$86='공수1'!$D$2)*('공수1'!$D$7:$D$86&lt;&gt;"")))</f>
        <v/>
      </c>
      <c r="I6" s="40">
        <f>IF(OR(F6="",G6=0),"",H6/G6)</f>
        <v/>
      </c>
      <c r="J6" s="41">
        <f>IF(F6="","",IFERROR(SUMPRODUCT(('공수1'!$D$7:$D$86='공수1'!$D$2)*('공수1'!$D$7:$D$86&lt;&gt;"")*('반배정'!$K$7:$K$86='설정'!$B$6))/COUNTIFS('반배정'!$K$7:$K$86,'설정'!$B$6,'공수1'!$Y$7:$Y$86,"&gt;=0"),""))</f>
        <v/>
      </c>
      <c r="K6" s="41">
        <f>IF(F6="","",IFERROR(SUMPRODUCT(('공수1'!$D$7:$D$86='공수1'!$D$2)*('공수1'!$D$7:$D$86&lt;&gt;"")*('반배정'!$K$7:$K$86='설정'!$B$7))/COUNTIFS('반배정'!$K$7:$K$86,'설정'!$B$7,'공수1'!$Y$7:$Y$86,"&gt;=0"),""))</f>
        <v/>
      </c>
      <c r="L6" s="41">
        <f>IF(F6="","",IFERROR(SUMPRODUCT(('공수1'!$D$7:$D$86='공수1'!$D$2)*('공수1'!$D$7:$D$86&lt;&gt;"")*('반배정'!$K$7:$K$86='설정'!$B$8))/COUNTIFS('반배정'!$K$7:$K$86,'설정'!$B$8,'공수1'!$Y$7:$Y$86,"&gt;=0"),""))</f>
        <v/>
      </c>
      <c r="M6" s="42">
        <f>IF(OR(J6="",L6=""),"",J6-L6)</f>
        <v/>
      </c>
      <c r="N6" s="38">
        <f>IF(I6="","",IF(AND(M6&lt;&gt;"",M6&lt;0),"역변별·문항검토",IF(I6&gt;=0.9,"매우 쉬움",IF(I6&lt;=0.15,"매우 어려움",IF(AND(M6&lt;&gt;"",M6&lt;0.2),"변별력 낮음","양호")))))</f>
        <v/>
      </c>
      <c r="O6" s="38">
        <f>IF(G6=0,"",COUNTIF('공수1'!$D$7:$D$86,1))</f>
        <v/>
      </c>
      <c r="P6" s="38">
        <f>IF(G6=0,"",COUNTIF('공수1'!$D$7:$D$86,2))</f>
        <v/>
      </c>
      <c r="Q6" s="38">
        <f>IF(G6=0,"",COUNTIF('공수1'!$D$7:$D$86,3))</f>
        <v/>
      </c>
      <c r="R6" s="38">
        <f>IF(G6=0,"",COUNTIF('공수1'!$D$7:$D$86,4))</f>
        <v/>
      </c>
      <c r="S6" s="38">
        <f>IF(G6=0,"",COUNTIF('공수1'!$D$7:$D$86,5))</f>
        <v/>
      </c>
    </row>
    <row r="7">
      <c r="A7" s="8" t="n">
        <v>2</v>
      </c>
      <c r="B7" s="17" t="inlineStr">
        <is>
          <t>객관식</t>
        </is>
      </c>
      <c r="C7" s="38">
        <f>'공수1'!E4</f>
        <v/>
      </c>
      <c r="D7" s="10">
        <f>'공수1'!E5</f>
        <v/>
      </c>
      <c r="E7" s="10">
        <f>'공수1'!E3</f>
        <v/>
      </c>
      <c r="F7" s="39">
        <f>IF('공수1'!$E$2="","",'공수1'!$E$2)</f>
        <v/>
      </c>
      <c r="G7" s="10">
        <f>COUNT('공수1'!$Y$7:$Y$86)</f>
        <v/>
      </c>
      <c r="H7" s="10">
        <f>IF(F7="","",SUMPRODUCT(('공수1'!$E$7:$E$86='공수1'!$E$2)*('공수1'!$E$7:$E$86&lt;&gt;"")))</f>
        <v/>
      </c>
      <c r="I7" s="40">
        <f>IF(OR(F7="",G7=0),"",H7/G7)</f>
        <v/>
      </c>
      <c r="J7" s="41">
        <f>IF(F7="","",IFERROR(SUMPRODUCT(('공수1'!$E$7:$E$86='공수1'!$E$2)*('공수1'!$E$7:$E$86&lt;&gt;"")*('반배정'!$K$7:$K$86='설정'!$B$6))/COUNTIFS('반배정'!$K$7:$K$86,'설정'!$B$6,'공수1'!$Y$7:$Y$86,"&gt;=0"),""))</f>
        <v/>
      </c>
      <c r="K7" s="41">
        <f>IF(F7="","",IFERROR(SUMPRODUCT(('공수1'!$E$7:$E$86='공수1'!$E$2)*('공수1'!$E$7:$E$86&lt;&gt;"")*('반배정'!$K$7:$K$86='설정'!$B$7))/COUNTIFS('반배정'!$K$7:$K$86,'설정'!$B$7,'공수1'!$Y$7:$Y$86,"&gt;=0"),""))</f>
        <v/>
      </c>
      <c r="L7" s="41">
        <f>IF(F7="","",IFERROR(SUMPRODUCT(('공수1'!$E$7:$E$86='공수1'!$E$2)*('공수1'!$E$7:$E$86&lt;&gt;"")*('반배정'!$K$7:$K$86='설정'!$B$8))/COUNTIFS('반배정'!$K$7:$K$86,'설정'!$B$8,'공수1'!$Y$7:$Y$86,"&gt;=0"),""))</f>
        <v/>
      </c>
      <c r="M7" s="42">
        <f>IF(OR(J7="",L7=""),"",J7-L7)</f>
        <v/>
      </c>
      <c r="N7" s="38">
        <f>IF(I7="","",IF(AND(M7&lt;&gt;"",M7&lt;0),"역변별·문항검토",IF(I7&gt;=0.9,"매우 쉬움",IF(I7&lt;=0.15,"매우 어려움",IF(AND(M7&lt;&gt;"",M7&lt;0.2),"변별력 낮음","양호")))))</f>
        <v/>
      </c>
      <c r="O7" s="38">
        <f>IF(G7=0,"",COUNTIF('공수1'!$E$7:$E$86,1))</f>
        <v/>
      </c>
      <c r="P7" s="38">
        <f>IF(G7=0,"",COUNTIF('공수1'!$E$7:$E$86,2))</f>
        <v/>
      </c>
      <c r="Q7" s="38">
        <f>IF(G7=0,"",COUNTIF('공수1'!$E$7:$E$86,3))</f>
        <v/>
      </c>
      <c r="R7" s="38">
        <f>IF(G7=0,"",COUNTIF('공수1'!$E$7:$E$86,4))</f>
        <v/>
      </c>
      <c r="S7" s="38">
        <f>IF(G7=0,"",COUNTIF('공수1'!$E$7:$E$86,5))</f>
        <v/>
      </c>
    </row>
    <row r="8">
      <c r="A8" s="8" t="n">
        <v>3</v>
      </c>
      <c r="B8" s="17" t="inlineStr">
        <is>
          <t>객관식</t>
        </is>
      </c>
      <c r="C8" s="38">
        <f>'공수1'!F4</f>
        <v/>
      </c>
      <c r="D8" s="10">
        <f>'공수1'!F5</f>
        <v/>
      </c>
      <c r="E8" s="10">
        <f>'공수1'!F3</f>
        <v/>
      </c>
      <c r="F8" s="39">
        <f>IF('공수1'!$F$2="","",'공수1'!$F$2)</f>
        <v/>
      </c>
      <c r="G8" s="10">
        <f>COUNT('공수1'!$Y$7:$Y$86)</f>
        <v/>
      </c>
      <c r="H8" s="10">
        <f>IF(F8="","",SUMPRODUCT(('공수1'!$F$7:$F$86='공수1'!$F$2)*('공수1'!$F$7:$F$86&lt;&gt;"")))</f>
        <v/>
      </c>
      <c r="I8" s="40">
        <f>IF(OR(F8="",G8=0),"",H8/G8)</f>
        <v/>
      </c>
      <c r="J8" s="41">
        <f>IF(F8="","",IFERROR(SUMPRODUCT(('공수1'!$F$7:$F$86='공수1'!$F$2)*('공수1'!$F$7:$F$86&lt;&gt;"")*('반배정'!$K$7:$K$86='설정'!$B$6))/COUNTIFS('반배정'!$K$7:$K$86,'설정'!$B$6,'공수1'!$Y$7:$Y$86,"&gt;=0"),""))</f>
        <v/>
      </c>
      <c r="K8" s="41">
        <f>IF(F8="","",IFERROR(SUMPRODUCT(('공수1'!$F$7:$F$86='공수1'!$F$2)*('공수1'!$F$7:$F$86&lt;&gt;"")*('반배정'!$K$7:$K$86='설정'!$B$7))/COUNTIFS('반배정'!$K$7:$K$86,'설정'!$B$7,'공수1'!$Y$7:$Y$86,"&gt;=0"),""))</f>
        <v/>
      </c>
      <c r="L8" s="41">
        <f>IF(F8="","",IFERROR(SUMPRODUCT(('공수1'!$F$7:$F$86='공수1'!$F$2)*('공수1'!$F$7:$F$86&lt;&gt;"")*('반배정'!$K$7:$K$86='설정'!$B$8))/COUNTIFS('반배정'!$K$7:$K$86,'설정'!$B$8,'공수1'!$Y$7:$Y$86,"&gt;=0"),""))</f>
        <v/>
      </c>
      <c r="M8" s="42">
        <f>IF(OR(J8="",L8=""),"",J8-L8)</f>
        <v/>
      </c>
      <c r="N8" s="38">
        <f>IF(I8="","",IF(AND(M8&lt;&gt;"",M8&lt;0),"역변별·문항검토",IF(I8&gt;=0.9,"매우 쉬움",IF(I8&lt;=0.15,"매우 어려움",IF(AND(M8&lt;&gt;"",M8&lt;0.2),"변별력 낮음","양호")))))</f>
        <v/>
      </c>
      <c r="O8" s="38">
        <f>IF(G8=0,"",COUNTIF('공수1'!$F$7:$F$86,1))</f>
        <v/>
      </c>
      <c r="P8" s="38">
        <f>IF(G8=0,"",COUNTIF('공수1'!$F$7:$F$86,2))</f>
        <v/>
      </c>
      <c r="Q8" s="38">
        <f>IF(G8=0,"",COUNTIF('공수1'!$F$7:$F$86,3))</f>
        <v/>
      </c>
      <c r="R8" s="38">
        <f>IF(G8=0,"",COUNTIF('공수1'!$F$7:$F$86,4))</f>
        <v/>
      </c>
      <c r="S8" s="38">
        <f>IF(G8=0,"",COUNTIF('공수1'!$F$7:$F$86,5))</f>
        <v/>
      </c>
    </row>
    <row r="9">
      <c r="A9" s="8" t="n">
        <v>4</v>
      </c>
      <c r="B9" s="17" t="inlineStr">
        <is>
          <t>객관식</t>
        </is>
      </c>
      <c r="C9" s="38">
        <f>'공수1'!G4</f>
        <v/>
      </c>
      <c r="D9" s="10">
        <f>'공수1'!G5</f>
        <v/>
      </c>
      <c r="E9" s="10">
        <f>'공수1'!G3</f>
        <v/>
      </c>
      <c r="F9" s="39">
        <f>IF('공수1'!$G$2="","",'공수1'!$G$2)</f>
        <v/>
      </c>
      <c r="G9" s="10">
        <f>COUNT('공수1'!$Y$7:$Y$86)</f>
        <v/>
      </c>
      <c r="H9" s="10">
        <f>IF(F9="","",SUMPRODUCT(('공수1'!$G$7:$G$86='공수1'!$G$2)*('공수1'!$G$7:$G$86&lt;&gt;"")))</f>
        <v/>
      </c>
      <c r="I9" s="40">
        <f>IF(OR(F9="",G9=0),"",H9/G9)</f>
        <v/>
      </c>
      <c r="J9" s="41">
        <f>IF(F9="","",IFERROR(SUMPRODUCT(('공수1'!$G$7:$G$86='공수1'!$G$2)*('공수1'!$G$7:$G$86&lt;&gt;"")*('반배정'!$K$7:$K$86='설정'!$B$6))/COUNTIFS('반배정'!$K$7:$K$86,'설정'!$B$6,'공수1'!$Y$7:$Y$86,"&gt;=0"),""))</f>
        <v/>
      </c>
      <c r="K9" s="41">
        <f>IF(F9="","",IFERROR(SUMPRODUCT(('공수1'!$G$7:$G$86='공수1'!$G$2)*('공수1'!$G$7:$G$86&lt;&gt;"")*('반배정'!$K$7:$K$86='설정'!$B$7))/COUNTIFS('반배정'!$K$7:$K$86,'설정'!$B$7,'공수1'!$Y$7:$Y$86,"&gt;=0"),""))</f>
        <v/>
      </c>
      <c r="L9" s="41">
        <f>IF(F9="","",IFERROR(SUMPRODUCT(('공수1'!$G$7:$G$86='공수1'!$G$2)*('공수1'!$G$7:$G$86&lt;&gt;"")*('반배정'!$K$7:$K$86='설정'!$B$8))/COUNTIFS('반배정'!$K$7:$K$86,'설정'!$B$8,'공수1'!$Y$7:$Y$86,"&gt;=0"),""))</f>
        <v/>
      </c>
      <c r="M9" s="42">
        <f>IF(OR(J9="",L9=""),"",J9-L9)</f>
        <v/>
      </c>
      <c r="N9" s="38">
        <f>IF(I9="","",IF(AND(M9&lt;&gt;"",M9&lt;0),"역변별·문항검토",IF(I9&gt;=0.9,"매우 쉬움",IF(I9&lt;=0.15,"매우 어려움",IF(AND(M9&lt;&gt;"",M9&lt;0.2),"변별력 낮음","양호")))))</f>
        <v/>
      </c>
      <c r="O9" s="38">
        <f>IF(G9=0,"",COUNTIF('공수1'!$G$7:$G$86,1))</f>
        <v/>
      </c>
      <c r="P9" s="38">
        <f>IF(G9=0,"",COUNTIF('공수1'!$G$7:$G$86,2))</f>
        <v/>
      </c>
      <c r="Q9" s="38">
        <f>IF(G9=0,"",COUNTIF('공수1'!$G$7:$G$86,3))</f>
        <v/>
      </c>
      <c r="R9" s="38">
        <f>IF(G9=0,"",COUNTIF('공수1'!$G$7:$G$86,4))</f>
        <v/>
      </c>
      <c r="S9" s="38">
        <f>IF(G9=0,"",COUNTIF('공수1'!$G$7:$G$86,5))</f>
        <v/>
      </c>
    </row>
    <row r="10">
      <c r="A10" s="8" t="n">
        <v>5</v>
      </c>
      <c r="B10" s="17" t="inlineStr">
        <is>
          <t>객관식</t>
        </is>
      </c>
      <c r="C10" s="38">
        <f>'공수1'!H4</f>
        <v/>
      </c>
      <c r="D10" s="10">
        <f>'공수1'!H5</f>
        <v/>
      </c>
      <c r="E10" s="10">
        <f>'공수1'!H3</f>
        <v/>
      </c>
      <c r="F10" s="39">
        <f>IF('공수1'!$H$2="","",'공수1'!$H$2)</f>
        <v/>
      </c>
      <c r="G10" s="10">
        <f>COUNT('공수1'!$Y$7:$Y$86)</f>
        <v/>
      </c>
      <c r="H10" s="10">
        <f>IF(F10="","",SUMPRODUCT(('공수1'!$H$7:$H$86='공수1'!$H$2)*('공수1'!$H$7:$H$86&lt;&gt;"")))</f>
        <v/>
      </c>
      <c r="I10" s="40">
        <f>IF(OR(F10="",G10=0),"",H10/G10)</f>
        <v/>
      </c>
      <c r="J10" s="41">
        <f>IF(F10="","",IFERROR(SUMPRODUCT(('공수1'!$H$7:$H$86='공수1'!$H$2)*('공수1'!$H$7:$H$86&lt;&gt;"")*('반배정'!$K$7:$K$86='설정'!$B$6))/COUNTIFS('반배정'!$K$7:$K$86,'설정'!$B$6,'공수1'!$Y$7:$Y$86,"&gt;=0"),""))</f>
        <v/>
      </c>
      <c r="K10" s="41">
        <f>IF(F10="","",IFERROR(SUMPRODUCT(('공수1'!$H$7:$H$86='공수1'!$H$2)*('공수1'!$H$7:$H$86&lt;&gt;"")*('반배정'!$K$7:$K$86='설정'!$B$7))/COUNTIFS('반배정'!$K$7:$K$86,'설정'!$B$7,'공수1'!$Y$7:$Y$86,"&gt;=0"),""))</f>
        <v/>
      </c>
      <c r="L10" s="41">
        <f>IF(F10="","",IFERROR(SUMPRODUCT(('공수1'!$H$7:$H$86='공수1'!$H$2)*('공수1'!$H$7:$H$86&lt;&gt;"")*('반배정'!$K$7:$K$86='설정'!$B$8))/COUNTIFS('반배정'!$K$7:$K$86,'설정'!$B$8,'공수1'!$Y$7:$Y$86,"&gt;=0"),""))</f>
        <v/>
      </c>
      <c r="M10" s="42">
        <f>IF(OR(J10="",L10=""),"",J10-L10)</f>
        <v/>
      </c>
      <c r="N10" s="38">
        <f>IF(I10="","",IF(AND(M10&lt;&gt;"",M10&lt;0),"역변별·문항검토",IF(I10&gt;=0.9,"매우 쉬움",IF(I10&lt;=0.15,"매우 어려움",IF(AND(M10&lt;&gt;"",M10&lt;0.2),"변별력 낮음","양호")))))</f>
        <v/>
      </c>
      <c r="O10" s="38">
        <f>IF(G10=0,"",COUNTIF('공수1'!$H$7:$H$86,1))</f>
        <v/>
      </c>
      <c r="P10" s="38">
        <f>IF(G10=0,"",COUNTIF('공수1'!$H$7:$H$86,2))</f>
        <v/>
      </c>
      <c r="Q10" s="38">
        <f>IF(G10=0,"",COUNTIF('공수1'!$H$7:$H$86,3))</f>
        <v/>
      </c>
      <c r="R10" s="38">
        <f>IF(G10=0,"",COUNTIF('공수1'!$H$7:$H$86,4))</f>
        <v/>
      </c>
      <c r="S10" s="38">
        <f>IF(G10=0,"",COUNTIF('공수1'!$H$7:$H$86,5))</f>
        <v/>
      </c>
    </row>
    <row r="11">
      <c r="A11" s="8" t="n">
        <v>6</v>
      </c>
      <c r="B11" s="17" t="inlineStr">
        <is>
          <t>객관식</t>
        </is>
      </c>
      <c r="C11" s="38">
        <f>'공수1'!I4</f>
        <v/>
      </c>
      <c r="D11" s="10">
        <f>'공수1'!I5</f>
        <v/>
      </c>
      <c r="E11" s="10">
        <f>'공수1'!I3</f>
        <v/>
      </c>
      <c r="F11" s="39">
        <f>IF('공수1'!$I$2="","",'공수1'!$I$2)</f>
        <v/>
      </c>
      <c r="G11" s="10">
        <f>COUNT('공수1'!$Y$7:$Y$86)</f>
        <v/>
      </c>
      <c r="H11" s="10">
        <f>IF(F11="","",SUMPRODUCT(('공수1'!$I$7:$I$86='공수1'!$I$2)*('공수1'!$I$7:$I$86&lt;&gt;"")))</f>
        <v/>
      </c>
      <c r="I11" s="40">
        <f>IF(OR(F11="",G11=0),"",H11/G11)</f>
        <v/>
      </c>
      <c r="J11" s="41">
        <f>IF(F11="","",IFERROR(SUMPRODUCT(('공수1'!$I$7:$I$86='공수1'!$I$2)*('공수1'!$I$7:$I$86&lt;&gt;"")*('반배정'!$K$7:$K$86='설정'!$B$6))/COUNTIFS('반배정'!$K$7:$K$86,'설정'!$B$6,'공수1'!$Y$7:$Y$86,"&gt;=0"),""))</f>
        <v/>
      </c>
      <c r="K11" s="41">
        <f>IF(F11="","",IFERROR(SUMPRODUCT(('공수1'!$I$7:$I$86='공수1'!$I$2)*('공수1'!$I$7:$I$86&lt;&gt;"")*('반배정'!$K$7:$K$86='설정'!$B$7))/COUNTIFS('반배정'!$K$7:$K$86,'설정'!$B$7,'공수1'!$Y$7:$Y$86,"&gt;=0"),""))</f>
        <v/>
      </c>
      <c r="L11" s="41">
        <f>IF(F11="","",IFERROR(SUMPRODUCT(('공수1'!$I$7:$I$86='공수1'!$I$2)*('공수1'!$I$7:$I$86&lt;&gt;"")*('반배정'!$K$7:$K$86='설정'!$B$8))/COUNTIFS('반배정'!$K$7:$K$86,'설정'!$B$8,'공수1'!$Y$7:$Y$86,"&gt;=0"),""))</f>
        <v/>
      </c>
      <c r="M11" s="42">
        <f>IF(OR(J11="",L11=""),"",J11-L11)</f>
        <v/>
      </c>
      <c r="N11" s="38">
        <f>IF(I11="","",IF(AND(M11&lt;&gt;"",M11&lt;0),"역변별·문항검토",IF(I11&gt;=0.9,"매우 쉬움",IF(I11&lt;=0.15,"매우 어려움",IF(AND(M11&lt;&gt;"",M11&lt;0.2),"변별력 낮음","양호")))))</f>
        <v/>
      </c>
      <c r="O11" s="38">
        <f>IF(G11=0,"",COUNTIF('공수1'!$I$7:$I$86,1))</f>
        <v/>
      </c>
      <c r="P11" s="38">
        <f>IF(G11=0,"",COUNTIF('공수1'!$I$7:$I$86,2))</f>
        <v/>
      </c>
      <c r="Q11" s="38">
        <f>IF(G11=0,"",COUNTIF('공수1'!$I$7:$I$86,3))</f>
        <v/>
      </c>
      <c r="R11" s="38">
        <f>IF(G11=0,"",COUNTIF('공수1'!$I$7:$I$86,4))</f>
        <v/>
      </c>
      <c r="S11" s="38">
        <f>IF(G11=0,"",COUNTIF('공수1'!$I$7:$I$86,5))</f>
        <v/>
      </c>
    </row>
    <row r="12">
      <c r="A12" s="8" t="n">
        <v>7</v>
      </c>
      <c r="B12" s="17" t="inlineStr">
        <is>
          <t>객관식</t>
        </is>
      </c>
      <c r="C12" s="38">
        <f>'공수1'!J4</f>
        <v/>
      </c>
      <c r="D12" s="10">
        <f>'공수1'!J5</f>
        <v/>
      </c>
      <c r="E12" s="10">
        <f>'공수1'!J3</f>
        <v/>
      </c>
      <c r="F12" s="39">
        <f>IF('공수1'!$J$2="","",'공수1'!$J$2)</f>
        <v/>
      </c>
      <c r="G12" s="10">
        <f>COUNT('공수1'!$Y$7:$Y$86)</f>
        <v/>
      </c>
      <c r="H12" s="10">
        <f>IF(F12="","",SUMPRODUCT(('공수1'!$J$7:$J$86='공수1'!$J$2)*('공수1'!$J$7:$J$86&lt;&gt;"")))</f>
        <v/>
      </c>
      <c r="I12" s="40">
        <f>IF(OR(F12="",G12=0),"",H12/G12)</f>
        <v/>
      </c>
      <c r="J12" s="41">
        <f>IF(F12="","",IFERROR(SUMPRODUCT(('공수1'!$J$7:$J$86='공수1'!$J$2)*('공수1'!$J$7:$J$86&lt;&gt;"")*('반배정'!$K$7:$K$86='설정'!$B$6))/COUNTIFS('반배정'!$K$7:$K$86,'설정'!$B$6,'공수1'!$Y$7:$Y$86,"&gt;=0"),""))</f>
        <v/>
      </c>
      <c r="K12" s="41">
        <f>IF(F12="","",IFERROR(SUMPRODUCT(('공수1'!$J$7:$J$86='공수1'!$J$2)*('공수1'!$J$7:$J$86&lt;&gt;"")*('반배정'!$K$7:$K$86='설정'!$B$7))/COUNTIFS('반배정'!$K$7:$K$86,'설정'!$B$7,'공수1'!$Y$7:$Y$86,"&gt;=0"),""))</f>
        <v/>
      </c>
      <c r="L12" s="41">
        <f>IF(F12="","",IFERROR(SUMPRODUCT(('공수1'!$J$7:$J$86='공수1'!$J$2)*('공수1'!$J$7:$J$86&lt;&gt;"")*('반배정'!$K$7:$K$86='설정'!$B$8))/COUNTIFS('반배정'!$K$7:$K$86,'설정'!$B$8,'공수1'!$Y$7:$Y$86,"&gt;=0"),""))</f>
        <v/>
      </c>
      <c r="M12" s="42">
        <f>IF(OR(J12="",L12=""),"",J12-L12)</f>
        <v/>
      </c>
      <c r="N12" s="38">
        <f>IF(I12="","",IF(AND(M12&lt;&gt;"",M12&lt;0),"역변별·문항검토",IF(I12&gt;=0.9,"매우 쉬움",IF(I12&lt;=0.15,"매우 어려움",IF(AND(M12&lt;&gt;"",M12&lt;0.2),"변별력 낮음","양호")))))</f>
        <v/>
      </c>
      <c r="O12" s="38">
        <f>IF(G12=0,"",COUNTIF('공수1'!$J$7:$J$86,1))</f>
        <v/>
      </c>
      <c r="P12" s="38">
        <f>IF(G12=0,"",COUNTIF('공수1'!$J$7:$J$86,2))</f>
        <v/>
      </c>
      <c r="Q12" s="38">
        <f>IF(G12=0,"",COUNTIF('공수1'!$J$7:$J$86,3))</f>
        <v/>
      </c>
      <c r="R12" s="38">
        <f>IF(G12=0,"",COUNTIF('공수1'!$J$7:$J$86,4))</f>
        <v/>
      </c>
      <c r="S12" s="38">
        <f>IF(G12=0,"",COUNTIF('공수1'!$J$7:$J$86,5))</f>
        <v/>
      </c>
    </row>
    <row r="13">
      <c r="A13" s="8" t="n">
        <v>8</v>
      </c>
      <c r="B13" s="17" t="inlineStr">
        <is>
          <t>객관식</t>
        </is>
      </c>
      <c r="C13" s="38">
        <f>'공수1'!K4</f>
        <v/>
      </c>
      <c r="D13" s="10">
        <f>'공수1'!K5</f>
        <v/>
      </c>
      <c r="E13" s="10">
        <f>'공수1'!K3</f>
        <v/>
      </c>
      <c r="F13" s="39">
        <f>IF('공수1'!$K$2="","",'공수1'!$K$2)</f>
        <v/>
      </c>
      <c r="G13" s="10">
        <f>COUNT('공수1'!$Y$7:$Y$86)</f>
        <v/>
      </c>
      <c r="H13" s="10">
        <f>IF(F13="","",SUMPRODUCT(('공수1'!$K$7:$K$86='공수1'!$K$2)*('공수1'!$K$7:$K$86&lt;&gt;"")))</f>
        <v/>
      </c>
      <c r="I13" s="40">
        <f>IF(OR(F13="",G13=0),"",H13/G13)</f>
        <v/>
      </c>
      <c r="J13" s="41">
        <f>IF(F13="","",IFERROR(SUMPRODUCT(('공수1'!$K$7:$K$86='공수1'!$K$2)*('공수1'!$K$7:$K$86&lt;&gt;"")*('반배정'!$K$7:$K$86='설정'!$B$6))/COUNTIFS('반배정'!$K$7:$K$86,'설정'!$B$6,'공수1'!$Y$7:$Y$86,"&gt;=0"),""))</f>
        <v/>
      </c>
      <c r="K13" s="41">
        <f>IF(F13="","",IFERROR(SUMPRODUCT(('공수1'!$K$7:$K$86='공수1'!$K$2)*('공수1'!$K$7:$K$86&lt;&gt;"")*('반배정'!$K$7:$K$86='설정'!$B$7))/COUNTIFS('반배정'!$K$7:$K$86,'설정'!$B$7,'공수1'!$Y$7:$Y$86,"&gt;=0"),""))</f>
        <v/>
      </c>
      <c r="L13" s="41">
        <f>IF(F13="","",IFERROR(SUMPRODUCT(('공수1'!$K$7:$K$86='공수1'!$K$2)*('공수1'!$K$7:$K$86&lt;&gt;"")*('반배정'!$K$7:$K$86='설정'!$B$8))/COUNTIFS('반배정'!$K$7:$K$86,'설정'!$B$8,'공수1'!$Y$7:$Y$86,"&gt;=0"),""))</f>
        <v/>
      </c>
      <c r="M13" s="42">
        <f>IF(OR(J13="",L13=""),"",J13-L13)</f>
        <v/>
      </c>
      <c r="N13" s="38">
        <f>IF(I13="","",IF(AND(M13&lt;&gt;"",M13&lt;0),"역변별·문항검토",IF(I13&gt;=0.9,"매우 쉬움",IF(I13&lt;=0.15,"매우 어려움",IF(AND(M13&lt;&gt;"",M13&lt;0.2),"변별력 낮음","양호")))))</f>
        <v/>
      </c>
      <c r="O13" s="38">
        <f>IF(G13=0,"",COUNTIF('공수1'!$K$7:$K$86,1))</f>
        <v/>
      </c>
      <c r="P13" s="38">
        <f>IF(G13=0,"",COUNTIF('공수1'!$K$7:$K$86,2))</f>
        <v/>
      </c>
      <c r="Q13" s="38">
        <f>IF(G13=0,"",COUNTIF('공수1'!$K$7:$K$86,3))</f>
        <v/>
      </c>
      <c r="R13" s="38">
        <f>IF(G13=0,"",COUNTIF('공수1'!$K$7:$K$86,4))</f>
        <v/>
      </c>
      <c r="S13" s="38">
        <f>IF(G13=0,"",COUNTIF('공수1'!$K$7:$K$86,5))</f>
        <v/>
      </c>
    </row>
    <row r="14">
      <c r="A14" s="8" t="n">
        <v>9</v>
      </c>
      <c r="B14" s="17" t="inlineStr">
        <is>
          <t>객관식</t>
        </is>
      </c>
      <c r="C14" s="38">
        <f>'공수1'!L4</f>
        <v/>
      </c>
      <c r="D14" s="10">
        <f>'공수1'!L5</f>
        <v/>
      </c>
      <c r="E14" s="10">
        <f>'공수1'!L3</f>
        <v/>
      </c>
      <c r="F14" s="39">
        <f>IF('공수1'!$L$2="","",'공수1'!$L$2)</f>
        <v/>
      </c>
      <c r="G14" s="10">
        <f>COUNT('공수1'!$Y$7:$Y$86)</f>
        <v/>
      </c>
      <c r="H14" s="10">
        <f>IF(F14="","",SUMPRODUCT(('공수1'!$L$7:$L$86='공수1'!$L$2)*('공수1'!$L$7:$L$86&lt;&gt;"")))</f>
        <v/>
      </c>
      <c r="I14" s="40">
        <f>IF(OR(F14="",G14=0),"",H14/G14)</f>
        <v/>
      </c>
      <c r="J14" s="41">
        <f>IF(F14="","",IFERROR(SUMPRODUCT(('공수1'!$L$7:$L$86='공수1'!$L$2)*('공수1'!$L$7:$L$86&lt;&gt;"")*('반배정'!$K$7:$K$86='설정'!$B$6))/COUNTIFS('반배정'!$K$7:$K$86,'설정'!$B$6,'공수1'!$Y$7:$Y$86,"&gt;=0"),""))</f>
        <v/>
      </c>
      <c r="K14" s="41">
        <f>IF(F14="","",IFERROR(SUMPRODUCT(('공수1'!$L$7:$L$86='공수1'!$L$2)*('공수1'!$L$7:$L$86&lt;&gt;"")*('반배정'!$K$7:$K$86='설정'!$B$7))/COUNTIFS('반배정'!$K$7:$K$86,'설정'!$B$7,'공수1'!$Y$7:$Y$86,"&gt;=0"),""))</f>
        <v/>
      </c>
      <c r="L14" s="41">
        <f>IF(F14="","",IFERROR(SUMPRODUCT(('공수1'!$L$7:$L$86='공수1'!$L$2)*('공수1'!$L$7:$L$86&lt;&gt;"")*('반배정'!$K$7:$K$86='설정'!$B$8))/COUNTIFS('반배정'!$K$7:$K$86,'설정'!$B$8,'공수1'!$Y$7:$Y$86,"&gt;=0"),""))</f>
        <v/>
      </c>
      <c r="M14" s="42">
        <f>IF(OR(J14="",L14=""),"",J14-L14)</f>
        <v/>
      </c>
      <c r="N14" s="38">
        <f>IF(I14="","",IF(AND(M14&lt;&gt;"",M14&lt;0),"역변별·문항검토",IF(I14&gt;=0.9,"매우 쉬움",IF(I14&lt;=0.15,"매우 어려움",IF(AND(M14&lt;&gt;"",M14&lt;0.2),"변별력 낮음","양호")))))</f>
        <v/>
      </c>
      <c r="O14" s="38">
        <f>IF(G14=0,"",COUNTIF('공수1'!$L$7:$L$86,1))</f>
        <v/>
      </c>
      <c r="P14" s="38">
        <f>IF(G14=0,"",COUNTIF('공수1'!$L$7:$L$86,2))</f>
        <v/>
      </c>
      <c r="Q14" s="38">
        <f>IF(G14=0,"",COUNTIF('공수1'!$L$7:$L$86,3))</f>
        <v/>
      </c>
      <c r="R14" s="38">
        <f>IF(G14=0,"",COUNTIF('공수1'!$L$7:$L$86,4))</f>
        <v/>
      </c>
      <c r="S14" s="38">
        <f>IF(G14=0,"",COUNTIF('공수1'!$L$7:$L$86,5))</f>
        <v/>
      </c>
    </row>
    <row r="15">
      <c r="A15" s="8" t="n">
        <v>10</v>
      </c>
      <c r="B15" s="17" t="inlineStr">
        <is>
          <t>객관식</t>
        </is>
      </c>
      <c r="C15" s="38">
        <f>'공수1'!M4</f>
        <v/>
      </c>
      <c r="D15" s="10">
        <f>'공수1'!M5</f>
        <v/>
      </c>
      <c r="E15" s="10">
        <f>'공수1'!M3</f>
        <v/>
      </c>
      <c r="F15" s="39">
        <f>IF('공수1'!$M$2="","",'공수1'!$M$2)</f>
        <v/>
      </c>
      <c r="G15" s="10">
        <f>COUNT('공수1'!$Y$7:$Y$86)</f>
        <v/>
      </c>
      <c r="H15" s="10">
        <f>IF(F15="","",SUMPRODUCT(('공수1'!$M$7:$M$86='공수1'!$M$2)*('공수1'!$M$7:$M$86&lt;&gt;"")))</f>
        <v/>
      </c>
      <c r="I15" s="40">
        <f>IF(OR(F15="",G15=0),"",H15/G15)</f>
        <v/>
      </c>
      <c r="J15" s="41">
        <f>IF(F15="","",IFERROR(SUMPRODUCT(('공수1'!$M$7:$M$86='공수1'!$M$2)*('공수1'!$M$7:$M$86&lt;&gt;"")*('반배정'!$K$7:$K$86='설정'!$B$6))/COUNTIFS('반배정'!$K$7:$K$86,'설정'!$B$6,'공수1'!$Y$7:$Y$86,"&gt;=0"),""))</f>
        <v/>
      </c>
      <c r="K15" s="41">
        <f>IF(F15="","",IFERROR(SUMPRODUCT(('공수1'!$M$7:$M$86='공수1'!$M$2)*('공수1'!$M$7:$M$86&lt;&gt;"")*('반배정'!$K$7:$K$86='설정'!$B$7))/COUNTIFS('반배정'!$K$7:$K$86,'설정'!$B$7,'공수1'!$Y$7:$Y$86,"&gt;=0"),""))</f>
        <v/>
      </c>
      <c r="L15" s="41">
        <f>IF(F15="","",IFERROR(SUMPRODUCT(('공수1'!$M$7:$M$86='공수1'!$M$2)*('공수1'!$M$7:$M$86&lt;&gt;"")*('반배정'!$K$7:$K$86='설정'!$B$8))/COUNTIFS('반배정'!$K$7:$K$86,'설정'!$B$8,'공수1'!$Y$7:$Y$86,"&gt;=0"),""))</f>
        <v/>
      </c>
      <c r="M15" s="42">
        <f>IF(OR(J15="",L15=""),"",J15-L15)</f>
        <v/>
      </c>
      <c r="N15" s="38">
        <f>IF(I15="","",IF(AND(M15&lt;&gt;"",M15&lt;0),"역변별·문항검토",IF(I15&gt;=0.9,"매우 쉬움",IF(I15&lt;=0.15,"매우 어려움",IF(AND(M15&lt;&gt;"",M15&lt;0.2),"변별력 낮음","양호")))))</f>
        <v/>
      </c>
      <c r="O15" s="38">
        <f>IF(G15=0,"",COUNTIF('공수1'!$M$7:$M$86,1))</f>
        <v/>
      </c>
      <c r="P15" s="38">
        <f>IF(G15=0,"",COUNTIF('공수1'!$M$7:$M$86,2))</f>
        <v/>
      </c>
      <c r="Q15" s="38">
        <f>IF(G15=0,"",COUNTIF('공수1'!$M$7:$M$86,3))</f>
        <v/>
      </c>
      <c r="R15" s="38">
        <f>IF(G15=0,"",COUNTIF('공수1'!$M$7:$M$86,4))</f>
        <v/>
      </c>
      <c r="S15" s="38">
        <f>IF(G15=0,"",COUNTIF('공수1'!$M$7:$M$86,5))</f>
        <v/>
      </c>
    </row>
    <row r="16">
      <c r="A16" s="8" t="n">
        <v>11</v>
      </c>
      <c r="B16" s="17" t="inlineStr">
        <is>
          <t>객관식</t>
        </is>
      </c>
      <c r="C16" s="38">
        <f>'공수1'!N4</f>
        <v/>
      </c>
      <c r="D16" s="10">
        <f>'공수1'!N5</f>
        <v/>
      </c>
      <c r="E16" s="10">
        <f>'공수1'!N3</f>
        <v/>
      </c>
      <c r="F16" s="39">
        <f>IF('공수1'!$N$2="","",'공수1'!$N$2)</f>
        <v/>
      </c>
      <c r="G16" s="10">
        <f>COUNT('공수1'!$Y$7:$Y$86)</f>
        <v/>
      </c>
      <c r="H16" s="10">
        <f>IF(F16="","",SUMPRODUCT(('공수1'!$N$7:$N$86='공수1'!$N$2)*('공수1'!$N$7:$N$86&lt;&gt;"")))</f>
        <v/>
      </c>
      <c r="I16" s="40">
        <f>IF(OR(F16="",G16=0),"",H16/G16)</f>
        <v/>
      </c>
      <c r="J16" s="41">
        <f>IF(F16="","",IFERROR(SUMPRODUCT(('공수1'!$N$7:$N$86='공수1'!$N$2)*('공수1'!$N$7:$N$86&lt;&gt;"")*('반배정'!$K$7:$K$86='설정'!$B$6))/COUNTIFS('반배정'!$K$7:$K$86,'설정'!$B$6,'공수1'!$Y$7:$Y$86,"&gt;=0"),""))</f>
        <v/>
      </c>
      <c r="K16" s="41">
        <f>IF(F16="","",IFERROR(SUMPRODUCT(('공수1'!$N$7:$N$86='공수1'!$N$2)*('공수1'!$N$7:$N$86&lt;&gt;"")*('반배정'!$K$7:$K$86='설정'!$B$7))/COUNTIFS('반배정'!$K$7:$K$86,'설정'!$B$7,'공수1'!$Y$7:$Y$86,"&gt;=0"),""))</f>
        <v/>
      </c>
      <c r="L16" s="41">
        <f>IF(F16="","",IFERROR(SUMPRODUCT(('공수1'!$N$7:$N$86='공수1'!$N$2)*('공수1'!$N$7:$N$86&lt;&gt;"")*('반배정'!$K$7:$K$86='설정'!$B$8))/COUNTIFS('반배정'!$K$7:$K$86,'설정'!$B$8,'공수1'!$Y$7:$Y$86,"&gt;=0"),""))</f>
        <v/>
      </c>
      <c r="M16" s="42">
        <f>IF(OR(J16="",L16=""),"",J16-L16)</f>
        <v/>
      </c>
      <c r="N16" s="38">
        <f>IF(I16="","",IF(AND(M16&lt;&gt;"",M16&lt;0),"역변별·문항검토",IF(I16&gt;=0.9,"매우 쉬움",IF(I16&lt;=0.15,"매우 어려움",IF(AND(M16&lt;&gt;"",M16&lt;0.2),"변별력 낮음","양호")))))</f>
        <v/>
      </c>
      <c r="O16" s="38">
        <f>IF(G16=0,"",COUNTIF('공수1'!$N$7:$N$86,1))</f>
        <v/>
      </c>
      <c r="P16" s="38">
        <f>IF(G16=0,"",COUNTIF('공수1'!$N$7:$N$86,2))</f>
        <v/>
      </c>
      <c r="Q16" s="38">
        <f>IF(G16=0,"",COUNTIF('공수1'!$N$7:$N$86,3))</f>
        <v/>
      </c>
      <c r="R16" s="38">
        <f>IF(G16=0,"",COUNTIF('공수1'!$N$7:$N$86,4))</f>
        <v/>
      </c>
      <c r="S16" s="38">
        <f>IF(G16=0,"",COUNTIF('공수1'!$N$7:$N$86,5))</f>
        <v/>
      </c>
    </row>
    <row r="17">
      <c r="A17" s="8" t="n">
        <v>12</v>
      </c>
      <c r="B17" s="17" t="inlineStr">
        <is>
          <t>객관식</t>
        </is>
      </c>
      <c r="C17" s="38">
        <f>'공수1'!O4</f>
        <v/>
      </c>
      <c r="D17" s="10">
        <f>'공수1'!O5</f>
        <v/>
      </c>
      <c r="E17" s="10">
        <f>'공수1'!O3</f>
        <v/>
      </c>
      <c r="F17" s="39">
        <f>IF('공수1'!$O$2="","",'공수1'!$O$2)</f>
        <v/>
      </c>
      <c r="G17" s="10">
        <f>COUNT('공수1'!$Y$7:$Y$86)</f>
        <v/>
      </c>
      <c r="H17" s="10">
        <f>IF(F17="","",SUMPRODUCT(('공수1'!$O$7:$O$86='공수1'!$O$2)*('공수1'!$O$7:$O$86&lt;&gt;"")))</f>
        <v/>
      </c>
      <c r="I17" s="40">
        <f>IF(OR(F17="",G17=0),"",H17/G17)</f>
        <v/>
      </c>
      <c r="J17" s="41">
        <f>IF(F17="","",IFERROR(SUMPRODUCT(('공수1'!$O$7:$O$86='공수1'!$O$2)*('공수1'!$O$7:$O$86&lt;&gt;"")*('반배정'!$K$7:$K$86='설정'!$B$6))/COUNTIFS('반배정'!$K$7:$K$86,'설정'!$B$6,'공수1'!$Y$7:$Y$86,"&gt;=0"),""))</f>
        <v/>
      </c>
      <c r="K17" s="41">
        <f>IF(F17="","",IFERROR(SUMPRODUCT(('공수1'!$O$7:$O$86='공수1'!$O$2)*('공수1'!$O$7:$O$86&lt;&gt;"")*('반배정'!$K$7:$K$86='설정'!$B$7))/COUNTIFS('반배정'!$K$7:$K$86,'설정'!$B$7,'공수1'!$Y$7:$Y$86,"&gt;=0"),""))</f>
        <v/>
      </c>
      <c r="L17" s="41">
        <f>IF(F17="","",IFERROR(SUMPRODUCT(('공수1'!$O$7:$O$86='공수1'!$O$2)*('공수1'!$O$7:$O$86&lt;&gt;"")*('반배정'!$K$7:$K$86='설정'!$B$8))/COUNTIFS('반배정'!$K$7:$K$86,'설정'!$B$8,'공수1'!$Y$7:$Y$86,"&gt;=0"),""))</f>
        <v/>
      </c>
      <c r="M17" s="42">
        <f>IF(OR(J17="",L17=""),"",J17-L17)</f>
        <v/>
      </c>
      <c r="N17" s="38">
        <f>IF(I17="","",IF(AND(M17&lt;&gt;"",M17&lt;0),"역변별·문항검토",IF(I17&gt;=0.9,"매우 쉬움",IF(I17&lt;=0.15,"매우 어려움",IF(AND(M17&lt;&gt;"",M17&lt;0.2),"변별력 낮음","양호")))))</f>
        <v/>
      </c>
      <c r="O17" s="38">
        <f>IF(G17=0,"",COUNTIF('공수1'!$O$7:$O$86,1))</f>
        <v/>
      </c>
      <c r="P17" s="38">
        <f>IF(G17=0,"",COUNTIF('공수1'!$O$7:$O$86,2))</f>
        <v/>
      </c>
      <c r="Q17" s="38">
        <f>IF(G17=0,"",COUNTIF('공수1'!$O$7:$O$86,3))</f>
        <v/>
      </c>
      <c r="R17" s="38">
        <f>IF(G17=0,"",COUNTIF('공수1'!$O$7:$O$86,4))</f>
        <v/>
      </c>
      <c r="S17" s="38">
        <f>IF(G17=0,"",COUNTIF('공수1'!$O$7:$O$86,5))</f>
        <v/>
      </c>
    </row>
    <row r="18">
      <c r="A18" s="8" t="n">
        <v>13</v>
      </c>
      <c r="B18" s="17" t="inlineStr">
        <is>
          <t>객관식</t>
        </is>
      </c>
      <c r="C18" s="38">
        <f>'공수1'!P4</f>
        <v/>
      </c>
      <c r="D18" s="10">
        <f>'공수1'!P5</f>
        <v/>
      </c>
      <c r="E18" s="10">
        <f>'공수1'!P3</f>
        <v/>
      </c>
      <c r="F18" s="39">
        <f>IF('공수1'!$P$2="","",'공수1'!$P$2)</f>
        <v/>
      </c>
      <c r="G18" s="10">
        <f>COUNT('공수1'!$Y$7:$Y$86)</f>
        <v/>
      </c>
      <c r="H18" s="10">
        <f>IF(F18="","",SUMPRODUCT(('공수1'!$P$7:$P$86='공수1'!$P$2)*('공수1'!$P$7:$P$86&lt;&gt;"")))</f>
        <v/>
      </c>
      <c r="I18" s="40">
        <f>IF(OR(F18="",G18=0),"",H18/G18)</f>
        <v/>
      </c>
      <c r="J18" s="41">
        <f>IF(F18="","",IFERROR(SUMPRODUCT(('공수1'!$P$7:$P$86='공수1'!$P$2)*('공수1'!$P$7:$P$86&lt;&gt;"")*('반배정'!$K$7:$K$86='설정'!$B$6))/COUNTIFS('반배정'!$K$7:$K$86,'설정'!$B$6,'공수1'!$Y$7:$Y$86,"&gt;=0"),""))</f>
        <v/>
      </c>
      <c r="K18" s="41">
        <f>IF(F18="","",IFERROR(SUMPRODUCT(('공수1'!$P$7:$P$86='공수1'!$P$2)*('공수1'!$P$7:$P$86&lt;&gt;"")*('반배정'!$K$7:$K$86='설정'!$B$7))/COUNTIFS('반배정'!$K$7:$K$86,'설정'!$B$7,'공수1'!$Y$7:$Y$86,"&gt;=0"),""))</f>
        <v/>
      </c>
      <c r="L18" s="41">
        <f>IF(F18="","",IFERROR(SUMPRODUCT(('공수1'!$P$7:$P$86='공수1'!$P$2)*('공수1'!$P$7:$P$86&lt;&gt;"")*('반배정'!$K$7:$K$86='설정'!$B$8))/COUNTIFS('반배정'!$K$7:$K$86,'설정'!$B$8,'공수1'!$Y$7:$Y$86,"&gt;=0"),""))</f>
        <v/>
      </c>
      <c r="M18" s="42">
        <f>IF(OR(J18="",L18=""),"",J18-L18)</f>
        <v/>
      </c>
      <c r="N18" s="38">
        <f>IF(I18="","",IF(AND(M18&lt;&gt;"",M18&lt;0),"역변별·문항검토",IF(I18&gt;=0.9,"매우 쉬움",IF(I18&lt;=0.15,"매우 어려움",IF(AND(M18&lt;&gt;"",M18&lt;0.2),"변별력 낮음","양호")))))</f>
        <v/>
      </c>
      <c r="O18" s="38">
        <f>IF(G18=0,"",COUNTIF('공수1'!$P$7:$P$86,1))</f>
        <v/>
      </c>
      <c r="P18" s="38">
        <f>IF(G18=0,"",COUNTIF('공수1'!$P$7:$P$86,2))</f>
        <v/>
      </c>
      <c r="Q18" s="38">
        <f>IF(G18=0,"",COUNTIF('공수1'!$P$7:$P$86,3))</f>
        <v/>
      </c>
      <c r="R18" s="38">
        <f>IF(G18=0,"",COUNTIF('공수1'!$P$7:$P$86,4))</f>
        <v/>
      </c>
      <c r="S18" s="38">
        <f>IF(G18=0,"",COUNTIF('공수1'!$P$7:$P$86,5))</f>
        <v/>
      </c>
    </row>
    <row r="19">
      <c r="A19" s="8" t="n">
        <v>14</v>
      </c>
      <c r="B19" s="17" t="inlineStr">
        <is>
          <t>객관식</t>
        </is>
      </c>
      <c r="C19" s="38">
        <f>'공수1'!Q4</f>
        <v/>
      </c>
      <c r="D19" s="10">
        <f>'공수1'!Q5</f>
        <v/>
      </c>
      <c r="E19" s="10">
        <f>'공수1'!Q3</f>
        <v/>
      </c>
      <c r="F19" s="39">
        <f>IF('공수1'!$Q$2="","",'공수1'!$Q$2)</f>
        <v/>
      </c>
      <c r="G19" s="10">
        <f>COUNT('공수1'!$Y$7:$Y$86)</f>
        <v/>
      </c>
      <c r="H19" s="10">
        <f>IF(F19="","",SUMPRODUCT(('공수1'!$Q$7:$Q$86='공수1'!$Q$2)*('공수1'!$Q$7:$Q$86&lt;&gt;"")))</f>
        <v/>
      </c>
      <c r="I19" s="40">
        <f>IF(OR(F19="",G19=0),"",H19/G19)</f>
        <v/>
      </c>
      <c r="J19" s="41">
        <f>IF(F19="","",IFERROR(SUMPRODUCT(('공수1'!$Q$7:$Q$86='공수1'!$Q$2)*('공수1'!$Q$7:$Q$86&lt;&gt;"")*('반배정'!$K$7:$K$86='설정'!$B$6))/COUNTIFS('반배정'!$K$7:$K$86,'설정'!$B$6,'공수1'!$Y$7:$Y$86,"&gt;=0"),""))</f>
        <v/>
      </c>
      <c r="K19" s="41">
        <f>IF(F19="","",IFERROR(SUMPRODUCT(('공수1'!$Q$7:$Q$86='공수1'!$Q$2)*('공수1'!$Q$7:$Q$86&lt;&gt;"")*('반배정'!$K$7:$K$86='설정'!$B$7))/COUNTIFS('반배정'!$K$7:$K$86,'설정'!$B$7,'공수1'!$Y$7:$Y$86,"&gt;=0"),""))</f>
        <v/>
      </c>
      <c r="L19" s="41">
        <f>IF(F19="","",IFERROR(SUMPRODUCT(('공수1'!$Q$7:$Q$86='공수1'!$Q$2)*('공수1'!$Q$7:$Q$86&lt;&gt;"")*('반배정'!$K$7:$K$86='설정'!$B$8))/COUNTIFS('반배정'!$K$7:$K$86,'설정'!$B$8,'공수1'!$Y$7:$Y$86,"&gt;=0"),""))</f>
        <v/>
      </c>
      <c r="M19" s="42">
        <f>IF(OR(J19="",L19=""),"",J19-L19)</f>
        <v/>
      </c>
      <c r="N19" s="38">
        <f>IF(I19="","",IF(AND(M19&lt;&gt;"",M19&lt;0),"역변별·문항검토",IF(I19&gt;=0.9,"매우 쉬움",IF(I19&lt;=0.15,"매우 어려움",IF(AND(M19&lt;&gt;"",M19&lt;0.2),"변별력 낮음","양호")))))</f>
        <v/>
      </c>
      <c r="O19" s="38">
        <f>IF(G19=0,"",COUNTIF('공수1'!$Q$7:$Q$86,1))</f>
        <v/>
      </c>
      <c r="P19" s="38">
        <f>IF(G19=0,"",COUNTIF('공수1'!$Q$7:$Q$86,2))</f>
        <v/>
      </c>
      <c r="Q19" s="38">
        <f>IF(G19=0,"",COUNTIF('공수1'!$Q$7:$Q$86,3))</f>
        <v/>
      </c>
      <c r="R19" s="38">
        <f>IF(G19=0,"",COUNTIF('공수1'!$Q$7:$Q$86,4))</f>
        <v/>
      </c>
      <c r="S19" s="38">
        <f>IF(G19=0,"",COUNTIF('공수1'!$Q$7:$Q$86,5))</f>
        <v/>
      </c>
    </row>
    <row r="20">
      <c r="A20" s="8" t="n">
        <v>15</v>
      </c>
      <c r="B20" s="17" t="inlineStr">
        <is>
          <t>단답형</t>
        </is>
      </c>
      <c r="C20" s="38">
        <f>'공수1'!R4</f>
        <v/>
      </c>
      <c r="D20" s="10">
        <f>'공수1'!R5</f>
        <v/>
      </c>
      <c r="E20" s="10">
        <f>'공수1'!R3</f>
        <v/>
      </c>
      <c r="F20" s="39">
        <f>IF('공수1'!$R$2="","",'공수1'!$R$2)</f>
        <v/>
      </c>
      <c r="G20" s="10">
        <f>COUNT('공수1'!$Y$7:$Y$86)</f>
        <v/>
      </c>
      <c r="H20" s="10">
        <f>IF(F20="","",SUMPRODUCT(('공수1'!$R$7:$R$86='공수1'!$R$2)*('공수1'!$R$7:$R$86&lt;&gt;"")))</f>
        <v/>
      </c>
      <c r="I20" s="40">
        <f>IF(OR(F20="",G20=0),"",H20/G20)</f>
        <v/>
      </c>
      <c r="J20" s="41">
        <f>IF(F20="","",IFERROR(SUMPRODUCT(('공수1'!$R$7:$R$86='공수1'!$R$2)*('공수1'!$R$7:$R$86&lt;&gt;"")*('반배정'!$K$7:$K$86='설정'!$B$6))/COUNTIFS('반배정'!$K$7:$K$86,'설정'!$B$6,'공수1'!$Y$7:$Y$86,"&gt;=0"),""))</f>
        <v/>
      </c>
      <c r="K20" s="41">
        <f>IF(F20="","",IFERROR(SUMPRODUCT(('공수1'!$R$7:$R$86='공수1'!$R$2)*('공수1'!$R$7:$R$86&lt;&gt;"")*('반배정'!$K$7:$K$86='설정'!$B$7))/COUNTIFS('반배정'!$K$7:$K$86,'설정'!$B$7,'공수1'!$Y$7:$Y$86,"&gt;=0"),""))</f>
        <v/>
      </c>
      <c r="L20" s="41">
        <f>IF(F20="","",IFERROR(SUMPRODUCT(('공수1'!$R$7:$R$86='공수1'!$R$2)*('공수1'!$R$7:$R$86&lt;&gt;"")*('반배정'!$K$7:$K$86='설정'!$B$8))/COUNTIFS('반배정'!$K$7:$K$86,'설정'!$B$8,'공수1'!$Y$7:$Y$86,"&gt;=0"),""))</f>
        <v/>
      </c>
      <c r="M20" s="42">
        <f>IF(OR(J20="",L20=""),"",J20-L20)</f>
        <v/>
      </c>
      <c r="N20" s="38">
        <f>IF(I20="","",IF(AND(M20&lt;&gt;"",M20&lt;0),"역변별·문항검토",IF(I20&gt;=0.9,"매우 쉬움",IF(I20&lt;=0.15,"매우 어려움",IF(AND(M20&lt;&gt;"",M20&lt;0.2),"변별력 낮음","양호")))))</f>
        <v/>
      </c>
      <c r="O20" s="43" t="inlineStr">
        <is>
          <t>-</t>
        </is>
      </c>
      <c r="P20" s="43" t="inlineStr">
        <is>
          <t>-</t>
        </is>
      </c>
      <c r="Q20" s="43" t="inlineStr">
        <is>
          <t>-</t>
        </is>
      </c>
      <c r="R20" s="43" t="inlineStr">
        <is>
          <t>-</t>
        </is>
      </c>
      <c r="S20" s="43" t="inlineStr">
        <is>
          <t>-</t>
        </is>
      </c>
    </row>
    <row r="21">
      <c r="A21" s="8" t="n">
        <v>16</v>
      </c>
      <c r="B21" s="17" t="inlineStr">
        <is>
          <t>단답형</t>
        </is>
      </c>
      <c r="C21" s="38">
        <f>'공수1'!S4</f>
        <v/>
      </c>
      <c r="D21" s="10">
        <f>'공수1'!S5</f>
        <v/>
      </c>
      <c r="E21" s="10">
        <f>'공수1'!S3</f>
        <v/>
      </c>
      <c r="F21" s="39">
        <f>IF('공수1'!$S$2="","",'공수1'!$S$2)</f>
        <v/>
      </c>
      <c r="G21" s="10">
        <f>COUNT('공수1'!$Y$7:$Y$86)</f>
        <v/>
      </c>
      <c r="H21" s="10">
        <f>IF(F21="","",SUMPRODUCT(('공수1'!$S$7:$S$86='공수1'!$S$2)*('공수1'!$S$7:$S$86&lt;&gt;"")))</f>
        <v/>
      </c>
      <c r="I21" s="40">
        <f>IF(OR(F21="",G21=0),"",H21/G21)</f>
        <v/>
      </c>
      <c r="J21" s="41">
        <f>IF(F21="","",IFERROR(SUMPRODUCT(('공수1'!$S$7:$S$86='공수1'!$S$2)*('공수1'!$S$7:$S$86&lt;&gt;"")*('반배정'!$K$7:$K$86='설정'!$B$6))/COUNTIFS('반배정'!$K$7:$K$86,'설정'!$B$6,'공수1'!$Y$7:$Y$86,"&gt;=0"),""))</f>
        <v/>
      </c>
      <c r="K21" s="41">
        <f>IF(F21="","",IFERROR(SUMPRODUCT(('공수1'!$S$7:$S$86='공수1'!$S$2)*('공수1'!$S$7:$S$86&lt;&gt;"")*('반배정'!$K$7:$K$86='설정'!$B$7))/COUNTIFS('반배정'!$K$7:$K$86,'설정'!$B$7,'공수1'!$Y$7:$Y$86,"&gt;=0"),""))</f>
        <v/>
      </c>
      <c r="L21" s="41">
        <f>IF(F21="","",IFERROR(SUMPRODUCT(('공수1'!$S$7:$S$86='공수1'!$S$2)*('공수1'!$S$7:$S$86&lt;&gt;"")*('반배정'!$K$7:$K$86='설정'!$B$8))/COUNTIFS('반배정'!$K$7:$K$86,'설정'!$B$8,'공수1'!$Y$7:$Y$86,"&gt;=0"),""))</f>
        <v/>
      </c>
      <c r="M21" s="42">
        <f>IF(OR(J21="",L21=""),"",J21-L21)</f>
        <v/>
      </c>
      <c r="N21" s="38">
        <f>IF(I21="","",IF(AND(M21&lt;&gt;"",M21&lt;0),"역변별·문항검토",IF(I21&gt;=0.9,"매우 쉬움",IF(I21&lt;=0.15,"매우 어려움",IF(AND(M21&lt;&gt;"",M21&lt;0.2),"변별력 낮음","양호")))))</f>
        <v/>
      </c>
      <c r="O21" s="43" t="inlineStr">
        <is>
          <t>-</t>
        </is>
      </c>
      <c r="P21" s="43" t="inlineStr">
        <is>
          <t>-</t>
        </is>
      </c>
      <c r="Q21" s="43" t="inlineStr">
        <is>
          <t>-</t>
        </is>
      </c>
      <c r="R21" s="43" t="inlineStr">
        <is>
          <t>-</t>
        </is>
      </c>
      <c r="S21" s="43" t="inlineStr">
        <is>
          <t>-</t>
        </is>
      </c>
    </row>
    <row r="22">
      <c r="A22" s="8" t="n">
        <v>17</v>
      </c>
      <c r="B22" s="17" t="inlineStr">
        <is>
          <t>단답형</t>
        </is>
      </c>
      <c r="C22" s="38">
        <f>'공수1'!T4</f>
        <v/>
      </c>
      <c r="D22" s="10">
        <f>'공수1'!T5</f>
        <v/>
      </c>
      <c r="E22" s="10">
        <f>'공수1'!T3</f>
        <v/>
      </c>
      <c r="F22" s="39">
        <f>IF('공수1'!$T$2="","",'공수1'!$T$2)</f>
        <v/>
      </c>
      <c r="G22" s="10">
        <f>COUNT('공수1'!$Y$7:$Y$86)</f>
        <v/>
      </c>
      <c r="H22" s="10">
        <f>IF(F22="","",SUMPRODUCT(('공수1'!$T$7:$T$86='공수1'!$T$2)*('공수1'!$T$7:$T$86&lt;&gt;"")))</f>
        <v/>
      </c>
      <c r="I22" s="40">
        <f>IF(OR(F22="",G22=0),"",H22/G22)</f>
        <v/>
      </c>
      <c r="J22" s="41">
        <f>IF(F22="","",IFERROR(SUMPRODUCT(('공수1'!$T$7:$T$86='공수1'!$T$2)*('공수1'!$T$7:$T$86&lt;&gt;"")*('반배정'!$K$7:$K$86='설정'!$B$6))/COUNTIFS('반배정'!$K$7:$K$86,'설정'!$B$6,'공수1'!$Y$7:$Y$86,"&gt;=0"),""))</f>
        <v/>
      </c>
      <c r="K22" s="41">
        <f>IF(F22="","",IFERROR(SUMPRODUCT(('공수1'!$T$7:$T$86='공수1'!$T$2)*('공수1'!$T$7:$T$86&lt;&gt;"")*('반배정'!$K$7:$K$86='설정'!$B$7))/COUNTIFS('반배정'!$K$7:$K$86,'설정'!$B$7,'공수1'!$Y$7:$Y$86,"&gt;=0"),""))</f>
        <v/>
      </c>
      <c r="L22" s="41">
        <f>IF(F22="","",IFERROR(SUMPRODUCT(('공수1'!$T$7:$T$86='공수1'!$T$2)*('공수1'!$T$7:$T$86&lt;&gt;"")*('반배정'!$K$7:$K$86='설정'!$B$8))/COUNTIFS('반배정'!$K$7:$K$86,'설정'!$B$8,'공수1'!$Y$7:$Y$86,"&gt;=0"),""))</f>
        <v/>
      </c>
      <c r="M22" s="42">
        <f>IF(OR(J22="",L22=""),"",J22-L22)</f>
        <v/>
      </c>
      <c r="N22" s="38">
        <f>IF(I22="","",IF(AND(M22&lt;&gt;"",M22&lt;0),"역변별·문항검토",IF(I22&gt;=0.9,"매우 쉬움",IF(I22&lt;=0.15,"매우 어려움",IF(AND(M22&lt;&gt;"",M22&lt;0.2),"변별력 낮음","양호")))))</f>
        <v/>
      </c>
      <c r="O22" s="43" t="inlineStr">
        <is>
          <t>-</t>
        </is>
      </c>
      <c r="P22" s="43" t="inlineStr">
        <is>
          <t>-</t>
        </is>
      </c>
      <c r="Q22" s="43" t="inlineStr">
        <is>
          <t>-</t>
        </is>
      </c>
      <c r="R22" s="43" t="inlineStr">
        <is>
          <t>-</t>
        </is>
      </c>
      <c r="S22" s="43" t="inlineStr">
        <is>
          <t>-</t>
        </is>
      </c>
    </row>
    <row r="23">
      <c r="A23" s="8" t="n">
        <v>18</v>
      </c>
      <c r="B23" s="17" t="inlineStr">
        <is>
          <t>단답형</t>
        </is>
      </c>
      <c r="C23" s="38">
        <f>'공수1'!U4</f>
        <v/>
      </c>
      <c r="D23" s="10">
        <f>'공수1'!U5</f>
        <v/>
      </c>
      <c r="E23" s="10">
        <f>'공수1'!U3</f>
        <v/>
      </c>
      <c r="F23" s="39">
        <f>IF('공수1'!$U$2="","",'공수1'!$U$2)</f>
        <v/>
      </c>
      <c r="G23" s="10">
        <f>COUNT('공수1'!$Y$7:$Y$86)</f>
        <v/>
      </c>
      <c r="H23" s="10">
        <f>IF(F23="","",SUMPRODUCT(('공수1'!$U$7:$U$86='공수1'!$U$2)*('공수1'!$U$7:$U$86&lt;&gt;"")))</f>
        <v/>
      </c>
      <c r="I23" s="40">
        <f>IF(OR(F23="",G23=0),"",H23/G23)</f>
        <v/>
      </c>
      <c r="J23" s="41">
        <f>IF(F23="","",IFERROR(SUMPRODUCT(('공수1'!$U$7:$U$86='공수1'!$U$2)*('공수1'!$U$7:$U$86&lt;&gt;"")*('반배정'!$K$7:$K$86='설정'!$B$6))/COUNTIFS('반배정'!$K$7:$K$86,'설정'!$B$6,'공수1'!$Y$7:$Y$86,"&gt;=0"),""))</f>
        <v/>
      </c>
      <c r="K23" s="41">
        <f>IF(F23="","",IFERROR(SUMPRODUCT(('공수1'!$U$7:$U$86='공수1'!$U$2)*('공수1'!$U$7:$U$86&lt;&gt;"")*('반배정'!$K$7:$K$86='설정'!$B$7))/COUNTIFS('반배정'!$K$7:$K$86,'설정'!$B$7,'공수1'!$Y$7:$Y$86,"&gt;=0"),""))</f>
        <v/>
      </c>
      <c r="L23" s="41">
        <f>IF(F23="","",IFERROR(SUMPRODUCT(('공수1'!$U$7:$U$86='공수1'!$U$2)*('공수1'!$U$7:$U$86&lt;&gt;"")*('반배정'!$K$7:$K$86='설정'!$B$8))/COUNTIFS('반배정'!$K$7:$K$86,'설정'!$B$8,'공수1'!$Y$7:$Y$86,"&gt;=0"),""))</f>
        <v/>
      </c>
      <c r="M23" s="42">
        <f>IF(OR(J23="",L23=""),"",J23-L23)</f>
        <v/>
      </c>
      <c r="N23" s="38">
        <f>IF(I23="","",IF(AND(M23&lt;&gt;"",M23&lt;0),"역변별·문항검토",IF(I23&gt;=0.9,"매우 쉬움",IF(I23&lt;=0.15,"매우 어려움",IF(AND(M23&lt;&gt;"",M23&lt;0.2),"변별력 낮음","양호")))))</f>
        <v/>
      </c>
      <c r="O23" s="43" t="inlineStr">
        <is>
          <t>-</t>
        </is>
      </c>
      <c r="P23" s="43" t="inlineStr">
        <is>
          <t>-</t>
        </is>
      </c>
      <c r="Q23" s="43" t="inlineStr">
        <is>
          <t>-</t>
        </is>
      </c>
      <c r="R23" s="43" t="inlineStr">
        <is>
          <t>-</t>
        </is>
      </c>
      <c r="S23" s="43" t="inlineStr">
        <is>
          <t>-</t>
        </is>
      </c>
    </row>
    <row r="24">
      <c r="A24" s="8" t="n">
        <v>19</v>
      </c>
      <c r="B24" s="17" t="inlineStr">
        <is>
          <t>단답형</t>
        </is>
      </c>
      <c r="C24" s="38">
        <f>'공수1'!V4</f>
        <v/>
      </c>
      <c r="D24" s="10">
        <f>'공수1'!V5</f>
        <v/>
      </c>
      <c r="E24" s="10">
        <f>'공수1'!V3</f>
        <v/>
      </c>
      <c r="F24" s="39">
        <f>IF('공수1'!$V$2="","",'공수1'!$V$2)</f>
        <v/>
      </c>
      <c r="G24" s="10">
        <f>COUNT('공수1'!$Y$7:$Y$86)</f>
        <v/>
      </c>
      <c r="H24" s="10">
        <f>IF(F24="","",SUMPRODUCT(('공수1'!$V$7:$V$86='공수1'!$V$2)*('공수1'!$V$7:$V$86&lt;&gt;"")))</f>
        <v/>
      </c>
      <c r="I24" s="40">
        <f>IF(OR(F24="",G24=0),"",H24/G24)</f>
        <v/>
      </c>
      <c r="J24" s="41">
        <f>IF(F24="","",IFERROR(SUMPRODUCT(('공수1'!$V$7:$V$86='공수1'!$V$2)*('공수1'!$V$7:$V$86&lt;&gt;"")*('반배정'!$K$7:$K$86='설정'!$B$6))/COUNTIFS('반배정'!$K$7:$K$86,'설정'!$B$6,'공수1'!$Y$7:$Y$86,"&gt;=0"),""))</f>
        <v/>
      </c>
      <c r="K24" s="41">
        <f>IF(F24="","",IFERROR(SUMPRODUCT(('공수1'!$V$7:$V$86='공수1'!$V$2)*('공수1'!$V$7:$V$86&lt;&gt;"")*('반배정'!$K$7:$K$86='설정'!$B$7))/COUNTIFS('반배정'!$K$7:$K$86,'설정'!$B$7,'공수1'!$Y$7:$Y$86,"&gt;=0"),""))</f>
        <v/>
      </c>
      <c r="L24" s="41">
        <f>IF(F24="","",IFERROR(SUMPRODUCT(('공수1'!$V$7:$V$86='공수1'!$V$2)*('공수1'!$V$7:$V$86&lt;&gt;"")*('반배정'!$K$7:$K$86='설정'!$B$8))/COUNTIFS('반배정'!$K$7:$K$86,'설정'!$B$8,'공수1'!$Y$7:$Y$86,"&gt;=0"),""))</f>
        <v/>
      </c>
      <c r="M24" s="42">
        <f>IF(OR(J24="",L24=""),"",J24-L24)</f>
        <v/>
      </c>
      <c r="N24" s="38">
        <f>IF(I24="","",IF(AND(M24&lt;&gt;"",M24&lt;0),"역변별·문항검토",IF(I24&gt;=0.9,"매우 쉬움",IF(I24&lt;=0.15,"매우 어려움",IF(AND(M24&lt;&gt;"",M24&lt;0.2),"변별력 낮음","양호")))))</f>
        <v/>
      </c>
      <c r="O24" s="43" t="inlineStr">
        <is>
          <t>-</t>
        </is>
      </c>
      <c r="P24" s="43" t="inlineStr">
        <is>
          <t>-</t>
        </is>
      </c>
      <c r="Q24" s="43" t="inlineStr">
        <is>
          <t>-</t>
        </is>
      </c>
      <c r="R24" s="43" t="inlineStr">
        <is>
          <t>-</t>
        </is>
      </c>
      <c r="S24" s="43" t="inlineStr">
        <is>
          <t>-</t>
        </is>
      </c>
    </row>
    <row r="25">
      <c r="A25" s="8" t="n">
        <v>20</v>
      </c>
      <c r="B25" s="17" t="inlineStr">
        <is>
          <t>단답형</t>
        </is>
      </c>
      <c r="C25" s="38">
        <f>'공수1'!W4</f>
        <v/>
      </c>
      <c r="D25" s="10">
        <f>'공수1'!W5</f>
        <v/>
      </c>
      <c r="E25" s="10">
        <f>'공수1'!W3</f>
        <v/>
      </c>
      <c r="F25" s="39">
        <f>IF('공수1'!$W$2="","",'공수1'!$W$2)</f>
        <v/>
      </c>
      <c r="G25" s="10">
        <f>COUNT('공수1'!$Y$7:$Y$86)</f>
        <v/>
      </c>
      <c r="H25" s="10">
        <f>IF(F25="","",SUMPRODUCT(('공수1'!$W$7:$W$86='공수1'!$W$2)*('공수1'!$W$7:$W$86&lt;&gt;"")))</f>
        <v/>
      </c>
      <c r="I25" s="40">
        <f>IF(OR(F25="",G25=0),"",H25/G25)</f>
        <v/>
      </c>
      <c r="J25" s="41">
        <f>IF(F25="","",IFERROR(SUMPRODUCT(('공수1'!$W$7:$W$86='공수1'!$W$2)*('공수1'!$W$7:$W$86&lt;&gt;"")*('반배정'!$K$7:$K$86='설정'!$B$6))/COUNTIFS('반배정'!$K$7:$K$86,'설정'!$B$6,'공수1'!$Y$7:$Y$86,"&gt;=0"),""))</f>
        <v/>
      </c>
      <c r="K25" s="41">
        <f>IF(F25="","",IFERROR(SUMPRODUCT(('공수1'!$W$7:$W$86='공수1'!$W$2)*('공수1'!$W$7:$W$86&lt;&gt;"")*('반배정'!$K$7:$K$86='설정'!$B$7))/COUNTIFS('반배정'!$K$7:$K$86,'설정'!$B$7,'공수1'!$Y$7:$Y$86,"&gt;=0"),""))</f>
        <v/>
      </c>
      <c r="L25" s="41">
        <f>IF(F25="","",IFERROR(SUMPRODUCT(('공수1'!$W$7:$W$86='공수1'!$W$2)*('공수1'!$W$7:$W$86&lt;&gt;"")*('반배정'!$K$7:$K$86='설정'!$B$8))/COUNTIFS('반배정'!$K$7:$K$86,'설정'!$B$8,'공수1'!$Y$7:$Y$86,"&gt;=0"),""))</f>
        <v/>
      </c>
      <c r="M25" s="42">
        <f>IF(OR(J25="",L25=""),"",J25-L25)</f>
        <v/>
      </c>
      <c r="N25" s="38">
        <f>IF(I25="","",IF(AND(M25&lt;&gt;"",M25&lt;0),"역변별·문항검토",IF(I25&gt;=0.9,"매우 쉬움",IF(I25&lt;=0.15,"매우 어려움",IF(AND(M25&lt;&gt;"",M25&lt;0.2),"변별력 낮음","양호")))))</f>
        <v/>
      </c>
      <c r="O25" s="43" t="inlineStr">
        <is>
          <t>-</t>
        </is>
      </c>
      <c r="P25" s="43" t="inlineStr">
        <is>
          <t>-</t>
        </is>
      </c>
      <c r="Q25" s="43" t="inlineStr">
        <is>
          <t>-</t>
        </is>
      </c>
      <c r="R25" s="43" t="inlineStr">
        <is>
          <t>-</t>
        </is>
      </c>
      <c r="S25" s="43" t="inlineStr">
        <is>
          <t>-</t>
        </is>
      </c>
    </row>
    <row r="28">
      <c r="A28" s="37" t="inlineStr">
        <is>
          <t>공통수학2</t>
        </is>
      </c>
    </row>
    <row r="29" ht="30" customHeight="1">
      <c r="A29" s="4" t="inlineStr">
        <is>
          <t>문항</t>
        </is>
      </c>
      <c r="B29" s="4" t="inlineStr">
        <is>
          <t>유형</t>
        </is>
      </c>
      <c r="C29" s="4" t="inlineStr">
        <is>
          <t>단원</t>
        </is>
      </c>
      <c r="D29" s="4" t="inlineStr">
        <is>
          <t>난이도</t>
        </is>
      </c>
      <c r="E29" s="4" t="inlineStr">
        <is>
          <t>배점</t>
        </is>
      </c>
      <c r="F29" s="4" t="inlineStr">
        <is>
          <t>정답</t>
        </is>
      </c>
      <c r="G29" s="4" t="inlineStr">
        <is>
          <t>응시</t>
        </is>
      </c>
      <c r="H29" s="4" t="inlineStr">
        <is>
          <t>정답자</t>
        </is>
      </c>
      <c r="I29" s="4" t="inlineStr">
        <is>
          <t>정답률</t>
        </is>
      </c>
      <c r="J29" s="4">
        <f>'설정'!$B$6&amp;" 정답률"</f>
        <v/>
      </c>
      <c r="K29" s="4">
        <f>'설정'!$B$7&amp;" 정답률"</f>
        <v/>
      </c>
      <c r="L29" s="4">
        <f>'설정'!$B$8&amp;" 정답률"</f>
        <v/>
      </c>
      <c r="M29" s="4" t="inlineStr">
        <is>
          <t>변별도</t>
        </is>
      </c>
      <c r="N29" s="4" t="inlineStr">
        <is>
          <t>진단</t>
        </is>
      </c>
      <c r="O29" s="4" t="inlineStr">
        <is>
          <t>①</t>
        </is>
      </c>
      <c r="P29" s="4" t="inlineStr">
        <is>
          <t>②</t>
        </is>
      </c>
      <c r="Q29" s="4" t="inlineStr">
        <is>
          <t>③</t>
        </is>
      </c>
      <c r="R29" s="4" t="inlineStr">
        <is>
          <t>④</t>
        </is>
      </c>
      <c r="S29" s="4" t="inlineStr">
        <is>
          <t>⑤</t>
        </is>
      </c>
    </row>
    <row r="30">
      <c r="A30" s="8" t="n">
        <v>1</v>
      </c>
      <c r="B30" s="17" t="inlineStr">
        <is>
          <t>객관식</t>
        </is>
      </c>
      <c r="C30" s="38">
        <f>'공수2'!D4</f>
        <v/>
      </c>
      <c r="D30" s="10">
        <f>'공수2'!D5</f>
        <v/>
      </c>
      <c r="E30" s="10">
        <f>'공수2'!D3</f>
        <v/>
      </c>
      <c r="F30" s="39">
        <f>IF('공수2'!$D$2="","",'공수2'!$D$2)</f>
        <v/>
      </c>
      <c r="G30" s="10">
        <f>COUNT('공수2'!$Y$7:$Y$86)</f>
        <v/>
      </c>
      <c r="H30" s="10">
        <f>IF(F30="","",SUMPRODUCT(('공수2'!$D$7:$D$86='공수2'!$D$2)*('공수2'!$D$7:$D$86&lt;&gt;"")))</f>
        <v/>
      </c>
      <c r="I30" s="40">
        <f>IF(OR(F30="",G30=0),"",H30/G30)</f>
        <v/>
      </c>
      <c r="J30" s="41">
        <f>IF(F30="","",IFERROR(SUMPRODUCT(('공수2'!$D$7:$D$86='공수2'!$D$2)*('공수2'!$D$7:$D$86&lt;&gt;"")*('반배정'!$K$7:$K$86='설정'!$B$6))/COUNTIFS('반배정'!$K$7:$K$86,'설정'!$B$6,'공수2'!$Y$7:$Y$86,"&gt;=0"),""))</f>
        <v/>
      </c>
      <c r="K30" s="41">
        <f>IF(F30="","",IFERROR(SUMPRODUCT(('공수2'!$D$7:$D$86='공수2'!$D$2)*('공수2'!$D$7:$D$86&lt;&gt;"")*('반배정'!$K$7:$K$86='설정'!$B$7))/COUNTIFS('반배정'!$K$7:$K$86,'설정'!$B$7,'공수2'!$Y$7:$Y$86,"&gt;=0"),""))</f>
        <v/>
      </c>
      <c r="L30" s="41">
        <f>IF(F30="","",IFERROR(SUMPRODUCT(('공수2'!$D$7:$D$86='공수2'!$D$2)*('공수2'!$D$7:$D$86&lt;&gt;"")*('반배정'!$K$7:$K$86='설정'!$B$8))/COUNTIFS('반배정'!$K$7:$K$86,'설정'!$B$8,'공수2'!$Y$7:$Y$86,"&gt;=0"),""))</f>
        <v/>
      </c>
      <c r="M30" s="42">
        <f>IF(OR(J30="",L30=""),"",J30-L30)</f>
        <v/>
      </c>
      <c r="N30" s="38">
        <f>IF(I30="","",IF(AND(M30&lt;&gt;"",M30&lt;0),"역변별·문항검토",IF(I30&gt;=0.9,"매우 쉬움",IF(I30&lt;=0.15,"매우 어려움",IF(AND(M30&lt;&gt;"",M30&lt;0.2),"변별력 낮음","양호")))))</f>
        <v/>
      </c>
      <c r="O30" s="38">
        <f>IF(G30=0,"",COUNTIF('공수2'!$D$7:$D$86,1))</f>
        <v/>
      </c>
      <c r="P30" s="38">
        <f>IF(G30=0,"",COUNTIF('공수2'!$D$7:$D$86,2))</f>
        <v/>
      </c>
      <c r="Q30" s="38">
        <f>IF(G30=0,"",COUNTIF('공수2'!$D$7:$D$86,3))</f>
        <v/>
      </c>
      <c r="R30" s="38">
        <f>IF(G30=0,"",COUNTIF('공수2'!$D$7:$D$86,4))</f>
        <v/>
      </c>
      <c r="S30" s="38">
        <f>IF(G30=0,"",COUNTIF('공수2'!$D$7:$D$86,5))</f>
        <v/>
      </c>
    </row>
    <row r="31">
      <c r="A31" s="8" t="n">
        <v>2</v>
      </c>
      <c r="B31" s="17" t="inlineStr">
        <is>
          <t>객관식</t>
        </is>
      </c>
      <c r="C31" s="38">
        <f>'공수2'!E4</f>
        <v/>
      </c>
      <c r="D31" s="10">
        <f>'공수2'!E5</f>
        <v/>
      </c>
      <c r="E31" s="10">
        <f>'공수2'!E3</f>
        <v/>
      </c>
      <c r="F31" s="39">
        <f>IF('공수2'!$E$2="","",'공수2'!$E$2)</f>
        <v/>
      </c>
      <c r="G31" s="10">
        <f>COUNT('공수2'!$Y$7:$Y$86)</f>
        <v/>
      </c>
      <c r="H31" s="10">
        <f>IF(F31="","",SUMPRODUCT(('공수2'!$E$7:$E$86='공수2'!$E$2)*('공수2'!$E$7:$E$86&lt;&gt;"")))</f>
        <v/>
      </c>
      <c r="I31" s="40">
        <f>IF(OR(F31="",G31=0),"",H31/G31)</f>
        <v/>
      </c>
      <c r="J31" s="41">
        <f>IF(F31="","",IFERROR(SUMPRODUCT(('공수2'!$E$7:$E$86='공수2'!$E$2)*('공수2'!$E$7:$E$86&lt;&gt;"")*('반배정'!$K$7:$K$86='설정'!$B$6))/COUNTIFS('반배정'!$K$7:$K$86,'설정'!$B$6,'공수2'!$Y$7:$Y$86,"&gt;=0"),""))</f>
        <v/>
      </c>
      <c r="K31" s="41">
        <f>IF(F31="","",IFERROR(SUMPRODUCT(('공수2'!$E$7:$E$86='공수2'!$E$2)*('공수2'!$E$7:$E$86&lt;&gt;"")*('반배정'!$K$7:$K$86='설정'!$B$7))/COUNTIFS('반배정'!$K$7:$K$86,'설정'!$B$7,'공수2'!$Y$7:$Y$86,"&gt;=0"),""))</f>
        <v/>
      </c>
      <c r="L31" s="41">
        <f>IF(F31="","",IFERROR(SUMPRODUCT(('공수2'!$E$7:$E$86='공수2'!$E$2)*('공수2'!$E$7:$E$86&lt;&gt;"")*('반배정'!$K$7:$K$86='설정'!$B$8))/COUNTIFS('반배정'!$K$7:$K$86,'설정'!$B$8,'공수2'!$Y$7:$Y$86,"&gt;=0"),""))</f>
        <v/>
      </c>
      <c r="M31" s="42">
        <f>IF(OR(J31="",L31=""),"",J31-L31)</f>
        <v/>
      </c>
      <c r="N31" s="38">
        <f>IF(I31="","",IF(AND(M31&lt;&gt;"",M31&lt;0),"역변별·문항검토",IF(I31&gt;=0.9,"매우 쉬움",IF(I31&lt;=0.15,"매우 어려움",IF(AND(M31&lt;&gt;"",M31&lt;0.2),"변별력 낮음","양호")))))</f>
        <v/>
      </c>
      <c r="O31" s="38">
        <f>IF(G31=0,"",COUNTIF('공수2'!$E$7:$E$86,1))</f>
        <v/>
      </c>
      <c r="P31" s="38">
        <f>IF(G31=0,"",COUNTIF('공수2'!$E$7:$E$86,2))</f>
        <v/>
      </c>
      <c r="Q31" s="38">
        <f>IF(G31=0,"",COUNTIF('공수2'!$E$7:$E$86,3))</f>
        <v/>
      </c>
      <c r="R31" s="38">
        <f>IF(G31=0,"",COUNTIF('공수2'!$E$7:$E$86,4))</f>
        <v/>
      </c>
      <c r="S31" s="38">
        <f>IF(G31=0,"",COUNTIF('공수2'!$E$7:$E$86,5))</f>
        <v/>
      </c>
    </row>
    <row r="32">
      <c r="A32" s="8" t="n">
        <v>3</v>
      </c>
      <c r="B32" s="17" t="inlineStr">
        <is>
          <t>객관식</t>
        </is>
      </c>
      <c r="C32" s="38">
        <f>'공수2'!F4</f>
        <v/>
      </c>
      <c r="D32" s="10">
        <f>'공수2'!F5</f>
        <v/>
      </c>
      <c r="E32" s="10">
        <f>'공수2'!F3</f>
        <v/>
      </c>
      <c r="F32" s="39">
        <f>IF('공수2'!$F$2="","",'공수2'!$F$2)</f>
        <v/>
      </c>
      <c r="G32" s="10">
        <f>COUNT('공수2'!$Y$7:$Y$86)</f>
        <v/>
      </c>
      <c r="H32" s="10">
        <f>IF(F32="","",SUMPRODUCT(('공수2'!$F$7:$F$86='공수2'!$F$2)*('공수2'!$F$7:$F$86&lt;&gt;"")))</f>
        <v/>
      </c>
      <c r="I32" s="40">
        <f>IF(OR(F32="",G32=0),"",H32/G32)</f>
        <v/>
      </c>
      <c r="J32" s="41">
        <f>IF(F32="","",IFERROR(SUMPRODUCT(('공수2'!$F$7:$F$86='공수2'!$F$2)*('공수2'!$F$7:$F$86&lt;&gt;"")*('반배정'!$K$7:$K$86='설정'!$B$6))/COUNTIFS('반배정'!$K$7:$K$86,'설정'!$B$6,'공수2'!$Y$7:$Y$86,"&gt;=0"),""))</f>
        <v/>
      </c>
      <c r="K32" s="41">
        <f>IF(F32="","",IFERROR(SUMPRODUCT(('공수2'!$F$7:$F$86='공수2'!$F$2)*('공수2'!$F$7:$F$86&lt;&gt;"")*('반배정'!$K$7:$K$86='설정'!$B$7))/COUNTIFS('반배정'!$K$7:$K$86,'설정'!$B$7,'공수2'!$Y$7:$Y$86,"&gt;=0"),""))</f>
        <v/>
      </c>
      <c r="L32" s="41">
        <f>IF(F32="","",IFERROR(SUMPRODUCT(('공수2'!$F$7:$F$86='공수2'!$F$2)*('공수2'!$F$7:$F$86&lt;&gt;"")*('반배정'!$K$7:$K$86='설정'!$B$8))/COUNTIFS('반배정'!$K$7:$K$86,'설정'!$B$8,'공수2'!$Y$7:$Y$86,"&gt;=0"),""))</f>
        <v/>
      </c>
      <c r="M32" s="42">
        <f>IF(OR(J32="",L32=""),"",J32-L32)</f>
        <v/>
      </c>
      <c r="N32" s="38">
        <f>IF(I32="","",IF(AND(M32&lt;&gt;"",M32&lt;0),"역변별·문항검토",IF(I32&gt;=0.9,"매우 쉬움",IF(I32&lt;=0.15,"매우 어려움",IF(AND(M32&lt;&gt;"",M32&lt;0.2),"변별력 낮음","양호")))))</f>
        <v/>
      </c>
      <c r="O32" s="38">
        <f>IF(G32=0,"",COUNTIF('공수2'!$F$7:$F$86,1))</f>
        <v/>
      </c>
      <c r="P32" s="38">
        <f>IF(G32=0,"",COUNTIF('공수2'!$F$7:$F$86,2))</f>
        <v/>
      </c>
      <c r="Q32" s="38">
        <f>IF(G32=0,"",COUNTIF('공수2'!$F$7:$F$86,3))</f>
        <v/>
      </c>
      <c r="R32" s="38">
        <f>IF(G32=0,"",COUNTIF('공수2'!$F$7:$F$86,4))</f>
        <v/>
      </c>
      <c r="S32" s="38">
        <f>IF(G32=0,"",COUNTIF('공수2'!$F$7:$F$86,5))</f>
        <v/>
      </c>
    </row>
    <row r="33">
      <c r="A33" s="8" t="n">
        <v>4</v>
      </c>
      <c r="B33" s="17" t="inlineStr">
        <is>
          <t>객관식</t>
        </is>
      </c>
      <c r="C33" s="38">
        <f>'공수2'!G4</f>
        <v/>
      </c>
      <c r="D33" s="10">
        <f>'공수2'!G5</f>
        <v/>
      </c>
      <c r="E33" s="10">
        <f>'공수2'!G3</f>
        <v/>
      </c>
      <c r="F33" s="39">
        <f>IF('공수2'!$G$2="","",'공수2'!$G$2)</f>
        <v/>
      </c>
      <c r="G33" s="10">
        <f>COUNT('공수2'!$Y$7:$Y$86)</f>
        <v/>
      </c>
      <c r="H33" s="10">
        <f>IF(F33="","",SUMPRODUCT(('공수2'!$G$7:$G$86='공수2'!$G$2)*('공수2'!$G$7:$G$86&lt;&gt;"")))</f>
        <v/>
      </c>
      <c r="I33" s="40">
        <f>IF(OR(F33="",G33=0),"",H33/G33)</f>
        <v/>
      </c>
      <c r="J33" s="41">
        <f>IF(F33="","",IFERROR(SUMPRODUCT(('공수2'!$G$7:$G$86='공수2'!$G$2)*('공수2'!$G$7:$G$86&lt;&gt;"")*('반배정'!$K$7:$K$86='설정'!$B$6))/COUNTIFS('반배정'!$K$7:$K$86,'설정'!$B$6,'공수2'!$Y$7:$Y$86,"&gt;=0"),""))</f>
        <v/>
      </c>
      <c r="K33" s="41">
        <f>IF(F33="","",IFERROR(SUMPRODUCT(('공수2'!$G$7:$G$86='공수2'!$G$2)*('공수2'!$G$7:$G$86&lt;&gt;"")*('반배정'!$K$7:$K$86='설정'!$B$7))/COUNTIFS('반배정'!$K$7:$K$86,'설정'!$B$7,'공수2'!$Y$7:$Y$86,"&gt;=0"),""))</f>
        <v/>
      </c>
      <c r="L33" s="41">
        <f>IF(F33="","",IFERROR(SUMPRODUCT(('공수2'!$G$7:$G$86='공수2'!$G$2)*('공수2'!$G$7:$G$86&lt;&gt;"")*('반배정'!$K$7:$K$86='설정'!$B$8))/COUNTIFS('반배정'!$K$7:$K$86,'설정'!$B$8,'공수2'!$Y$7:$Y$86,"&gt;=0"),""))</f>
        <v/>
      </c>
      <c r="M33" s="42">
        <f>IF(OR(J33="",L33=""),"",J33-L33)</f>
        <v/>
      </c>
      <c r="N33" s="38">
        <f>IF(I33="","",IF(AND(M33&lt;&gt;"",M33&lt;0),"역변별·문항검토",IF(I33&gt;=0.9,"매우 쉬움",IF(I33&lt;=0.15,"매우 어려움",IF(AND(M33&lt;&gt;"",M33&lt;0.2),"변별력 낮음","양호")))))</f>
        <v/>
      </c>
      <c r="O33" s="38">
        <f>IF(G33=0,"",COUNTIF('공수2'!$G$7:$G$86,1))</f>
        <v/>
      </c>
      <c r="P33" s="38">
        <f>IF(G33=0,"",COUNTIF('공수2'!$G$7:$G$86,2))</f>
        <v/>
      </c>
      <c r="Q33" s="38">
        <f>IF(G33=0,"",COUNTIF('공수2'!$G$7:$G$86,3))</f>
        <v/>
      </c>
      <c r="R33" s="38">
        <f>IF(G33=0,"",COUNTIF('공수2'!$G$7:$G$86,4))</f>
        <v/>
      </c>
      <c r="S33" s="38">
        <f>IF(G33=0,"",COUNTIF('공수2'!$G$7:$G$86,5))</f>
        <v/>
      </c>
    </row>
    <row r="34">
      <c r="A34" s="8" t="n">
        <v>5</v>
      </c>
      <c r="B34" s="17" t="inlineStr">
        <is>
          <t>객관식</t>
        </is>
      </c>
      <c r="C34" s="38">
        <f>'공수2'!H4</f>
        <v/>
      </c>
      <c r="D34" s="10">
        <f>'공수2'!H5</f>
        <v/>
      </c>
      <c r="E34" s="10">
        <f>'공수2'!H3</f>
        <v/>
      </c>
      <c r="F34" s="39">
        <f>IF('공수2'!$H$2="","",'공수2'!$H$2)</f>
        <v/>
      </c>
      <c r="G34" s="10">
        <f>COUNT('공수2'!$Y$7:$Y$86)</f>
        <v/>
      </c>
      <c r="H34" s="10">
        <f>IF(F34="","",SUMPRODUCT(('공수2'!$H$7:$H$86='공수2'!$H$2)*('공수2'!$H$7:$H$86&lt;&gt;"")))</f>
        <v/>
      </c>
      <c r="I34" s="40">
        <f>IF(OR(F34="",G34=0),"",H34/G34)</f>
        <v/>
      </c>
      <c r="J34" s="41">
        <f>IF(F34="","",IFERROR(SUMPRODUCT(('공수2'!$H$7:$H$86='공수2'!$H$2)*('공수2'!$H$7:$H$86&lt;&gt;"")*('반배정'!$K$7:$K$86='설정'!$B$6))/COUNTIFS('반배정'!$K$7:$K$86,'설정'!$B$6,'공수2'!$Y$7:$Y$86,"&gt;=0"),""))</f>
        <v/>
      </c>
      <c r="K34" s="41">
        <f>IF(F34="","",IFERROR(SUMPRODUCT(('공수2'!$H$7:$H$86='공수2'!$H$2)*('공수2'!$H$7:$H$86&lt;&gt;"")*('반배정'!$K$7:$K$86='설정'!$B$7))/COUNTIFS('반배정'!$K$7:$K$86,'설정'!$B$7,'공수2'!$Y$7:$Y$86,"&gt;=0"),""))</f>
        <v/>
      </c>
      <c r="L34" s="41">
        <f>IF(F34="","",IFERROR(SUMPRODUCT(('공수2'!$H$7:$H$86='공수2'!$H$2)*('공수2'!$H$7:$H$86&lt;&gt;"")*('반배정'!$K$7:$K$86='설정'!$B$8))/COUNTIFS('반배정'!$K$7:$K$86,'설정'!$B$8,'공수2'!$Y$7:$Y$86,"&gt;=0"),""))</f>
        <v/>
      </c>
      <c r="M34" s="42">
        <f>IF(OR(J34="",L34=""),"",J34-L34)</f>
        <v/>
      </c>
      <c r="N34" s="38">
        <f>IF(I34="","",IF(AND(M34&lt;&gt;"",M34&lt;0),"역변별·문항검토",IF(I34&gt;=0.9,"매우 쉬움",IF(I34&lt;=0.15,"매우 어려움",IF(AND(M34&lt;&gt;"",M34&lt;0.2),"변별력 낮음","양호")))))</f>
        <v/>
      </c>
      <c r="O34" s="38">
        <f>IF(G34=0,"",COUNTIF('공수2'!$H$7:$H$86,1))</f>
        <v/>
      </c>
      <c r="P34" s="38">
        <f>IF(G34=0,"",COUNTIF('공수2'!$H$7:$H$86,2))</f>
        <v/>
      </c>
      <c r="Q34" s="38">
        <f>IF(G34=0,"",COUNTIF('공수2'!$H$7:$H$86,3))</f>
        <v/>
      </c>
      <c r="R34" s="38">
        <f>IF(G34=0,"",COUNTIF('공수2'!$H$7:$H$86,4))</f>
        <v/>
      </c>
      <c r="S34" s="38">
        <f>IF(G34=0,"",COUNTIF('공수2'!$H$7:$H$86,5))</f>
        <v/>
      </c>
    </row>
    <row r="35">
      <c r="A35" s="8" t="n">
        <v>6</v>
      </c>
      <c r="B35" s="17" t="inlineStr">
        <is>
          <t>객관식</t>
        </is>
      </c>
      <c r="C35" s="38">
        <f>'공수2'!I4</f>
        <v/>
      </c>
      <c r="D35" s="10">
        <f>'공수2'!I5</f>
        <v/>
      </c>
      <c r="E35" s="10">
        <f>'공수2'!I3</f>
        <v/>
      </c>
      <c r="F35" s="39">
        <f>IF('공수2'!$I$2="","",'공수2'!$I$2)</f>
        <v/>
      </c>
      <c r="G35" s="10">
        <f>COUNT('공수2'!$Y$7:$Y$86)</f>
        <v/>
      </c>
      <c r="H35" s="10">
        <f>IF(F35="","",SUMPRODUCT(('공수2'!$I$7:$I$86='공수2'!$I$2)*('공수2'!$I$7:$I$86&lt;&gt;"")))</f>
        <v/>
      </c>
      <c r="I35" s="40">
        <f>IF(OR(F35="",G35=0),"",H35/G35)</f>
        <v/>
      </c>
      <c r="J35" s="41">
        <f>IF(F35="","",IFERROR(SUMPRODUCT(('공수2'!$I$7:$I$86='공수2'!$I$2)*('공수2'!$I$7:$I$86&lt;&gt;"")*('반배정'!$K$7:$K$86='설정'!$B$6))/COUNTIFS('반배정'!$K$7:$K$86,'설정'!$B$6,'공수2'!$Y$7:$Y$86,"&gt;=0"),""))</f>
        <v/>
      </c>
      <c r="K35" s="41">
        <f>IF(F35="","",IFERROR(SUMPRODUCT(('공수2'!$I$7:$I$86='공수2'!$I$2)*('공수2'!$I$7:$I$86&lt;&gt;"")*('반배정'!$K$7:$K$86='설정'!$B$7))/COUNTIFS('반배정'!$K$7:$K$86,'설정'!$B$7,'공수2'!$Y$7:$Y$86,"&gt;=0"),""))</f>
        <v/>
      </c>
      <c r="L35" s="41">
        <f>IF(F35="","",IFERROR(SUMPRODUCT(('공수2'!$I$7:$I$86='공수2'!$I$2)*('공수2'!$I$7:$I$86&lt;&gt;"")*('반배정'!$K$7:$K$86='설정'!$B$8))/COUNTIFS('반배정'!$K$7:$K$86,'설정'!$B$8,'공수2'!$Y$7:$Y$86,"&gt;=0"),""))</f>
        <v/>
      </c>
      <c r="M35" s="42">
        <f>IF(OR(J35="",L35=""),"",J35-L35)</f>
        <v/>
      </c>
      <c r="N35" s="38">
        <f>IF(I35="","",IF(AND(M35&lt;&gt;"",M35&lt;0),"역변별·문항검토",IF(I35&gt;=0.9,"매우 쉬움",IF(I35&lt;=0.15,"매우 어려움",IF(AND(M35&lt;&gt;"",M35&lt;0.2),"변별력 낮음","양호")))))</f>
        <v/>
      </c>
      <c r="O35" s="38">
        <f>IF(G35=0,"",COUNTIF('공수2'!$I$7:$I$86,1))</f>
        <v/>
      </c>
      <c r="P35" s="38">
        <f>IF(G35=0,"",COUNTIF('공수2'!$I$7:$I$86,2))</f>
        <v/>
      </c>
      <c r="Q35" s="38">
        <f>IF(G35=0,"",COUNTIF('공수2'!$I$7:$I$86,3))</f>
        <v/>
      </c>
      <c r="R35" s="38">
        <f>IF(G35=0,"",COUNTIF('공수2'!$I$7:$I$86,4))</f>
        <v/>
      </c>
      <c r="S35" s="38">
        <f>IF(G35=0,"",COUNTIF('공수2'!$I$7:$I$86,5))</f>
        <v/>
      </c>
    </row>
    <row r="36">
      <c r="A36" s="8" t="n">
        <v>7</v>
      </c>
      <c r="B36" s="17" t="inlineStr">
        <is>
          <t>객관식</t>
        </is>
      </c>
      <c r="C36" s="38">
        <f>'공수2'!J4</f>
        <v/>
      </c>
      <c r="D36" s="10">
        <f>'공수2'!J5</f>
        <v/>
      </c>
      <c r="E36" s="10">
        <f>'공수2'!J3</f>
        <v/>
      </c>
      <c r="F36" s="39">
        <f>IF('공수2'!$J$2="","",'공수2'!$J$2)</f>
        <v/>
      </c>
      <c r="G36" s="10">
        <f>COUNT('공수2'!$Y$7:$Y$86)</f>
        <v/>
      </c>
      <c r="H36" s="10">
        <f>IF(F36="","",SUMPRODUCT(('공수2'!$J$7:$J$86='공수2'!$J$2)*('공수2'!$J$7:$J$86&lt;&gt;"")))</f>
        <v/>
      </c>
      <c r="I36" s="40">
        <f>IF(OR(F36="",G36=0),"",H36/G36)</f>
        <v/>
      </c>
      <c r="J36" s="41">
        <f>IF(F36="","",IFERROR(SUMPRODUCT(('공수2'!$J$7:$J$86='공수2'!$J$2)*('공수2'!$J$7:$J$86&lt;&gt;"")*('반배정'!$K$7:$K$86='설정'!$B$6))/COUNTIFS('반배정'!$K$7:$K$86,'설정'!$B$6,'공수2'!$Y$7:$Y$86,"&gt;=0"),""))</f>
        <v/>
      </c>
      <c r="K36" s="41">
        <f>IF(F36="","",IFERROR(SUMPRODUCT(('공수2'!$J$7:$J$86='공수2'!$J$2)*('공수2'!$J$7:$J$86&lt;&gt;"")*('반배정'!$K$7:$K$86='설정'!$B$7))/COUNTIFS('반배정'!$K$7:$K$86,'설정'!$B$7,'공수2'!$Y$7:$Y$86,"&gt;=0"),""))</f>
        <v/>
      </c>
      <c r="L36" s="41">
        <f>IF(F36="","",IFERROR(SUMPRODUCT(('공수2'!$J$7:$J$86='공수2'!$J$2)*('공수2'!$J$7:$J$86&lt;&gt;"")*('반배정'!$K$7:$K$86='설정'!$B$8))/COUNTIFS('반배정'!$K$7:$K$86,'설정'!$B$8,'공수2'!$Y$7:$Y$86,"&gt;=0"),""))</f>
        <v/>
      </c>
      <c r="M36" s="42">
        <f>IF(OR(J36="",L36=""),"",J36-L36)</f>
        <v/>
      </c>
      <c r="N36" s="38">
        <f>IF(I36="","",IF(AND(M36&lt;&gt;"",M36&lt;0),"역변별·문항검토",IF(I36&gt;=0.9,"매우 쉬움",IF(I36&lt;=0.15,"매우 어려움",IF(AND(M36&lt;&gt;"",M36&lt;0.2),"변별력 낮음","양호")))))</f>
        <v/>
      </c>
      <c r="O36" s="38">
        <f>IF(G36=0,"",COUNTIF('공수2'!$J$7:$J$86,1))</f>
        <v/>
      </c>
      <c r="P36" s="38">
        <f>IF(G36=0,"",COUNTIF('공수2'!$J$7:$J$86,2))</f>
        <v/>
      </c>
      <c r="Q36" s="38">
        <f>IF(G36=0,"",COUNTIF('공수2'!$J$7:$J$86,3))</f>
        <v/>
      </c>
      <c r="R36" s="38">
        <f>IF(G36=0,"",COUNTIF('공수2'!$J$7:$J$86,4))</f>
        <v/>
      </c>
      <c r="S36" s="38">
        <f>IF(G36=0,"",COUNTIF('공수2'!$J$7:$J$86,5))</f>
        <v/>
      </c>
    </row>
    <row r="37">
      <c r="A37" s="8" t="n">
        <v>8</v>
      </c>
      <c r="B37" s="17" t="inlineStr">
        <is>
          <t>객관식</t>
        </is>
      </c>
      <c r="C37" s="38">
        <f>'공수2'!K4</f>
        <v/>
      </c>
      <c r="D37" s="10">
        <f>'공수2'!K5</f>
        <v/>
      </c>
      <c r="E37" s="10">
        <f>'공수2'!K3</f>
        <v/>
      </c>
      <c r="F37" s="39">
        <f>IF('공수2'!$K$2="","",'공수2'!$K$2)</f>
        <v/>
      </c>
      <c r="G37" s="10">
        <f>COUNT('공수2'!$Y$7:$Y$86)</f>
        <v/>
      </c>
      <c r="H37" s="10">
        <f>IF(F37="","",SUMPRODUCT(('공수2'!$K$7:$K$86='공수2'!$K$2)*('공수2'!$K$7:$K$86&lt;&gt;"")))</f>
        <v/>
      </c>
      <c r="I37" s="40">
        <f>IF(OR(F37="",G37=0),"",H37/G37)</f>
        <v/>
      </c>
      <c r="J37" s="41">
        <f>IF(F37="","",IFERROR(SUMPRODUCT(('공수2'!$K$7:$K$86='공수2'!$K$2)*('공수2'!$K$7:$K$86&lt;&gt;"")*('반배정'!$K$7:$K$86='설정'!$B$6))/COUNTIFS('반배정'!$K$7:$K$86,'설정'!$B$6,'공수2'!$Y$7:$Y$86,"&gt;=0"),""))</f>
        <v/>
      </c>
      <c r="K37" s="41">
        <f>IF(F37="","",IFERROR(SUMPRODUCT(('공수2'!$K$7:$K$86='공수2'!$K$2)*('공수2'!$K$7:$K$86&lt;&gt;"")*('반배정'!$K$7:$K$86='설정'!$B$7))/COUNTIFS('반배정'!$K$7:$K$86,'설정'!$B$7,'공수2'!$Y$7:$Y$86,"&gt;=0"),""))</f>
        <v/>
      </c>
      <c r="L37" s="41">
        <f>IF(F37="","",IFERROR(SUMPRODUCT(('공수2'!$K$7:$K$86='공수2'!$K$2)*('공수2'!$K$7:$K$86&lt;&gt;"")*('반배정'!$K$7:$K$86='설정'!$B$8))/COUNTIFS('반배정'!$K$7:$K$86,'설정'!$B$8,'공수2'!$Y$7:$Y$86,"&gt;=0"),""))</f>
        <v/>
      </c>
      <c r="M37" s="42">
        <f>IF(OR(J37="",L37=""),"",J37-L37)</f>
        <v/>
      </c>
      <c r="N37" s="38">
        <f>IF(I37="","",IF(AND(M37&lt;&gt;"",M37&lt;0),"역변별·문항검토",IF(I37&gt;=0.9,"매우 쉬움",IF(I37&lt;=0.15,"매우 어려움",IF(AND(M37&lt;&gt;"",M37&lt;0.2),"변별력 낮음","양호")))))</f>
        <v/>
      </c>
      <c r="O37" s="38">
        <f>IF(G37=0,"",COUNTIF('공수2'!$K$7:$K$86,1))</f>
        <v/>
      </c>
      <c r="P37" s="38">
        <f>IF(G37=0,"",COUNTIF('공수2'!$K$7:$K$86,2))</f>
        <v/>
      </c>
      <c r="Q37" s="38">
        <f>IF(G37=0,"",COUNTIF('공수2'!$K$7:$K$86,3))</f>
        <v/>
      </c>
      <c r="R37" s="38">
        <f>IF(G37=0,"",COUNTIF('공수2'!$K$7:$K$86,4))</f>
        <v/>
      </c>
      <c r="S37" s="38">
        <f>IF(G37=0,"",COUNTIF('공수2'!$K$7:$K$86,5))</f>
        <v/>
      </c>
    </row>
    <row r="38">
      <c r="A38" s="8" t="n">
        <v>9</v>
      </c>
      <c r="B38" s="17" t="inlineStr">
        <is>
          <t>객관식</t>
        </is>
      </c>
      <c r="C38" s="38">
        <f>'공수2'!L4</f>
        <v/>
      </c>
      <c r="D38" s="10">
        <f>'공수2'!L5</f>
        <v/>
      </c>
      <c r="E38" s="10">
        <f>'공수2'!L3</f>
        <v/>
      </c>
      <c r="F38" s="39">
        <f>IF('공수2'!$L$2="","",'공수2'!$L$2)</f>
        <v/>
      </c>
      <c r="G38" s="10">
        <f>COUNT('공수2'!$Y$7:$Y$86)</f>
        <v/>
      </c>
      <c r="H38" s="10">
        <f>IF(F38="","",SUMPRODUCT(('공수2'!$L$7:$L$86='공수2'!$L$2)*('공수2'!$L$7:$L$86&lt;&gt;"")))</f>
        <v/>
      </c>
      <c r="I38" s="40">
        <f>IF(OR(F38="",G38=0),"",H38/G38)</f>
        <v/>
      </c>
      <c r="J38" s="41">
        <f>IF(F38="","",IFERROR(SUMPRODUCT(('공수2'!$L$7:$L$86='공수2'!$L$2)*('공수2'!$L$7:$L$86&lt;&gt;"")*('반배정'!$K$7:$K$86='설정'!$B$6))/COUNTIFS('반배정'!$K$7:$K$86,'설정'!$B$6,'공수2'!$Y$7:$Y$86,"&gt;=0"),""))</f>
        <v/>
      </c>
      <c r="K38" s="41">
        <f>IF(F38="","",IFERROR(SUMPRODUCT(('공수2'!$L$7:$L$86='공수2'!$L$2)*('공수2'!$L$7:$L$86&lt;&gt;"")*('반배정'!$K$7:$K$86='설정'!$B$7))/COUNTIFS('반배정'!$K$7:$K$86,'설정'!$B$7,'공수2'!$Y$7:$Y$86,"&gt;=0"),""))</f>
        <v/>
      </c>
      <c r="L38" s="41">
        <f>IF(F38="","",IFERROR(SUMPRODUCT(('공수2'!$L$7:$L$86='공수2'!$L$2)*('공수2'!$L$7:$L$86&lt;&gt;"")*('반배정'!$K$7:$K$86='설정'!$B$8))/COUNTIFS('반배정'!$K$7:$K$86,'설정'!$B$8,'공수2'!$Y$7:$Y$86,"&gt;=0"),""))</f>
        <v/>
      </c>
      <c r="M38" s="42">
        <f>IF(OR(J38="",L38=""),"",J38-L38)</f>
        <v/>
      </c>
      <c r="N38" s="38">
        <f>IF(I38="","",IF(AND(M38&lt;&gt;"",M38&lt;0),"역변별·문항검토",IF(I38&gt;=0.9,"매우 쉬움",IF(I38&lt;=0.15,"매우 어려움",IF(AND(M38&lt;&gt;"",M38&lt;0.2),"변별력 낮음","양호")))))</f>
        <v/>
      </c>
      <c r="O38" s="38">
        <f>IF(G38=0,"",COUNTIF('공수2'!$L$7:$L$86,1))</f>
        <v/>
      </c>
      <c r="P38" s="38">
        <f>IF(G38=0,"",COUNTIF('공수2'!$L$7:$L$86,2))</f>
        <v/>
      </c>
      <c r="Q38" s="38">
        <f>IF(G38=0,"",COUNTIF('공수2'!$L$7:$L$86,3))</f>
        <v/>
      </c>
      <c r="R38" s="38">
        <f>IF(G38=0,"",COUNTIF('공수2'!$L$7:$L$86,4))</f>
        <v/>
      </c>
      <c r="S38" s="38">
        <f>IF(G38=0,"",COUNTIF('공수2'!$L$7:$L$86,5))</f>
        <v/>
      </c>
    </row>
    <row r="39">
      <c r="A39" s="8" t="n">
        <v>10</v>
      </c>
      <c r="B39" s="17" t="inlineStr">
        <is>
          <t>객관식</t>
        </is>
      </c>
      <c r="C39" s="38">
        <f>'공수2'!M4</f>
        <v/>
      </c>
      <c r="D39" s="10">
        <f>'공수2'!M5</f>
        <v/>
      </c>
      <c r="E39" s="10">
        <f>'공수2'!M3</f>
        <v/>
      </c>
      <c r="F39" s="39">
        <f>IF('공수2'!$M$2="","",'공수2'!$M$2)</f>
        <v/>
      </c>
      <c r="G39" s="10">
        <f>COUNT('공수2'!$Y$7:$Y$86)</f>
        <v/>
      </c>
      <c r="H39" s="10">
        <f>IF(F39="","",SUMPRODUCT(('공수2'!$M$7:$M$86='공수2'!$M$2)*('공수2'!$M$7:$M$86&lt;&gt;"")))</f>
        <v/>
      </c>
      <c r="I39" s="40">
        <f>IF(OR(F39="",G39=0),"",H39/G39)</f>
        <v/>
      </c>
      <c r="J39" s="41">
        <f>IF(F39="","",IFERROR(SUMPRODUCT(('공수2'!$M$7:$M$86='공수2'!$M$2)*('공수2'!$M$7:$M$86&lt;&gt;"")*('반배정'!$K$7:$K$86='설정'!$B$6))/COUNTIFS('반배정'!$K$7:$K$86,'설정'!$B$6,'공수2'!$Y$7:$Y$86,"&gt;=0"),""))</f>
        <v/>
      </c>
      <c r="K39" s="41">
        <f>IF(F39="","",IFERROR(SUMPRODUCT(('공수2'!$M$7:$M$86='공수2'!$M$2)*('공수2'!$M$7:$M$86&lt;&gt;"")*('반배정'!$K$7:$K$86='설정'!$B$7))/COUNTIFS('반배정'!$K$7:$K$86,'설정'!$B$7,'공수2'!$Y$7:$Y$86,"&gt;=0"),""))</f>
        <v/>
      </c>
      <c r="L39" s="41">
        <f>IF(F39="","",IFERROR(SUMPRODUCT(('공수2'!$M$7:$M$86='공수2'!$M$2)*('공수2'!$M$7:$M$86&lt;&gt;"")*('반배정'!$K$7:$K$86='설정'!$B$8))/COUNTIFS('반배정'!$K$7:$K$86,'설정'!$B$8,'공수2'!$Y$7:$Y$86,"&gt;=0"),""))</f>
        <v/>
      </c>
      <c r="M39" s="42">
        <f>IF(OR(J39="",L39=""),"",J39-L39)</f>
        <v/>
      </c>
      <c r="N39" s="38">
        <f>IF(I39="","",IF(AND(M39&lt;&gt;"",M39&lt;0),"역변별·문항검토",IF(I39&gt;=0.9,"매우 쉬움",IF(I39&lt;=0.15,"매우 어려움",IF(AND(M39&lt;&gt;"",M39&lt;0.2),"변별력 낮음","양호")))))</f>
        <v/>
      </c>
      <c r="O39" s="38">
        <f>IF(G39=0,"",COUNTIF('공수2'!$M$7:$M$86,1))</f>
        <v/>
      </c>
      <c r="P39" s="38">
        <f>IF(G39=0,"",COUNTIF('공수2'!$M$7:$M$86,2))</f>
        <v/>
      </c>
      <c r="Q39" s="38">
        <f>IF(G39=0,"",COUNTIF('공수2'!$M$7:$M$86,3))</f>
        <v/>
      </c>
      <c r="R39" s="38">
        <f>IF(G39=0,"",COUNTIF('공수2'!$M$7:$M$86,4))</f>
        <v/>
      </c>
      <c r="S39" s="38">
        <f>IF(G39=0,"",COUNTIF('공수2'!$M$7:$M$86,5))</f>
        <v/>
      </c>
    </row>
    <row r="40">
      <c r="A40" s="8" t="n">
        <v>11</v>
      </c>
      <c r="B40" s="17" t="inlineStr">
        <is>
          <t>객관식</t>
        </is>
      </c>
      <c r="C40" s="38">
        <f>'공수2'!N4</f>
        <v/>
      </c>
      <c r="D40" s="10">
        <f>'공수2'!N5</f>
        <v/>
      </c>
      <c r="E40" s="10">
        <f>'공수2'!N3</f>
        <v/>
      </c>
      <c r="F40" s="39">
        <f>IF('공수2'!$N$2="","",'공수2'!$N$2)</f>
        <v/>
      </c>
      <c r="G40" s="10">
        <f>COUNT('공수2'!$Y$7:$Y$86)</f>
        <v/>
      </c>
      <c r="H40" s="10">
        <f>IF(F40="","",SUMPRODUCT(('공수2'!$N$7:$N$86='공수2'!$N$2)*('공수2'!$N$7:$N$86&lt;&gt;"")))</f>
        <v/>
      </c>
      <c r="I40" s="40">
        <f>IF(OR(F40="",G40=0),"",H40/G40)</f>
        <v/>
      </c>
      <c r="J40" s="41">
        <f>IF(F40="","",IFERROR(SUMPRODUCT(('공수2'!$N$7:$N$86='공수2'!$N$2)*('공수2'!$N$7:$N$86&lt;&gt;"")*('반배정'!$K$7:$K$86='설정'!$B$6))/COUNTIFS('반배정'!$K$7:$K$86,'설정'!$B$6,'공수2'!$Y$7:$Y$86,"&gt;=0"),""))</f>
        <v/>
      </c>
      <c r="K40" s="41">
        <f>IF(F40="","",IFERROR(SUMPRODUCT(('공수2'!$N$7:$N$86='공수2'!$N$2)*('공수2'!$N$7:$N$86&lt;&gt;"")*('반배정'!$K$7:$K$86='설정'!$B$7))/COUNTIFS('반배정'!$K$7:$K$86,'설정'!$B$7,'공수2'!$Y$7:$Y$86,"&gt;=0"),""))</f>
        <v/>
      </c>
      <c r="L40" s="41">
        <f>IF(F40="","",IFERROR(SUMPRODUCT(('공수2'!$N$7:$N$86='공수2'!$N$2)*('공수2'!$N$7:$N$86&lt;&gt;"")*('반배정'!$K$7:$K$86='설정'!$B$8))/COUNTIFS('반배정'!$K$7:$K$86,'설정'!$B$8,'공수2'!$Y$7:$Y$86,"&gt;=0"),""))</f>
        <v/>
      </c>
      <c r="M40" s="42">
        <f>IF(OR(J40="",L40=""),"",J40-L40)</f>
        <v/>
      </c>
      <c r="N40" s="38">
        <f>IF(I40="","",IF(AND(M40&lt;&gt;"",M40&lt;0),"역변별·문항검토",IF(I40&gt;=0.9,"매우 쉬움",IF(I40&lt;=0.15,"매우 어려움",IF(AND(M40&lt;&gt;"",M40&lt;0.2),"변별력 낮음","양호")))))</f>
        <v/>
      </c>
      <c r="O40" s="38">
        <f>IF(G40=0,"",COUNTIF('공수2'!$N$7:$N$86,1))</f>
        <v/>
      </c>
      <c r="P40" s="38">
        <f>IF(G40=0,"",COUNTIF('공수2'!$N$7:$N$86,2))</f>
        <v/>
      </c>
      <c r="Q40" s="38">
        <f>IF(G40=0,"",COUNTIF('공수2'!$N$7:$N$86,3))</f>
        <v/>
      </c>
      <c r="R40" s="38">
        <f>IF(G40=0,"",COUNTIF('공수2'!$N$7:$N$86,4))</f>
        <v/>
      </c>
      <c r="S40" s="38">
        <f>IF(G40=0,"",COUNTIF('공수2'!$N$7:$N$86,5))</f>
        <v/>
      </c>
    </row>
    <row r="41">
      <c r="A41" s="8" t="n">
        <v>12</v>
      </c>
      <c r="B41" s="17" t="inlineStr">
        <is>
          <t>객관식</t>
        </is>
      </c>
      <c r="C41" s="38">
        <f>'공수2'!O4</f>
        <v/>
      </c>
      <c r="D41" s="10">
        <f>'공수2'!O5</f>
        <v/>
      </c>
      <c r="E41" s="10">
        <f>'공수2'!O3</f>
        <v/>
      </c>
      <c r="F41" s="39">
        <f>IF('공수2'!$O$2="","",'공수2'!$O$2)</f>
        <v/>
      </c>
      <c r="G41" s="10">
        <f>COUNT('공수2'!$Y$7:$Y$86)</f>
        <v/>
      </c>
      <c r="H41" s="10">
        <f>IF(F41="","",SUMPRODUCT(('공수2'!$O$7:$O$86='공수2'!$O$2)*('공수2'!$O$7:$O$86&lt;&gt;"")))</f>
        <v/>
      </c>
      <c r="I41" s="40">
        <f>IF(OR(F41="",G41=0),"",H41/G41)</f>
        <v/>
      </c>
      <c r="J41" s="41">
        <f>IF(F41="","",IFERROR(SUMPRODUCT(('공수2'!$O$7:$O$86='공수2'!$O$2)*('공수2'!$O$7:$O$86&lt;&gt;"")*('반배정'!$K$7:$K$86='설정'!$B$6))/COUNTIFS('반배정'!$K$7:$K$86,'설정'!$B$6,'공수2'!$Y$7:$Y$86,"&gt;=0"),""))</f>
        <v/>
      </c>
      <c r="K41" s="41">
        <f>IF(F41="","",IFERROR(SUMPRODUCT(('공수2'!$O$7:$O$86='공수2'!$O$2)*('공수2'!$O$7:$O$86&lt;&gt;"")*('반배정'!$K$7:$K$86='설정'!$B$7))/COUNTIFS('반배정'!$K$7:$K$86,'설정'!$B$7,'공수2'!$Y$7:$Y$86,"&gt;=0"),""))</f>
        <v/>
      </c>
      <c r="L41" s="41">
        <f>IF(F41="","",IFERROR(SUMPRODUCT(('공수2'!$O$7:$O$86='공수2'!$O$2)*('공수2'!$O$7:$O$86&lt;&gt;"")*('반배정'!$K$7:$K$86='설정'!$B$8))/COUNTIFS('반배정'!$K$7:$K$86,'설정'!$B$8,'공수2'!$Y$7:$Y$86,"&gt;=0"),""))</f>
        <v/>
      </c>
      <c r="M41" s="42">
        <f>IF(OR(J41="",L41=""),"",J41-L41)</f>
        <v/>
      </c>
      <c r="N41" s="38">
        <f>IF(I41="","",IF(AND(M41&lt;&gt;"",M41&lt;0),"역변별·문항검토",IF(I41&gt;=0.9,"매우 쉬움",IF(I41&lt;=0.15,"매우 어려움",IF(AND(M41&lt;&gt;"",M41&lt;0.2),"변별력 낮음","양호")))))</f>
        <v/>
      </c>
      <c r="O41" s="38">
        <f>IF(G41=0,"",COUNTIF('공수2'!$O$7:$O$86,1))</f>
        <v/>
      </c>
      <c r="P41" s="38">
        <f>IF(G41=0,"",COUNTIF('공수2'!$O$7:$O$86,2))</f>
        <v/>
      </c>
      <c r="Q41" s="38">
        <f>IF(G41=0,"",COUNTIF('공수2'!$O$7:$O$86,3))</f>
        <v/>
      </c>
      <c r="R41" s="38">
        <f>IF(G41=0,"",COUNTIF('공수2'!$O$7:$O$86,4))</f>
        <v/>
      </c>
      <c r="S41" s="38">
        <f>IF(G41=0,"",COUNTIF('공수2'!$O$7:$O$86,5))</f>
        <v/>
      </c>
    </row>
    <row r="42">
      <c r="A42" s="8" t="n">
        <v>13</v>
      </c>
      <c r="B42" s="17" t="inlineStr">
        <is>
          <t>객관식</t>
        </is>
      </c>
      <c r="C42" s="38">
        <f>'공수2'!P4</f>
        <v/>
      </c>
      <c r="D42" s="10">
        <f>'공수2'!P5</f>
        <v/>
      </c>
      <c r="E42" s="10">
        <f>'공수2'!P3</f>
        <v/>
      </c>
      <c r="F42" s="39">
        <f>IF('공수2'!$P$2="","",'공수2'!$P$2)</f>
        <v/>
      </c>
      <c r="G42" s="10">
        <f>COUNT('공수2'!$Y$7:$Y$86)</f>
        <v/>
      </c>
      <c r="H42" s="10">
        <f>IF(F42="","",SUMPRODUCT(('공수2'!$P$7:$P$86='공수2'!$P$2)*('공수2'!$P$7:$P$86&lt;&gt;"")))</f>
        <v/>
      </c>
      <c r="I42" s="40">
        <f>IF(OR(F42="",G42=0),"",H42/G42)</f>
        <v/>
      </c>
      <c r="J42" s="41">
        <f>IF(F42="","",IFERROR(SUMPRODUCT(('공수2'!$P$7:$P$86='공수2'!$P$2)*('공수2'!$P$7:$P$86&lt;&gt;"")*('반배정'!$K$7:$K$86='설정'!$B$6))/COUNTIFS('반배정'!$K$7:$K$86,'설정'!$B$6,'공수2'!$Y$7:$Y$86,"&gt;=0"),""))</f>
        <v/>
      </c>
      <c r="K42" s="41">
        <f>IF(F42="","",IFERROR(SUMPRODUCT(('공수2'!$P$7:$P$86='공수2'!$P$2)*('공수2'!$P$7:$P$86&lt;&gt;"")*('반배정'!$K$7:$K$86='설정'!$B$7))/COUNTIFS('반배정'!$K$7:$K$86,'설정'!$B$7,'공수2'!$Y$7:$Y$86,"&gt;=0"),""))</f>
        <v/>
      </c>
      <c r="L42" s="41">
        <f>IF(F42="","",IFERROR(SUMPRODUCT(('공수2'!$P$7:$P$86='공수2'!$P$2)*('공수2'!$P$7:$P$86&lt;&gt;"")*('반배정'!$K$7:$K$86='설정'!$B$8))/COUNTIFS('반배정'!$K$7:$K$86,'설정'!$B$8,'공수2'!$Y$7:$Y$86,"&gt;=0"),""))</f>
        <v/>
      </c>
      <c r="M42" s="42">
        <f>IF(OR(J42="",L42=""),"",J42-L42)</f>
        <v/>
      </c>
      <c r="N42" s="38">
        <f>IF(I42="","",IF(AND(M42&lt;&gt;"",M42&lt;0),"역변별·문항검토",IF(I42&gt;=0.9,"매우 쉬움",IF(I42&lt;=0.15,"매우 어려움",IF(AND(M42&lt;&gt;"",M42&lt;0.2),"변별력 낮음","양호")))))</f>
        <v/>
      </c>
      <c r="O42" s="38">
        <f>IF(G42=0,"",COUNTIF('공수2'!$P$7:$P$86,1))</f>
        <v/>
      </c>
      <c r="P42" s="38">
        <f>IF(G42=0,"",COUNTIF('공수2'!$P$7:$P$86,2))</f>
        <v/>
      </c>
      <c r="Q42" s="38">
        <f>IF(G42=0,"",COUNTIF('공수2'!$P$7:$P$86,3))</f>
        <v/>
      </c>
      <c r="R42" s="38">
        <f>IF(G42=0,"",COUNTIF('공수2'!$P$7:$P$86,4))</f>
        <v/>
      </c>
      <c r="S42" s="38">
        <f>IF(G42=0,"",COUNTIF('공수2'!$P$7:$P$86,5))</f>
        <v/>
      </c>
    </row>
    <row r="43">
      <c r="A43" s="8" t="n">
        <v>14</v>
      </c>
      <c r="B43" s="17" t="inlineStr">
        <is>
          <t>객관식</t>
        </is>
      </c>
      <c r="C43" s="38">
        <f>'공수2'!Q4</f>
        <v/>
      </c>
      <c r="D43" s="10">
        <f>'공수2'!Q5</f>
        <v/>
      </c>
      <c r="E43" s="10">
        <f>'공수2'!Q3</f>
        <v/>
      </c>
      <c r="F43" s="39">
        <f>IF('공수2'!$Q$2="","",'공수2'!$Q$2)</f>
        <v/>
      </c>
      <c r="G43" s="10">
        <f>COUNT('공수2'!$Y$7:$Y$86)</f>
        <v/>
      </c>
      <c r="H43" s="10">
        <f>IF(F43="","",SUMPRODUCT(('공수2'!$Q$7:$Q$86='공수2'!$Q$2)*('공수2'!$Q$7:$Q$86&lt;&gt;"")))</f>
        <v/>
      </c>
      <c r="I43" s="40">
        <f>IF(OR(F43="",G43=0),"",H43/G43)</f>
        <v/>
      </c>
      <c r="J43" s="41">
        <f>IF(F43="","",IFERROR(SUMPRODUCT(('공수2'!$Q$7:$Q$86='공수2'!$Q$2)*('공수2'!$Q$7:$Q$86&lt;&gt;"")*('반배정'!$K$7:$K$86='설정'!$B$6))/COUNTIFS('반배정'!$K$7:$K$86,'설정'!$B$6,'공수2'!$Y$7:$Y$86,"&gt;=0"),""))</f>
        <v/>
      </c>
      <c r="K43" s="41">
        <f>IF(F43="","",IFERROR(SUMPRODUCT(('공수2'!$Q$7:$Q$86='공수2'!$Q$2)*('공수2'!$Q$7:$Q$86&lt;&gt;"")*('반배정'!$K$7:$K$86='설정'!$B$7))/COUNTIFS('반배정'!$K$7:$K$86,'설정'!$B$7,'공수2'!$Y$7:$Y$86,"&gt;=0"),""))</f>
        <v/>
      </c>
      <c r="L43" s="41">
        <f>IF(F43="","",IFERROR(SUMPRODUCT(('공수2'!$Q$7:$Q$86='공수2'!$Q$2)*('공수2'!$Q$7:$Q$86&lt;&gt;"")*('반배정'!$K$7:$K$86='설정'!$B$8))/COUNTIFS('반배정'!$K$7:$K$86,'설정'!$B$8,'공수2'!$Y$7:$Y$86,"&gt;=0"),""))</f>
        <v/>
      </c>
      <c r="M43" s="42">
        <f>IF(OR(J43="",L43=""),"",J43-L43)</f>
        <v/>
      </c>
      <c r="N43" s="38">
        <f>IF(I43="","",IF(AND(M43&lt;&gt;"",M43&lt;0),"역변별·문항검토",IF(I43&gt;=0.9,"매우 쉬움",IF(I43&lt;=0.15,"매우 어려움",IF(AND(M43&lt;&gt;"",M43&lt;0.2),"변별력 낮음","양호")))))</f>
        <v/>
      </c>
      <c r="O43" s="38">
        <f>IF(G43=0,"",COUNTIF('공수2'!$Q$7:$Q$86,1))</f>
        <v/>
      </c>
      <c r="P43" s="38">
        <f>IF(G43=0,"",COUNTIF('공수2'!$Q$7:$Q$86,2))</f>
        <v/>
      </c>
      <c r="Q43" s="38">
        <f>IF(G43=0,"",COUNTIF('공수2'!$Q$7:$Q$86,3))</f>
        <v/>
      </c>
      <c r="R43" s="38">
        <f>IF(G43=0,"",COUNTIF('공수2'!$Q$7:$Q$86,4))</f>
        <v/>
      </c>
      <c r="S43" s="38">
        <f>IF(G43=0,"",COUNTIF('공수2'!$Q$7:$Q$86,5))</f>
        <v/>
      </c>
    </row>
    <row r="44">
      <c r="A44" s="8" t="n">
        <v>15</v>
      </c>
      <c r="B44" s="17" t="inlineStr">
        <is>
          <t>단답형</t>
        </is>
      </c>
      <c r="C44" s="38">
        <f>'공수2'!R4</f>
        <v/>
      </c>
      <c r="D44" s="10">
        <f>'공수2'!R5</f>
        <v/>
      </c>
      <c r="E44" s="10">
        <f>'공수2'!R3</f>
        <v/>
      </c>
      <c r="F44" s="39">
        <f>IF('공수2'!$R$2="","",'공수2'!$R$2)</f>
        <v/>
      </c>
      <c r="G44" s="10">
        <f>COUNT('공수2'!$Y$7:$Y$86)</f>
        <v/>
      </c>
      <c r="H44" s="10">
        <f>IF(F44="","",SUMPRODUCT(('공수2'!$R$7:$R$86='공수2'!$R$2)*('공수2'!$R$7:$R$86&lt;&gt;"")))</f>
        <v/>
      </c>
      <c r="I44" s="40">
        <f>IF(OR(F44="",G44=0),"",H44/G44)</f>
        <v/>
      </c>
      <c r="J44" s="41">
        <f>IF(F44="","",IFERROR(SUMPRODUCT(('공수2'!$R$7:$R$86='공수2'!$R$2)*('공수2'!$R$7:$R$86&lt;&gt;"")*('반배정'!$K$7:$K$86='설정'!$B$6))/COUNTIFS('반배정'!$K$7:$K$86,'설정'!$B$6,'공수2'!$Y$7:$Y$86,"&gt;=0"),""))</f>
        <v/>
      </c>
      <c r="K44" s="41">
        <f>IF(F44="","",IFERROR(SUMPRODUCT(('공수2'!$R$7:$R$86='공수2'!$R$2)*('공수2'!$R$7:$R$86&lt;&gt;"")*('반배정'!$K$7:$K$86='설정'!$B$7))/COUNTIFS('반배정'!$K$7:$K$86,'설정'!$B$7,'공수2'!$Y$7:$Y$86,"&gt;=0"),""))</f>
        <v/>
      </c>
      <c r="L44" s="41">
        <f>IF(F44="","",IFERROR(SUMPRODUCT(('공수2'!$R$7:$R$86='공수2'!$R$2)*('공수2'!$R$7:$R$86&lt;&gt;"")*('반배정'!$K$7:$K$86='설정'!$B$8))/COUNTIFS('반배정'!$K$7:$K$86,'설정'!$B$8,'공수2'!$Y$7:$Y$86,"&gt;=0"),""))</f>
        <v/>
      </c>
      <c r="M44" s="42">
        <f>IF(OR(J44="",L44=""),"",J44-L44)</f>
        <v/>
      </c>
      <c r="N44" s="38">
        <f>IF(I44="","",IF(AND(M44&lt;&gt;"",M44&lt;0),"역변별·문항검토",IF(I44&gt;=0.9,"매우 쉬움",IF(I44&lt;=0.15,"매우 어려움",IF(AND(M44&lt;&gt;"",M44&lt;0.2),"변별력 낮음","양호")))))</f>
        <v/>
      </c>
      <c r="O44" s="43" t="inlineStr">
        <is>
          <t>-</t>
        </is>
      </c>
      <c r="P44" s="43" t="inlineStr">
        <is>
          <t>-</t>
        </is>
      </c>
      <c r="Q44" s="43" t="inlineStr">
        <is>
          <t>-</t>
        </is>
      </c>
      <c r="R44" s="43" t="inlineStr">
        <is>
          <t>-</t>
        </is>
      </c>
      <c r="S44" s="43" t="inlineStr">
        <is>
          <t>-</t>
        </is>
      </c>
    </row>
    <row r="45">
      <c r="A45" s="8" t="n">
        <v>16</v>
      </c>
      <c r="B45" s="17" t="inlineStr">
        <is>
          <t>단답형</t>
        </is>
      </c>
      <c r="C45" s="38">
        <f>'공수2'!S4</f>
        <v/>
      </c>
      <c r="D45" s="10">
        <f>'공수2'!S5</f>
        <v/>
      </c>
      <c r="E45" s="10">
        <f>'공수2'!S3</f>
        <v/>
      </c>
      <c r="F45" s="39">
        <f>IF('공수2'!$S$2="","",'공수2'!$S$2)</f>
        <v/>
      </c>
      <c r="G45" s="10">
        <f>COUNT('공수2'!$Y$7:$Y$86)</f>
        <v/>
      </c>
      <c r="H45" s="10">
        <f>IF(F45="","",SUMPRODUCT(('공수2'!$S$7:$S$86='공수2'!$S$2)*('공수2'!$S$7:$S$86&lt;&gt;"")))</f>
        <v/>
      </c>
      <c r="I45" s="40">
        <f>IF(OR(F45="",G45=0),"",H45/G45)</f>
        <v/>
      </c>
      <c r="J45" s="41">
        <f>IF(F45="","",IFERROR(SUMPRODUCT(('공수2'!$S$7:$S$86='공수2'!$S$2)*('공수2'!$S$7:$S$86&lt;&gt;"")*('반배정'!$K$7:$K$86='설정'!$B$6))/COUNTIFS('반배정'!$K$7:$K$86,'설정'!$B$6,'공수2'!$Y$7:$Y$86,"&gt;=0"),""))</f>
        <v/>
      </c>
      <c r="K45" s="41">
        <f>IF(F45="","",IFERROR(SUMPRODUCT(('공수2'!$S$7:$S$86='공수2'!$S$2)*('공수2'!$S$7:$S$86&lt;&gt;"")*('반배정'!$K$7:$K$86='설정'!$B$7))/COUNTIFS('반배정'!$K$7:$K$86,'설정'!$B$7,'공수2'!$Y$7:$Y$86,"&gt;=0"),""))</f>
        <v/>
      </c>
      <c r="L45" s="41">
        <f>IF(F45="","",IFERROR(SUMPRODUCT(('공수2'!$S$7:$S$86='공수2'!$S$2)*('공수2'!$S$7:$S$86&lt;&gt;"")*('반배정'!$K$7:$K$86='설정'!$B$8))/COUNTIFS('반배정'!$K$7:$K$86,'설정'!$B$8,'공수2'!$Y$7:$Y$86,"&gt;=0"),""))</f>
        <v/>
      </c>
      <c r="M45" s="42">
        <f>IF(OR(J45="",L45=""),"",J45-L45)</f>
        <v/>
      </c>
      <c r="N45" s="38">
        <f>IF(I45="","",IF(AND(M45&lt;&gt;"",M45&lt;0),"역변별·문항검토",IF(I45&gt;=0.9,"매우 쉬움",IF(I45&lt;=0.15,"매우 어려움",IF(AND(M45&lt;&gt;"",M45&lt;0.2),"변별력 낮음","양호")))))</f>
        <v/>
      </c>
      <c r="O45" s="43" t="inlineStr">
        <is>
          <t>-</t>
        </is>
      </c>
      <c r="P45" s="43" t="inlineStr">
        <is>
          <t>-</t>
        </is>
      </c>
      <c r="Q45" s="43" t="inlineStr">
        <is>
          <t>-</t>
        </is>
      </c>
      <c r="R45" s="43" t="inlineStr">
        <is>
          <t>-</t>
        </is>
      </c>
      <c r="S45" s="43" t="inlineStr">
        <is>
          <t>-</t>
        </is>
      </c>
    </row>
    <row r="46">
      <c r="A46" s="8" t="n">
        <v>17</v>
      </c>
      <c r="B46" s="17" t="inlineStr">
        <is>
          <t>단답형</t>
        </is>
      </c>
      <c r="C46" s="38">
        <f>'공수2'!T4</f>
        <v/>
      </c>
      <c r="D46" s="10">
        <f>'공수2'!T5</f>
        <v/>
      </c>
      <c r="E46" s="10">
        <f>'공수2'!T3</f>
        <v/>
      </c>
      <c r="F46" s="39">
        <f>IF('공수2'!$T$2="","",'공수2'!$T$2)</f>
        <v/>
      </c>
      <c r="G46" s="10">
        <f>COUNT('공수2'!$Y$7:$Y$86)</f>
        <v/>
      </c>
      <c r="H46" s="10">
        <f>IF(F46="","",SUMPRODUCT(('공수2'!$T$7:$T$86='공수2'!$T$2)*('공수2'!$T$7:$T$86&lt;&gt;"")))</f>
        <v/>
      </c>
      <c r="I46" s="40">
        <f>IF(OR(F46="",G46=0),"",H46/G46)</f>
        <v/>
      </c>
      <c r="J46" s="41">
        <f>IF(F46="","",IFERROR(SUMPRODUCT(('공수2'!$T$7:$T$86='공수2'!$T$2)*('공수2'!$T$7:$T$86&lt;&gt;"")*('반배정'!$K$7:$K$86='설정'!$B$6))/COUNTIFS('반배정'!$K$7:$K$86,'설정'!$B$6,'공수2'!$Y$7:$Y$86,"&gt;=0"),""))</f>
        <v/>
      </c>
      <c r="K46" s="41">
        <f>IF(F46="","",IFERROR(SUMPRODUCT(('공수2'!$T$7:$T$86='공수2'!$T$2)*('공수2'!$T$7:$T$86&lt;&gt;"")*('반배정'!$K$7:$K$86='설정'!$B$7))/COUNTIFS('반배정'!$K$7:$K$86,'설정'!$B$7,'공수2'!$Y$7:$Y$86,"&gt;=0"),""))</f>
        <v/>
      </c>
      <c r="L46" s="41">
        <f>IF(F46="","",IFERROR(SUMPRODUCT(('공수2'!$T$7:$T$86='공수2'!$T$2)*('공수2'!$T$7:$T$86&lt;&gt;"")*('반배정'!$K$7:$K$86='설정'!$B$8))/COUNTIFS('반배정'!$K$7:$K$86,'설정'!$B$8,'공수2'!$Y$7:$Y$86,"&gt;=0"),""))</f>
        <v/>
      </c>
      <c r="M46" s="42">
        <f>IF(OR(J46="",L46=""),"",J46-L46)</f>
        <v/>
      </c>
      <c r="N46" s="38">
        <f>IF(I46="","",IF(AND(M46&lt;&gt;"",M46&lt;0),"역변별·문항검토",IF(I46&gt;=0.9,"매우 쉬움",IF(I46&lt;=0.15,"매우 어려움",IF(AND(M46&lt;&gt;"",M46&lt;0.2),"변별력 낮음","양호")))))</f>
        <v/>
      </c>
      <c r="O46" s="43" t="inlineStr">
        <is>
          <t>-</t>
        </is>
      </c>
      <c r="P46" s="43" t="inlineStr">
        <is>
          <t>-</t>
        </is>
      </c>
      <c r="Q46" s="43" t="inlineStr">
        <is>
          <t>-</t>
        </is>
      </c>
      <c r="R46" s="43" t="inlineStr">
        <is>
          <t>-</t>
        </is>
      </c>
      <c r="S46" s="43" t="inlineStr">
        <is>
          <t>-</t>
        </is>
      </c>
    </row>
    <row r="47">
      <c r="A47" s="8" t="n">
        <v>18</v>
      </c>
      <c r="B47" s="17" t="inlineStr">
        <is>
          <t>단답형</t>
        </is>
      </c>
      <c r="C47" s="38">
        <f>'공수2'!U4</f>
        <v/>
      </c>
      <c r="D47" s="10">
        <f>'공수2'!U5</f>
        <v/>
      </c>
      <c r="E47" s="10">
        <f>'공수2'!U3</f>
        <v/>
      </c>
      <c r="F47" s="39">
        <f>IF('공수2'!$U$2="","",'공수2'!$U$2)</f>
        <v/>
      </c>
      <c r="G47" s="10">
        <f>COUNT('공수2'!$Y$7:$Y$86)</f>
        <v/>
      </c>
      <c r="H47" s="10">
        <f>IF(F47="","",SUMPRODUCT(('공수2'!$U$7:$U$86='공수2'!$U$2)*('공수2'!$U$7:$U$86&lt;&gt;"")))</f>
        <v/>
      </c>
      <c r="I47" s="40">
        <f>IF(OR(F47="",G47=0),"",H47/G47)</f>
        <v/>
      </c>
      <c r="J47" s="41">
        <f>IF(F47="","",IFERROR(SUMPRODUCT(('공수2'!$U$7:$U$86='공수2'!$U$2)*('공수2'!$U$7:$U$86&lt;&gt;"")*('반배정'!$K$7:$K$86='설정'!$B$6))/COUNTIFS('반배정'!$K$7:$K$86,'설정'!$B$6,'공수2'!$Y$7:$Y$86,"&gt;=0"),""))</f>
        <v/>
      </c>
      <c r="K47" s="41">
        <f>IF(F47="","",IFERROR(SUMPRODUCT(('공수2'!$U$7:$U$86='공수2'!$U$2)*('공수2'!$U$7:$U$86&lt;&gt;"")*('반배정'!$K$7:$K$86='설정'!$B$7))/COUNTIFS('반배정'!$K$7:$K$86,'설정'!$B$7,'공수2'!$Y$7:$Y$86,"&gt;=0"),""))</f>
        <v/>
      </c>
      <c r="L47" s="41">
        <f>IF(F47="","",IFERROR(SUMPRODUCT(('공수2'!$U$7:$U$86='공수2'!$U$2)*('공수2'!$U$7:$U$86&lt;&gt;"")*('반배정'!$K$7:$K$86='설정'!$B$8))/COUNTIFS('반배정'!$K$7:$K$86,'설정'!$B$8,'공수2'!$Y$7:$Y$86,"&gt;=0"),""))</f>
        <v/>
      </c>
      <c r="M47" s="42">
        <f>IF(OR(J47="",L47=""),"",J47-L47)</f>
        <v/>
      </c>
      <c r="N47" s="38">
        <f>IF(I47="","",IF(AND(M47&lt;&gt;"",M47&lt;0),"역변별·문항검토",IF(I47&gt;=0.9,"매우 쉬움",IF(I47&lt;=0.15,"매우 어려움",IF(AND(M47&lt;&gt;"",M47&lt;0.2),"변별력 낮음","양호")))))</f>
        <v/>
      </c>
      <c r="O47" s="43" t="inlineStr">
        <is>
          <t>-</t>
        </is>
      </c>
      <c r="P47" s="43" t="inlineStr">
        <is>
          <t>-</t>
        </is>
      </c>
      <c r="Q47" s="43" t="inlineStr">
        <is>
          <t>-</t>
        </is>
      </c>
      <c r="R47" s="43" t="inlineStr">
        <is>
          <t>-</t>
        </is>
      </c>
      <c r="S47" s="43" t="inlineStr">
        <is>
          <t>-</t>
        </is>
      </c>
    </row>
    <row r="48">
      <c r="A48" s="8" t="n">
        <v>19</v>
      </c>
      <c r="B48" s="17" t="inlineStr">
        <is>
          <t>단답형</t>
        </is>
      </c>
      <c r="C48" s="38">
        <f>'공수2'!V4</f>
        <v/>
      </c>
      <c r="D48" s="10">
        <f>'공수2'!V5</f>
        <v/>
      </c>
      <c r="E48" s="10">
        <f>'공수2'!V3</f>
        <v/>
      </c>
      <c r="F48" s="39">
        <f>IF('공수2'!$V$2="","",'공수2'!$V$2)</f>
        <v/>
      </c>
      <c r="G48" s="10">
        <f>COUNT('공수2'!$Y$7:$Y$86)</f>
        <v/>
      </c>
      <c r="H48" s="10">
        <f>IF(F48="","",SUMPRODUCT(('공수2'!$V$7:$V$86='공수2'!$V$2)*('공수2'!$V$7:$V$86&lt;&gt;"")))</f>
        <v/>
      </c>
      <c r="I48" s="40">
        <f>IF(OR(F48="",G48=0),"",H48/G48)</f>
        <v/>
      </c>
      <c r="J48" s="41">
        <f>IF(F48="","",IFERROR(SUMPRODUCT(('공수2'!$V$7:$V$86='공수2'!$V$2)*('공수2'!$V$7:$V$86&lt;&gt;"")*('반배정'!$K$7:$K$86='설정'!$B$6))/COUNTIFS('반배정'!$K$7:$K$86,'설정'!$B$6,'공수2'!$Y$7:$Y$86,"&gt;=0"),""))</f>
        <v/>
      </c>
      <c r="K48" s="41">
        <f>IF(F48="","",IFERROR(SUMPRODUCT(('공수2'!$V$7:$V$86='공수2'!$V$2)*('공수2'!$V$7:$V$86&lt;&gt;"")*('반배정'!$K$7:$K$86='설정'!$B$7))/COUNTIFS('반배정'!$K$7:$K$86,'설정'!$B$7,'공수2'!$Y$7:$Y$86,"&gt;=0"),""))</f>
        <v/>
      </c>
      <c r="L48" s="41">
        <f>IF(F48="","",IFERROR(SUMPRODUCT(('공수2'!$V$7:$V$86='공수2'!$V$2)*('공수2'!$V$7:$V$86&lt;&gt;"")*('반배정'!$K$7:$K$86='설정'!$B$8))/COUNTIFS('반배정'!$K$7:$K$86,'설정'!$B$8,'공수2'!$Y$7:$Y$86,"&gt;=0"),""))</f>
        <v/>
      </c>
      <c r="M48" s="42">
        <f>IF(OR(J48="",L48=""),"",J48-L48)</f>
        <v/>
      </c>
      <c r="N48" s="38">
        <f>IF(I48="","",IF(AND(M48&lt;&gt;"",M48&lt;0),"역변별·문항검토",IF(I48&gt;=0.9,"매우 쉬움",IF(I48&lt;=0.15,"매우 어려움",IF(AND(M48&lt;&gt;"",M48&lt;0.2),"변별력 낮음","양호")))))</f>
        <v/>
      </c>
      <c r="O48" s="43" t="inlineStr">
        <is>
          <t>-</t>
        </is>
      </c>
      <c r="P48" s="43" t="inlineStr">
        <is>
          <t>-</t>
        </is>
      </c>
      <c r="Q48" s="43" t="inlineStr">
        <is>
          <t>-</t>
        </is>
      </c>
      <c r="R48" s="43" t="inlineStr">
        <is>
          <t>-</t>
        </is>
      </c>
      <c r="S48" s="43" t="inlineStr">
        <is>
          <t>-</t>
        </is>
      </c>
    </row>
    <row r="49">
      <c r="A49" s="8" t="n">
        <v>20</v>
      </c>
      <c r="B49" s="17" t="inlineStr">
        <is>
          <t>단답형</t>
        </is>
      </c>
      <c r="C49" s="38">
        <f>'공수2'!W4</f>
        <v/>
      </c>
      <c r="D49" s="10">
        <f>'공수2'!W5</f>
        <v/>
      </c>
      <c r="E49" s="10">
        <f>'공수2'!W3</f>
        <v/>
      </c>
      <c r="F49" s="39">
        <f>IF('공수2'!$W$2="","",'공수2'!$W$2)</f>
        <v/>
      </c>
      <c r="G49" s="10">
        <f>COUNT('공수2'!$Y$7:$Y$86)</f>
        <v/>
      </c>
      <c r="H49" s="10">
        <f>IF(F49="","",SUMPRODUCT(('공수2'!$W$7:$W$86='공수2'!$W$2)*('공수2'!$W$7:$W$86&lt;&gt;"")))</f>
        <v/>
      </c>
      <c r="I49" s="40">
        <f>IF(OR(F49="",G49=0),"",H49/G49)</f>
        <v/>
      </c>
      <c r="J49" s="41">
        <f>IF(F49="","",IFERROR(SUMPRODUCT(('공수2'!$W$7:$W$86='공수2'!$W$2)*('공수2'!$W$7:$W$86&lt;&gt;"")*('반배정'!$K$7:$K$86='설정'!$B$6))/COUNTIFS('반배정'!$K$7:$K$86,'설정'!$B$6,'공수2'!$Y$7:$Y$86,"&gt;=0"),""))</f>
        <v/>
      </c>
      <c r="K49" s="41">
        <f>IF(F49="","",IFERROR(SUMPRODUCT(('공수2'!$W$7:$W$86='공수2'!$W$2)*('공수2'!$W$7:$W$86&lt;&gt;"")*('반배정'!$K$7:$K$86='설정'!$B$7))/COUNTIFS('반배정'!$K$7:$K$86,'설정'!$B$7,'공수2'!$Y$7:$Y$86,"&gt;=0"),""))</f>
        <v/>
      </c>
      <c r="L49" s="41">
        <f>IF(F49="","",IFERROR(SUMPRODUCT(('공수2'!$W$7:$W$86='공수2'!$W$2)*('공수2'!$W$7:$W$86&lt;&gt;"")*('반배정'!$K$7:$K$86='설정'!$B$8))/COUNTIFS('반배정'!$K$7:$K$86,'설정'!$B$8,'공수2'!$Y$7:$Y$86,"&gt;=0"),""))</f>
        <v/>
      </c>
      <c r="M49" s="42">
        <f>IF(OR(J49="",L49=""),"",J49-L49)</f>
        <v/>
      </c>
      <c r="N49" s="38">
        <f>IF(I49="","",IF(AND(M49&lt;&gt;"",M49&lt;0),"역변별·문항검토",IF(I49&gt;=0.9,"매우 쉬움",IF(I49&lt;=0.15,"매우 어려움",IF(AND(M49&lt;&gt;"",M49&lt;0.2),"변별력 낮음","양호")))))</f>
        <v/>
      </c>
      <c r="O49" s="43" t="inlineStr">
        <is>
          <t>-</t>
        </is>
      </c>
      <c r="P49" s="43" t="inlineStr">
        <is>
          <t>-</t>
        </is>
      </c>
      <c r="Q49" s="43" t="inlineStr">
        <is>
          <t>-</t>
        </is>
      </c>
      <c r="R49" s="43" t="inlineStr">
        <is>
          <t>-</t>
        </is>
      </c>
      <c r="S49" s="43" t="inlineStr">
        <is>
          <t>-</t>
        </is>
      </c>
    </row>
  </sheetData>
  <mergeCells count="4">
    <mergeCell ref="A28:E28"/>
    <mergeCell ref="A2:R2"/>
    <mergeCell ref="A4:E4"/>
    <mergeCell ref="A1:R1"/>
  </mergeCells>
  <conditionalFormatting sqref="N6:N25">
    <cfRule type="expression" priority="1" dxfId="4">
      <formula>N6="양호"</formula>
    </cfRule>
    <cfRule type="expression" priority="2" dxfId="5">
      <formula>AND(N6&lt;&gt;"",N6&lt;&gt;"양호")</formula>
    </cfRule>
  </conditionalFormatting>
  <conditionalFormatting sqref="O6:S19">
    <cfRule type="expression" priority="3" dxfId="7">
      <formula>COLUMN(O6)-14=$F6</formula>
    </cfRule>
  </conditionalFormatting>
  <conditionalFormatting sqref="N30:N49">
    <cfRule type="expression" priority="4" dxfId="4">
      <formula>N30="양호"</formula>
    </cfRule>
    <cfRule type="expression" priority="5" dxfId="5">
      <formula>AND(N30&lt;&gt;"",N30&lt;&gt;"양호")</formula>
    </cfRule>
  </conditionalFormatting>
  <conditionalFormatting sqref="O30:S43">
    <cfRule type="expression" priority="6" dxfId="7">
      <formula>COLUMN(O30)-14=$F30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2026-10-08T07:45:50Z</dcterms:created>
  <dcterms:modified xmlns:dcterms="http://purl.org/dc/terms/" xmlns:xsi="http://www.w3.org/2001/XMLSchema-instance" xsi:type="dcterms:W3CDTF">2026-10-08T07:45:51Z</dcterms:modified>
</cp:coreProperties>
</file>