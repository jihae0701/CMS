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설정" sheetId="1" state="visible" r:id="rId3"/>
    <sheet name="학생명단" sheetId="2" state="visible" r:id="rId4"/>
    <sheet name="공수1" sheetId="3" state="visible" r:id="rId5"/>
    <sheet name="공수2" sheetId="4" state="visible" r:id="rId6"/>
    <sheet name="반배정" sheetId="5" state="visible" r:id="rId7"/>
    <sheet name="석차순" sheetId="6" state="visible" r:id="rId8"/>
    <sheet name="문항분석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<sst xmlns="http://schemas.openxmlformats.org/spreadsheetml/2006/main" count="446" uniqueCount="186">
  <si>
    <r>
      <rPr>
        <b val="true"/>
        <sz val="14"/>
        <color rgb="FF1F3864"/>
        <rFont val="WenQuanYi Zen Hei"/>
        <family val="2"/>
      </rPr>
      <t xml:space="preserve">예비고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반편성고사 — 설정</t>
    </r>
  </si>
  <si>
    <r>
      <rPr>
        <sz val="9"/>
        <color rgb="FF595959"/>
        <rFont val="WenQuanYi Zen Hei"/>
        <family val="2"/>
      </rPr>
      <t xml:space="preserve">노란 칸만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이름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반영비율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단원명을 바꾸면 모든 시트에 자동 반영됩니다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난이도는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1', '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2' </t>
    </r>
    <r>
      <rPr>
        <sz val="9"/>
        <color rgb="FF595959"/>
        <rFont val="WenQuanYi Zen Hei"/>
        <family val="2"/>
      </rPr>
      <t xml:space="preserve">시트 위쪽</t>
    </r>
    <r>
      <rPr>
        <sz val="9"/>
        <color rgb="FF595959"/>
        <rFont val="맑은 고딕"/>
        <family val="0"/>
        <charset val="1"/>
      </rPr>
      <t xml:space="preserve">(2~5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에서 입력합니다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</si>
  <si>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① 반 배정 기준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절대평가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</si>
  <si>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순서</t>
  </si>
  <si>
    <t xml:space="preserve">반 이름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</si>
  <si>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</si>
  <si>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</si>
  <si>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</si>
  <si>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 </t>
    </r>
    <r>
      <rPr>
        <b val="true"/>
        <sz val="10"/>
        <color rgb="FFFFFFFF"/>
        <rFont val="WenQuanYi Zen Hei"/>
        <family val="2"/>
      </rPr>
      <t xml:space="preserve">미만</t>
    </r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</si>
  <si>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(100</t>
    </r>
    <r>
      <rPr>
        <sz val="9"/>
        <color rgb="FF595959"/>
        <rFont val="WenQuanYi Zen Hei"/>
        <family val="2"/>
      </rPr>
      <t xml:space="preserve">점 만점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로 판정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빈칸은 조건 없음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위 순위부터 차례로 확인해 처음 맞는 반에 배정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예</t>
    </r>
    <r>
      <rPr>
        <sz val="9"/>
        <color rgb="FF595959"/>
        <rFont val="맑은 고딕"/>
        <family val="0"/>
        <charset val="1"/>
      </rPr>
      <t xml:space="preserve">) TF2</t>
    </r>
    <r>
      <rPr>
        <sz val="9"/>
        <color rgb="FF595959"/>
        <rFont val="WenQuanYi Zen Hei"/>
        <family val="2"/>
      </rPr>
      <t xml:space="preserve">반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1 60</t>
    </r>
    <r>
      <rPr>
        <sz val="9"/>
        <color rgb="FF595959"/>
        <rFont val="WenQuanYi Zen Hei"/>
        <family val="2"/>
      </rPr>
      <t xml:space="preserve">점 이상이고 공수</t>
    </r>
    <r>
      <rPr>
        <sz val="9"/>
        <color rgb="FF595959"/>
        <rFont val="맑은 고딕"/>
        <family val="0"/>
        <charset val="1"/>
      </rPr>
      <t xml:space="preserve">2 40</t>
    </r>
    <r>
      <rPr>
        <sz val="9"/>
        <color rgb="FF595959"/>
        <rFont val="WenQuanYi Zen Hei"/>
        <family val="2"/>
      </rPr>
      <t xml:space="preserve">점 미만</t>
    </r>
  </si>
  <si>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</si>
  <si>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TF1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</si>
  <si>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</si>
  <si>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TF2</t>
    </r>
    <r>
      <rPr>
        <b val="true"/>
        <sz val="10"/>
        <color rgb="FF000000"/>
        <rFont val="WenQuanYi Zen Hei"/>
        <family val="2"/>
      </rPr>
      <t xml:space="preserve">반</t>
    </r>
  </si>
  <si>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WenQuanYi Zen Hei"/>
        <family val="2"/>
      </rPr>
      <t xml:space="preserve">순위</t>
    </r>
  </si>
  <si>
    <r>
      <rPr>
        <b val="true"/>
        <sz val="10"/>
        <color rgb="FF000000"/>
        <rFont val="맑은 고딕"/>
        <family val="0"/>
        <charset val="1"/>
      </rPr>
      <t xml:space="preserve">TF3</t>
    </r>
    <r>
      <rPr>
        <b val="true"/>
        <sz val="10"/>
        <color rgb="FF000000"/>
        <rFont val="WenQuanYi Zen Hei"/>
        <family val="2"/>
      </rPr>
      <t xml:space="preserve">반</t>
    </r>
  </si>
  <si>
    <t xml:space="preserve">그 외</t>
  </si>
  <si>
    <t xml:space="preserve">보류</t>
  </si>
  <si>
    <t xml:space="preserve">위 조건에 모두 해당하지 않거나 미응시 과목이 있으면 보류 → 상담 후 수동 배정</t>
  </si>
  <si>
    <t xml:space="preserve">② 점수 반영</t>
  </si>
  <si>
    <t xml:space="preserve">항목</t>
  </si>
  <si>
    <t xml:space="preserve">값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</si>
  <si>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반영비율</t>
    </r>
  </si>
  <si>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석차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참고용</t>
    </r>
    <r>
      <rPr>
        <sz val="9"/>
        <color rgb="FF595959"/>
        <rFont val="맑은 고딕"/>
        <family val="0"/>
        <charset val="1"/>
      </rPr>
      <t xml:space="preserve">) =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1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 </t>
    </r>
    <r>
      <rPr>
        <sz val="9"/>
        <color rgb="FF595959"/>
        <rFont val="맑은 고딕"/>
        <family val="0"/>
        <charset val="1"/>
      </rPr>
      <t xml:space="preserve">+ 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 </t>
    </r>
    <r>
      <rPr>
        <sz val="9"/>
        <color rgb="FF595959"/>
        <rFont val="WenQuanYi Zen Hei"/>
        <family val="2"/>
      </rPr>
      <t xml:space="preserve">점수</t>
    </r>
    <r>
      <rPr>
        <sz val="9"/>
        <color rgb="FF595959"/>
        <rFont val="맑은 고딕"/>
        <family val="0"/>
        <charset val="1"/>
      </rPr>
      <t xml:space="preserve">×</t>
    </r>
    <r>
      <rPr>
        <sz val="9"/>
        <color rgb="FF595959"/>
        <rFont val="WenQuanYi Zen Hei"/>
        <family val="2"/>
      </rPr>
      <t xml:space="preserve">비율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</si>
  <si>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반영비율</t>
    </r>
  </si>
  <si>
    <t xml:space="preserve">반 배정은 ①의 과목별 점수 기준으로만 결정</t>
  </si>
  <si>
    <r>
      <rPr>
        <sz val="10"/>
        <color rgb="FF000000"/>
        <rFont val="WenQuanYi Zen Hei"/>
        <family val="2"/>
      </rPr>
      <t xml:space="preserve">경계 범위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점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</si>
  <si>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어느 과목이든 기준 점수</t>
    </r>
    <r>
      <rPr>
        <sz val="9"/>
        <color rgb="FF595959"/>
        <rFont val="맑은 고딕"/>
        <family val="0"/>
        <charset val="1"/>
      </rPr>
      <t xml:space="preserve">(①</t>
    </r>
    <r>
      <rPr>
        <sz val="9"/>
        <color rgb="FF595959"/>
        <rFont val="WenQuanYi Zen Hei"/>
        <family val="2"/>
      </rPr>
      <t xml:space="preserve">의 숫자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와 차이가 이 값 이내면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경계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로 표시 → 상담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재검토 대상</t>
    </r>
  </si>
  <si>
    <r>
      <rPr>
        <b val="true"/>
        <sz val="11"/>
        <color rgb="FF1F3864"/>
        <rFont val="WenQuanYi Zen Hei"/>
        <family val="2"/>
      </rPr>
      <t xml:space="preserve">③ 단원 목록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출제 설계 확인</t>
    </r>
  </si>
  <si>
    <t xml:space="preserve">과목</t>
  </si>
  <si>
    <t xml:space="preserve">단원</t>
  </si>
  <si>
    <t xml:space="preserve">문항 수</t>
  </si>
  <si>
    <t xml:space="preserve">배점 합</t>
  </si>
  <si>
    <r>
      <rPr>
        <b val="true"/>
        <sz val="10"/>
        <color rgb="FFFFFFFF"/>
        <rFont val="WenQuanYi Zen Hei"/>
        <family val="2"/>
      </rPr>
      <t xml:space="preserve">포함 내용</t>
    </r>
    <r>
      <rPr>
        <b val="true"/>
        <sz val="10"/>
        <color rgb="FFFFFFFF"/>
        <rFont val="맑은 고딕"/>
        <family val="0"/>
        <charset val="1"/>
      </rPr>
      <t xml:space="preserve">(2022 </t>
    </r>
    <r>
      <rPr>
        <b val="true"/>
        <sz val="10"/>
        <color rgb="FFFFFFFF"/>
        <rFont val="WenQuanYi Zen Hei"/>
        <family val="2"/>
      </rPr>
      <t xml:space="preserve">개정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</si>
  <si>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</si>
  <si>
    <t xml:space="preserve">다항식</t>
  </si>
  <si>
    <r>
      <rPr>
        <sz val="9"/>
        <color rgb="FF000000"/>
        <rFont val="WenQuanYi Zen Hei"/>
        <family val="2"/>
      </rPr>
      <t xml:space="preserve">다항식의 연산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나머지정리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인수분해</t>
    </r>
  </si>
  <si>
    <t xml:space="preserve">방정식과 부등식</t>
  </si>
  <si>
    <r>
      <rPr>
        <sz val="9"/>
        <color rgb="FF000000"/>
        <rFont val="WenQuanYi Zen Hei"/>
        <family val="2"/>
      </rPr>
      <t xml:space="preserve">복소수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이차함수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여러 가지 방정식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부등식</t>
    </r>
  </si>
  <si>
    <t xml:space="preserve">경우의 수</t>
  </si>
  <si>
    <r>
      <rPr>
        <sz val="9"/>
        <color rgb="FF000000"/>
        <rFont val="WenQuanYi Zen Hei"/>
        <family val="2"/>
      </rPr>
      <t xml:space="preserve">합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곱의 법칙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순열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조합</t>
    </r>
  </si>
  <si>
    <t xml:space="preserve">행렬</t>
  </si>
  <si>
    <t xml:space="preserve">행렬과 그 연산</t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</si>
  <si>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1</t>
    </r>
  </si>
  <si>
    <t xml:space="preserve">합계</t>
  </si>
  <si>
    <r>
      <rPr>
        <sz val="9"/>
        <color rgb="FFC00000"/>
        <rFont val="WenQuanYi Zen Hei"/>
        <family val="2"/>
      </rPr>
      <t xml:space="preserve">← 문항 수 </t>
    </r>
    <r>
      <rPr>
        <sz val="9"/>
        <color rgb="FFC00000"/>
        <rFont val="맑은 고딕"/>
        <family val="0"/>
        <charset val="1"/>
      </rPr>
      <t xml:space="preserve">20, </t>
    </r>
    <r>
      <rPr>
        <sz val="9"/>
        <color rgb="FFC00000"/>
        <rFont val="WenQuanYi Zen Hei"/>
        <family val="2"/>
      </rPr>
      <t xml:space="preserve">배점 합 </t>
    </r>
    <r>
      <rPr>
        <sz val="9"/>
        <color rgb="FFC00000"/>
        <rFont val="맑은 고딕"/>
        <family val="0"/>
        <charset val="1"/>
      </rPr>
      <t xml:space="preserve">100</t>
    </r>
    <r>
      <rPr>
        <sz val="9"/>
        <color rgb="FFC00000"/>
        <rFont val="WenQuanYi Zen Hei"/>
        <family val="2"/>
      </rPr>
      <t xml:space="preserve">인지 확인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</si>
  <si>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</t>
    </r>
  </si>
  <si>
    <t xml:space="preserve">도형의 방정식</t>
  </si>
  <si>
    <r>
      <rPr>
        <sz val="9"/>
        <color rgb="FF000000"/>
        <rFont val="WenQuanYi Zen Hei"/>
        <family val="2"/>
      </rPr>
      <t xml:space="preserve">평면좌표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직선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원의 방정식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도형의 이동</t>
    </r>
  </si>
  <si>
    <t xml:space="preserve">집합과 명제</t>
  </si>
  <si>
    <r>
      <rPr>
        <sz val="9"/>
        <color rgb="FF000000"/>
        <rFont val="WenQuanYi Zen Hei"/>
        <family val="2"/>
      </rPr>
      <t xml:space="preserve">집합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명제</t>
    </r>
  </si>
  <si>
    <t xml:space="preserve">함수와 그래프</t>
  </si>
  <si>
    <r>
      <rPr>
        <sz val="9"/>
        <color rgb="FF000000"/>
        <rFont val="WenQuanYi Zen Hei"/>
        <family val="2"/>
      </rPr>
      <t xml:space="preserve">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합성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역함수</t>
    </r>
    <r>
      <rPr>
        <sz val="9"/>
        <color rgb="FF000000"/>
        <rFont val="맑은 고딕"/>
        <family val="0"/>
        <charset val="1"/>
      </rPr>
      <t xml:space="preserve">, </t>
    </r>
    <r>
      <rPr>
        <sz val="9"/>
        <color rgb="FF000000"/>
        <rFont val="WenQuanYi Zen Hei"/>
        <family val="2"/>
      </rPr>
      <t xml:space="preserve">유리</t>
    </r>
    <r>
      <rPr>
        <sz val="9"/>
        <color rgb="FF000000"/>
        <rFont val="맑은 고딕"/>
        <family val="0"/>
        <charset val="1"/>
      </rPr>
      <t xml:space="preserve">·</t>
    </r>
    <r>
      <rPr>
        <sz val="9"/>
        <color rgb="FF000000"/>
        <rFont val="WenQuanYi Zen Hei"/>
        <family val="2"/>
      </rPr>
      <t xml:space="preserve">무리함수</t>
    </r>
  </si>
  <si>
    <r>
      <rPr>
        <b val="true"/>
        <sz val="10"/>
        <color rgb="FF000000"/>
        <rFont val="WenQuanYi Zen Hei"/>
        <family val="2"/>
      </rPr>
      <t xml:space="preserve">공통수학</t>
    </r>
    <r>
      <rPr>
        <b val="true"/>
        <sz val="10"/>
        <color rgb="FF000000"/>
        <rFont val="맑은 고딕"/>
        <family val="0"/>
        <charset val="1"/>
      </rPr>
      <t xml:space="preserve">2</t>
    </r>
  </si>
  <si>
    <t xml:space="preserve">④ 학부모 보고서 설정</t>
  </si>
  <si>
    <t xml:space="preserve">학원명</t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</si>
  <si>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수학학원</t>
    </r>
  </si>
  <si>
    <t xml:space="preserve">보고서 제목</t>
  </si>
  <si>
    <r>
      <rPr>
        <sz val="10"/>
        <color rgb="FF000000"/>
        <rFont val="WenQuanYi Zen Hei"/>
        <family val="2"/>
      </rPr>
      <t xml:space="preserve">예비고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반편성 진단평가 결과 보고서</t>
    </r>
  </si>
  <si>
    <t xml:space="preserve">시험일</t>
  </si>
  <si>
    <r>
      <rPr>
        <sz val="10"/>
        <color rgb="FF000000"/>
        <rFont val="맑은 고딕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년 </t>
    </r>
    <r>
      <rPr>
        <sz val="10"/>
        <color rgb="FF000000"/>
        <rFont val="맑은 고딕"/>
        <family val="0"/>
        <charset val="1"/>
      </rPr>
      <t xml:space="preserve">12</t>
    </r>
    <r>
      <rPr>
        <sz val="10"/>
        <color rgb="FF000000"/>
        <rFont val="WenQuanYi Zen Hei"/>
        <family val="2"/>
      </rPr>
      <t xml:space="preserve">월 </t>
    </r>
    <r>
      <rPr>
        <sz val="10"/>
        <color rgb="FF000000"/>
        <rFont val="맑은 고딕"/>
        <family val="0"/>
        <charset val="1"/>
      </rPr>
      <t xml:space="preserve">00</t>
    </r>
    <r>
      <rPr>
        <sz val="10"/>
        <color rgb="FF000000"/>
        <rFont val="WenQuanYi Zen Hei"/>
        <family val="2"/>
      </rPr>
      <t xml:space="preserve">일</t>
    </r>
  </si>
  <si>
    <t xml:space="preserve">전체 평균 표시</t>
  </si>
  <si>
    <t xml:space="preserve">표시</t>
  </si>
  <si>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숨김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이면 보고서에 평균을 싣지 않음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</si>
  <si>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매우 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</si>
  <si>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우수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</si>
  <si>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000000"/>
        <rFont val="맑은 고딕"/>
        <family val="0"/>
        <charset val="1"/>
      </rPr>
      <t xml:space="preserve">'</t>
    </r>
    <r>
      <rPr>
        <sz val="9"/>
        <color rgb="FF000000"/>
        <rFont val="WenQuanYi Zen Hei"/>
        <family val="2"/>
      </rPr>
      <t xml:space="preserve">양호</t>
    </r>
    <r>
      <rPr>
        <sz val="9"/>
        <color rgb="FF000000"/>
        <rFont val="맑은 고딕"/>
        <family val="0"/>
        <charset val="1"/>
      </rPr>
      <t xml:space="preserve">' </t>
    </r>
    <r>
      <rPr>
        <sz val="9"/>
        <color rgb="FF000000"/>
        <rFont val="WenQuanYi Zen Hei"/>
        <family val="2"/>
      </rPr>
      <t xml:space="preserve">기준</t>
    </r>
    <r>
      <rPr>
        <sz val="9"/>
        <color rgb="FF000000"/>
        <rFont val="맑은 고딕"/>
        <family val="0"/>
        <charset val="1"/>
      </rPr>
      <t xml:space="preserve">(</t>
    </r>
    <r>
      <rPr>
        <sz val="9"/>
        <color rgb="FF000000"/>
        <rFont val="WenQuanYi Zen Hei"/>
        <family val="2"/>
      </rPr>
      <t xml:space="preserve">득점률 </t>
    </r>
    <r>
      <rPr>
        <sz val="9"/>
        <color rgb="FF000000"/>
        <rFont val="맑은 고딕"/>
        <family val="0"/>
        <charset val="1"/>
      </rPr>
      <t xml:space="preserve">%)</t>
    </r>
  </si>
  <si>
    <r>
      <rPr>
        <sz val="9"/>
        <color rgb="FF595959"/>
        <rFont val="WenQuanYi Zen Hei"/>
        <family val="2"/>
      </rPr>
      <t xml:space="preserve">득점률이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양호</t>
    </r>
    <r>
      <rPr>
        <sz val="9"/>
        <color rgb="FF595959"/>
        <rFont val="맑은 고딕"/>
        <family val="0"/>
        <charset val="1"/>
      </rPr>
      <t xml:space="preserve">' </t>
    </r>
    <r>
      <rPr>
        <sz val="9"/>
        <color rgb="FF595959"/>
        <rFont val="WenQuanYi Zen Hei"/>
        <family val="2"/>
      </rPr>
      <t xml:space="preserve">기준 미만이면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보완 필요</t>
    </r>
    <r>
      <rPr>
        <sz val="9"/>
        <color rgb="FF595959"/>
        <rFont val="맑은 고딕"/>
        <family val="0"/>
        <charset val="1"/>
      </rPr>
      <t xml:space="preserve">'</t>
    </r>
  </si>
  <si>
    <t xml:space="preserve">상담 안내 문구</t>
  </si>
  <si>
    <r>
      <rPr>
        <sz val="10"/>
        <color rgb="FF000000"/>
        <rFont val="WenQuanYi Zen Hei"/>
        <family val="2"/>
      </rPr>
      <t xml:space="preserve">보고서를 받아보신 뒤 개별 상담을 진행합니다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상담 일정은 담당 선생님께서 개별적으로 연락드리겠습니다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</si>
  <si>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학원 연락처</t>
  </si>
  <si>
    <t xml:space="preserve">02-000-0000</t>
  </si>
  <si>
    <r>
      <rPr>
        <b val="true"/>
        <sz val="11"/>
        <color rgb="FF1F3864"/>
        <rFont val="WenQuanYi Zen Hei"/>
        <family val="2"/>
      </rPr>
      <t xml:space="preserve">⑤ 단원별 학습 제언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보완이 필요한 단원에 자동 기재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</si>
  <si>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학습 제언 문구</t>
  </si>
  <si>
    <r>
      <rPr>
        <sz val="10"/>
        <color rgb="FF000000"/>
        <rFont val="WenQuanYi Zen Hei"/>
        <family val="2"/>
      </rPr>
      <t xml:space="preserve">다항식의 연산과 나머지정리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인수분해 공식을 정확하고 빠르게 적용하는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</si>
  <si>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복소수 계산과 이차방정식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이차함수의 관계를 그래프와 연결해 이해하는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</si>
  <si>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합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곱의 법칙과 순열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조합을 구분하는 기준을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빠짐없이 중복 없이 세는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</si>
  <si>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행렬의 연산 규칙을 정확히 익히고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계산 과정에서의 실수를 줄이는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</si>
  <si>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좌표와 식을 연결하는 연습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특히 직선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원의 방정식과 도형의 이동을 그림과 함께 해석하는 훈련이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</si>
  <si>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용어와 기호의 정확한 의미를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명제의 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거짓을 논리적으로 판단하는 연습이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</si>
  <si>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함수의 정의와 합성함수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역함수 개념을 정리하고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유리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무리함수의 그래프를 직접 그려 보는 학습이 필요합니다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</si>
  <si>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⑥ 반 소개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학부모 보고서 추천 반 카드 문구 </t>
    </r>
    <r>
      <rPr>
        <b val="true"/>
        <sz val="11"/>
        <color rgb="FF1F3864"/>
        <rFont val="맑은 고딕"/>
        <family val="0"/>
        <charset val="1"/>
      </rPr>
      <t xml:space="preserve">· </t>
    </r>
    <r>
      <rPr>
        <b val="true"/>
        <sz val="11"/>
        <color rgb="FF1F3864"/>
        <rFont val="WenQuanYi Zen Hei"/>
        <family val="2"/>
      </rPr>
      <t xml:space="preserve">추천 반 선택 목록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</si>
  <si>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소개 문구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</si>
  <si>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 </t>
    </r>
    <r>
      <rPr>
        <sz val="10"/>
        <color rgb="FF000000"/>
        <rFont val="WenQuanYi Zen Hei"/>
        <family val="2"/>
      </rPr>
      <t xml:space="preserve">모두 탄탄한 기초를 갖춘 학생을 위한 반으로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개념 심화와 고난도 문항 해결력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고</t>
    </r>
    <r>
      <rPr>
        <sz val="10"/>
        <color rgb="FF000000"/>
        <rFont val="맑은 고딕"/>
        <family val="0"/>
        <charset val="1"/>
      </rPr>
      <t xml:space="preserve">1 </t>
    </r>
    <r>
      <rPr>
        <sz val="10"/>
        <color rgb="FF000000"/>
        <rFont val="WenQuanYi Zen Hei"/>
        <family val="2"/>
      </rPr>
      <t xml:space="preserve">내신 상위권 대비까지 진행합니다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</si>
  <si>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의 강점을 살리면서 공통수학</t>
    </r>
    <r>
      <rPr>
        <sz val="10"/>
        <color rgb="FF000000"/>
        <rFont val="맑은 고딕"/>
        <family val="0"/>
        <charset val="1"/>
      </rPr>
      <t xml:space="preserve">2</t>
    </r>
    <r>
      <rPr>
        <sz val="10"/>
        <color rgb="FF000000"/>
        <rFont val="WenQuanYi Zen Hei"/>
        <family val="2"/>
      </rPr>
      <t xml:space="preserve">의 개념을 처음부터 체계적으로 다져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두 과목의 균형을 맞추는 반입니다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</si>
  <si>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WenQuanYi Zen Hei"/>
        <family val="2"/>
      </rPr>
      <t xml:space="preserve">중등 연계 개념부터 차근차근 점검하며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1·2</t>
    </r>
    <r>
      <rPr>
        <sz val="10"/>
        <color rgb="FF000000"/>
        <rFont val="WenQuanYi Zen Hei"/>
        <family val="2"/>
      </rPr>
      <t xml:space="preserve">의 핵심 개념과 기본 유형을 확실히 완성하는 반입니다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</si>
  <si>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← 추천할 반이 더 있으면 반 이름과 소개를 추가</t>
  </si>
  <si>
    <t xml:space="preserve">학생 명단</t>
  </si>
  <si>
    <r>
      <rPr>
        <sz val="9"/>
        <color rgb="FF595959"/>
        <rFont val="WenQuanYi Zen Hei"/>
        <family val="2"/>
      </rPr>
      <t xml:space="preserve">노란 칸에 학생 정보를 입력하세요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여기 입력한 순서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가 공수</t>
    </r>
    <r>
      <rPr>
        <sz val="9"/>
        <color rgb="FF595959"/>
        <rFont val="맑은 고딕"/>
        <family val="0"/>
        <charset val="1"/>
      </rPr>
      <t xml:space="preserve">1·</t>
    </r>
    <r>
      <rPr>
        <sz val="9"/>
        <color rgb="FF595959"/>
        <rFont val="WenQuanYi Zen Hei"/>
        <family val="2"/>
      </rPr>
      <t xml:space="preserve">공수</t>
    </r>
    <r>
      <rPr>
        <sz val="9"/>
        <color rgb="FF595959"/>
        <rFont val="맑은 고딕"/>
        <family val="0"/>
        <charset val="1"/>
      </rPr>
      <t xml:space="preserve">2·</t>
    </r>
    <r>
      <rPr>
        <sz val="9"/>
        <color rgb="FF595959"/>
        <rFont val="WenQuanYi Zen Hei"/>
        <family val="2"/>
      </rPr>
      <t xml:space="preserve">반배정 시트의 행과 그대로 연결됩니다</t>
    </r>
    <r>
      <rPr>
        <sz val="9"/>
        <color rgb="FF595959"/>
        <rFont val="맑은 고딕"/>
        <family val="0"/>
        <charset val="1"/>
      </rPr>
      <t xml:space="preserve">. 7</t>
    </r>
    <r>
      <rPr>
        <sz val="9"/>
        <color rgb="FF595959"/>
        <rFont val="WenQuanYi Zen Hei"/>
        <family val="2"/>
      </rPr>
      <t xml:space="preserve">행은 예시이니 지우고 사용하세요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기존 반명</t>
    </r>
    <r>
      <rPr>
        <sz val="9"/>
        <color rgb="FF595959"/>
        <rFont val="맑은 고딕"/>
        <family val="0"/>
        <charset val="1"/>
      </rPr>
      <t xml:space="preserve">: </t>
    </r>
    <r>
      <rPr>
        <sz val="9"/>
        <color rgb="FF595959"/>
        <rFont val="WenQuanYi Zen Hei"/>
        <family val="2"/>
      </rPr>
      <t xml:space="preserve">재원생은 현재 반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신규 학생은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신규</t>
    </r>
    <r>
      <rPr>
        <sz val="9"/>
        <color rgb="FF595959"/>
        <rFont val="맑은 고딕"/>
        <family val="0"/>
        <charset val="1"/>
      </rPr>
      <t xml:space="preserve">'.</t>
    </r>
  </si>
  <si>
    <t xml:space="preserve">No</t>
  </si>
  <si>
    <t xml:space="preserve">이름</t>
  </si>
  <si>
    <t xml:space="preserve">학교</t>
  </si>
  <si>
    <t xml:space="preserve">구분</t>
  </si>
  <si>
    <t xml:space="preserve">기존 반명</t>
  </si>
  <si>
    <t xml:space="preserve">학습 진도</t>
  </si>
  <si>
    <t xml:space="preserve">연락처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</si>
  <si>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내부용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</si>
  <si>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홍길동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예시</t>
    </r>
    <r>
      <rPr>
        <sz val="10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</si>
  <si>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OO</t>
    </r>
    <r>
      <rPr>
        <sz val="10"/>
        <color rgb="FF000000"/>
        <rFont val="WenQuanYi Zen Hei"/>
        <family val="2"/>
      </rPr>
      <t xml:space="preserve">중</t>
    </r>
  </si>
  <si>
    <t xml:space="preserve">외부</t>
  </si>
  <si>
    <t xml:space="preserve">신규</t>
  </si>
  <si>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1 1</t>
    </r>
    <r>
      <rPr>
        <sz val="10"/>
        <color rgb="FF000000"/>
        <rFont val="WenQuanYi Zen Hei"/>
        <family val="2"/>
      </rPr>
      <t xml:space="preserve">회독 완료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공통수학</t>
    </r>
    <r>
      <rPr>
        <sz val="10"/>
        <color rgb="FF000000"/>
        <rFont val="맑은 고딕"/>
        <family val="0"/>
        <charset val="1"/>
      </rPr>
      <t xml:space="preserve">2 </t>
    </r>
    <r>
      <rPr>
        <sz val="10"/>
        <color rgb="FF000000"/>
        <rFont val="WenQuanYi Zen Hei"/>
        <family val="2"/>
      </rPr>
      <t xml:space="preserve">집합까지</t>
    </r>
  </si>
  <si>
    <t xml:space="preserve">010-0000-0000</t>
  </si>
  <si>
    <t xml:space="preserve">예시 행 — 삭제 후 사용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</si>
  <si>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1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</si>
  <si>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sz val="9"/>
        <color rgb="FF595959"/>
        <rFont val="맑은 고딕"/>
        <family val="0"/>
        <charset val="1"/>
      </rPr>
      <t xml:space="preserve">① 2~5</t>
    </r>
    <r>
      <rPr>
        <sz val="9"/>
        <color rgb="FF595959"/>
        <rFont val="WenQuanYi Zen Hei"/>
        <family val="2"/>
      </rPr>
      <t xml:space="preserve">행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노란 칸</t>
    </r>
    <r>
      <rPr>
        <sz val="9"/>
        <color rgb="FF595959"/>
        <rFont val="맑은 고딕"/>
        <family val="0"/>
        <charset val="1"/>
      </rPr>
      <t xml:space="preserve">)</t>
    </r>
    <r>
      <rPr>
        <sz val="9"/>
        <color rgb="FF595959"/>
        <rFont val="WenQuanYi Zen Hei"/>
        <family val="2"/>
      </rPr>
      <t xml:space="preserve">에 정답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배점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단원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난이도 입력  ② 학생 행에 학생이 쓴 답을 그대로 입력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객관식 </t>
    </r>
    <r>
      <rPr>
        <sz val="9"/>
        <color rgb="FF595959"/>
        <rFont val="맑은 고딕"/>
        <family val="0"/>
        <charset val="1"/>
      </rPr>
      <t xml:space="preserve">1~5, </t>
    </r>
    <r>
      <rPr>
        <sz val="9"/>
        <color rgb="FF595959"/>
        <rFont val="WenQuanYi Zen Hei"/>
        <family val="2"/>
      </rPr>
      <t xml:space="preserve">단답형 </t>
    </r>
    <r>
      <rPr>
        <sz val="9"/>
        <color rgb="FF595959"/>
        <rFont val="맑은 고딕"/>
        <family val="0"/>
        <charset val="1"/>
      </rPr>
      <t xml:space="preserve">0~999) → </t>
    </r>
    <r>
      <rPr>
        <sz val="9"/>
        <color rgb="FF595959"/>
        <rFont val="WenQuanYi Zen Hei"/>
        <family val="2"/>
      </rPr>
      <t xml:space="preserve">틀린 답은 빨간 칸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점수 자동 계산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결시생은 비워두면 미응시 처리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</si>
  <si>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정답 ▶</t>
  </si>
  <si>
    <t xml:space="preserve">배점 ▶</t>
  </si>
  <si>
    <t xml:space="preserve">단원 ▶</t>
  </si>
  <si>
    <t xml:space="preserve">난이도 ▶</t>
  </si>
  <si>
    <t xml:space="preserve">하</t>
  </si>
  <si>
    <t xml:space="preserve">중하</t>
  </si>
  <si>
    <t xml:space="preserve">중</t>
  </si>
  <si>
    <t xml:space="preserve">중상</t>
  </si>
  <si>
    <t xml:space="preserve">상</t>
  </si>
  <si>
    <t xml:space="preserve">최상</t>
  </si>
  <si>
    <t xml:space="preserve">정답입력수▲</t>
  </si>
  <si>
    <t xml:space="preserve">만점 ▲</t>
  </si>
  <si>
    <r>
      <rPr>
        <b val="true"/>
        <sz val="9"/>
        <color rgb="FFFFFFFF"/>
        <rFont val="맑은 고딕"/>
        <family val="0"/>
        <charset val="1"/>
      </rPr>
      <t xml:space="preserve">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</si>
  <si>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</si>
  <si>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</si>
  <si>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</si>
  <si>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5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</si>
  <si>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6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</si>
  <si>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7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</si>
  <si>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8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</si>
  <si>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9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</si>
  <si>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10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</si>
  <si>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11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</si>
  <si>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12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</si>
  <si>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13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</si>
  <si>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14
</t>
    </r>
    <r>
      <rPr>
        <b val="true"/>
        <sz val="9"/>
        <color rgb="FFFFFFFF"/>
        <rFont val="WenQuanYi Zen Hei"/>
        <family val="2"/>
      </rPr>
      <t xml:space="preserve">객관식</t>
    </r>
  </si>
  <si>
    <r>
      <rPr>
        <b val="true"/>
        <sz val="9"/>
        <color rgb="FFFFFFFF"/>
        <rFont val="맑은 고딕"/>
        <family val="0"/>
        <charset val="1"/>
      </rPr>
      <t xml:space="preserve">15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</si>
  <si>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16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</si>
  <si>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17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</si>
  <si>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18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</si>
  <si>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19
</t>
    </r>
    <r>
      <rPr>
        <b val="true"/>
        <sz val="9"/>
        <color rgb="FFFFFFFF"/>
        <rFont val="WenQuanYi Zen Hei"/>
        <family val="2"/>
      </rPr>
      <t xml:space="preserve">단답형</t>
    </r>
  </si>
  <si>
    <r>
      <rPr>
        <b val="true"/>
        <sz val="9"/>
        <color rgb="FFFFFFFF"/>
        <rFont val="맑은 고딕"/>
        <family val="0"/>
        <charset val="1"/>
      </rPr>
      <t xml:space="preserve">20
</t>
    </r>
    <r>
      <rPr>
        <b val="true"/>
        <sz val="9"/>
        <color rgb="FFFFFFFF"/>
        <rFont val="WenQuanYi Zen Hei"/>
        <family val="2"/>
      </rPr>
      <t xml:space="preserve">단답형</t>
    </r>
  </si>
  <si>
    <t xml:space="preserve">맞힌
개수</t>
  </si>
  <si>
    <t xml:space="preserve">총점</t>
  </si>
  <si>
    <r>
      <rPr>
        <b val="true"/>
        <sz val="14"/>
        <color rgb="FF1F3864"/>
        <rFont val="WenQuanYi Zen Hei"/>
        <family val="2"/>
      </rPr>
      <t xml:space="preserve">공통수학</t>
    </r>
    <r>
      <rPr>
        <b val="true"/>
        <sz val="14"/>
        <color rgb="FF1F3864"/>
        <rFont val="맑은 고딕"/>
        <family val="0"/>
        <charset val="1"/>
      </rPr>
      <t xml:space="preserve">2 </t>
    </r>
    <r>
      <rPr>
        <b val="true"/>
        <sz val="14"/>
        <color rgb="FF1F3864"/>
        <rFont val="WenQuanYi Zen Hei"/>
        <family val="2"/>
      </rPr>
      <t xml:space="preserve">채점표</t>
    </r>
  </si>
  <si>
    <r>
      <rPr>
        <b val="true"/>
        <sz val="14"/>
        <color rgb="FF1F3864"/>
        <rFont val="WenQuanYi Zen Hei"/>
        <family val="2"/>
      </rPr>
      <t xml:space="preserve">반 배정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절대평가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</si>
  <si>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자동배정 </t>
    </r>
    <r>
      <rPr>
        <sz val="9"/>
        <color rgb="FF595959"/>
        <rFont val="맑은 고딕"/>
        <family val="0"/>
        <charset val="1"/>
      </rPr>
      <t xml:space="preserve">= 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해당 없으면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보류</t>
    </r>
    <r>
      <rPr>
        <sz val="9"/>
        <color rgb="FF595959"/>
        <rFont val="맑은 고딕"/>
        <family val="0"/>
        <charset val="1"/>
      </rPr>
      <t xml:space="preserve">'. </t>
    </r>
    <r>
      <rPr>
        <sz val="9"/>
        <color rgb="FF595959"/>
        <rFont val="WenQuanYi Zen Hei"/>
        <family val="2"/>
      </rPr>
      <t xml:space="preserve">노란 칸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추천 반 </t>
    </r>
    <r>
      <rPr>
        <sz val="9"/>
        <color rgb="FF595959"/>
        <rFont val="맑은 고딕"/>
        <family val="0"/>
        <charset val="1"/>
      </rPr>
      <t xml:space="preserve">1·2'</t>
    </r>
    <r>
      <rPr>
        <sz val="9"/>
        <color rgb="FF595959"/>
        <rFont val="WenQuanYi Zen Hei"/>
        <family val="2"/>
      </rPr>
      <t xml:space="preserve">에 상담 후 반을 적으면 최종반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추천 반 </t>
    </r>
    <r>
      <rPr>
        <sz val="9"/>
        <color rgb="FF595959"/>
        <rFont val="맑은 고딕"/>
        <family val="0"/>
        <charset val="1"/>
      </rPr>
      <t xml:space="preserve">1(</t>
    </r>
    <r>
      <rPr>
        <sz val="9"/>
        <color rgb="FF595959"/>
        <rFont val="WenQuanYi Zen Hei"/>
        <family val="2"/>
      </rPr>
      <t xml:space="preserve">비어 있으면 자동배정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학부모 보고서에는 최종반이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순위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추천 반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가 </t>
    </r>
    <r>
      <rPr>
        <sz val="9"/>
        <color rgb="FF595959"/>
        <rFont val="맑은 고딕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순위로 들어갑니다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주황색 행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기준 점수 경계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</si>
  <si>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반별 요약 </t>
    </r>
    <r>
      <rPr>
        <b val="true"/>
        <sz val="11"/>
        <color rgb="FF1F3864"/>
        <rFont val="맑은 고딕"/>
        <family val="0"/>
        <charset val="1"/>
      </rPr>
      <t xml:space="preserve">(</t>
    </r>
    <r>
      <rPr>
        <b val="true"/>
        <sz val="11"/>
        <color rgb="FF1F3864"/>
        <rFont val="WenQuanYi Zen Hei"/>
        <family val="2"/>
      </rPr>
      <t xml:space="preserve">최종반 기준</t>
    </r>
    <r>
      <rPr>
        <b val="true"/>
        <sz val="11"/>
        <color rgb="FF1F3864"/>
        <rFont val="맑은 고딕"/>
        <family val="0"/>
        <charset val="1"/>
      </rPr>
      <t xml:space="preserve">)</t>
    </r>
  </si>
  <si>
    <t xml:space="preserve">기존 반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</si>
  <si>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</si>
  <si>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</si>
  <si>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환산총점</t>
  </si>
  <si>
    <t xml:space="preserve">석차</t>
  </si>
  <si>
    <t xml:space="preserve">자동배정</t>
  </si>
  <si>
    <t xml:space="preserve">경계</t>
  </si>
  <si>
    <r>
      <rPr>
        <b val="true"/>
        <sz val="10"/>
        <color rgb="FFFFFFFF"/>
        <rFont val="WenQuanYi Zen Hei"/>
        <family val="2"/>
      </rPr>
      <t xml:space="preserve">추천 반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</si>
  <si>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추천 반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</si>
  <si>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t xml:space="preserve">최종반</t>
  </si>
  <si>
    <t xml:space="preserve">비고</t>
  </si>
  <si>
    <t xml:space="preserve">반</t>
  </si>
  <si>
    <t xml:space="preserve">자동
인원</t>
  </si>
  <si>
    <t xml:space="preserve">최종
인원</t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</si>
  <si>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1
</t>
    </r>
    <r>
      <rPr>
        <b val="true"/>
        <sz val="10"/>
        <color rgb="FFFFFFFF"/>
        <rFont val="WenQuanYi Zen Hei"/>
        <family val="2"/>
      </rPr>
      <t xml:space="preserve">평균</t>
    </r>
  </si>
  <si>
    <r>
      <rPr>
        <b val="true"/>
        <sz val="10"/>
        <color rgb="FFFFFFFF"/>
        <rFont val="WenQuanYi Zen Hei"/>
        <family val="2"/>
      </rPr>
      <t xml:space="preserve">공수</t>
    </r>
    <r>
      <rPr>
        <b val="true"/>
        <sz val="10"/>
        <color rgb="FFFFFFFF"/>
        <rFont val="맑은 고딕"/>
        <family val="0"/>
        <charset val="1"/>
      </rPr>
      <t xml:space="preserve">2
</t>
    </r>
    <r>
      <rPr>
        <b val="true"/>
        <sz val="10"/>
        <color rgb="FFFFFFFF"/>
        <rFont val="WenQuanYi Zen Hei"/>
        <family val="2"/>
      </rPr>
      <t xml:space="preserve">평균</t>
    </r>
  </si>
  <si>
    <t xml:space="preserve">재원</t>
  </si>
  <si>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자동배정은 </t>
    </r>
    <r>
      <rPr>
        <sz val="9"/>
        <color rgb="FF595959"/>
        <rFont val="맑은 고딕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①</t>
    </r>
    <r>
      <rPr>
        <sz val="9"/>
        <color rgb="FF595959"/>
        <rFont val="WenQuanYi Zen Hei"/>
        <family val="2"/>
      </rPr>
      <t xml:space="preserve">의 과목별 점수 기준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절대평가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경계 </t>
    </r>
    <r>
      <rPr>
        <sz val="9"/>
        <color rgb="FF595959"/>
        <rFont val="맑은 고딕"/>
        <family val="0"/>
        <charset val="1"/>
      </rPr>
      <t xml:space="preserve">= </t>
    </r>
    <r>
      <rPr>
        <sz val="9"/>
        <color rgb="FF595959"/>
        <rFont val="WenQuanYi Zen Hei"/>
        <family val="2"/>
      </rPr>
      <t xml:space="preserve">어느 과목이든 기준 점수와의 차이가 경계 범위 이내
</t>
    </r>
    <r>
      <rPr>
        <sz val="9"/>
        <color rgb="FF595959"/>
        <rFont val="맑은 고딕"/>
        <family val="0"/>
        <charset val="1"/>
      </rPr>
      <t xml:space="preserve">· </t>
    </r>
    <r>
      <rPr>
        <sz val="9"/>
        <color rgb="FF595959"/>
        <rFont val="WenQuanYi Zen Hei"/>
        <family val="2"/>
      </rPr>
      <t xml:space="preserve">추천 반 </t>
    </r>
    <r>
      <rPr>
        <sz val="9"/>
        <color rgb="FF595959"/>
        <rFont val="맑은 고딕"/>
        <family val="0"/>
        <charset val="1"/>
      </rPr>
      <t xml:space="preserve">1·2</t>
    </r>
    <r>
      <rPr>
        <sz val="9"/>
        <color rgb="FF595959"/>
        <rFont val="WenQuanYi Zen Hei"/>
        <family val="2"/>
      </rPr>
      <t xml:space="preserve">는 목록에서 고르거나 직접 입력</t>
    </r>
    <r>
      <rPr>
        <sz val="9"/>
        <color rgb="FF595959"/>
        <rFont val="맑은 고딕"/>
        <family val="0"/>
        <charset val="1"/>
      </rPr>
      <t xml:space="preserve">('</t>
    </r>
    <r>
      <rPr>
        <sz val="9"/>
        <color rgb="FF595959"/>
        <rFont val="WenQuanYi Zen Hei"/>
        <family val="2"/>
      </rPr>
      <t xml:space="preserve">설정</t>
    </r>
    <r>
      <rPr>
        <sz val="9"/>
        <color rgb="FF595959"/>
        <rFont val="맑은 고딕"/>
        <family val="0"/>
        <charset val="1"/>
      </rPr>
      <t xml:space="preserve">' ⑥</t>
    </r>
    <r>
      <rPr>
        <sz val="9"/>
        <color rgb="FF595959"/>
        <rFont val="WenQuanYi Zen Hei"/>
        <family val="2"/>
      </rPr>
      <t xml:space="preserve">에 반 소개 추가 가능</t>
    </r>
    <r>
      <rPr>
        <sz val="9"/>
        <color rgb="FF595959"/>
        <rFont val="맑은 고딕"/>
        <family val="0"/>
        <charset val="1"/>
      </rPr>
      <t xml:space="preserve">)
· </t>
    </r>
    <r>
      <rPr>
        <sz val="9"/>
        <color rgb="FF595959"/>
        <rFont val="WenQuanYi Zen Hei"/>
        <family val="2"/>
      </rPr>
      <t xml:space="preserve">환산총점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석차는 참고용</t>
    </r>
  </si>
  <si>
    <r>
      <rPr>
        <b val="true"/>
        <sz val="14"/>
        <color rgb="FF1F3864"/>
        <rFont val="WenQuanYi Zen Hei"/>
        <family val="2"/>
      </rPr>
      <t xml:space="preserve">석차순 명단 </t>
    </r>
    <r>
      <rPr>
        <b val="true"/>
        <sz val="14"/>
        <color rgb="FF1F3864"/>
        <rFont val="맑은 고딕"/>
        <family val="0"/>
        <charset val="1"/>
      </rPr>
      <t xml:space="preserve">(</t>
    </r>
    <r>
      <rPr>
        <b val="true"/>
        <sz val="14"/>
        <color rgb="FF1F3864"/>
        <rFont val="WenQuanYi Zen Hei"/>
        <family val="2"/>
      </rPr>
      <t xml:space="preserve">참고</t>
    </r>
    <r>
      <rPr>
        <b val="true"/>
        <sz val="14"/>
        <color rgb="FF1F3864"/>
        <rFont val="맑은 고딕"/>
        <family val="0"/>
        <charset val="1"/>
      </rPr>
      <t xml:space="preserve">·</t>
    </r>
    <r>
      <rPr>
        <b val="true"/>
        <sz val="14"/>
        <color rgb="FF1F3864"/>
        <rFont val="WenQuanYi Zen Hei"/>
        <family val="2"/>
      </rPr>
      <t xml:space="preserve">상담용</t>
    </r>
    <r>
      <rPr>
        <b val="true"/>
        <sz val="14"/>
        <color rgb="FF1F3864"/>
        <rFont val="맑은 고딕"/>
        <family val="0"/>
        <charset val="1"/>
      </rPr>
      <t xml:space="preserve">)</t>
    </r>
  </si>
  <si>
    <r>
      <rPr>
        <sz val="9"/>
        <color rgb="FF595959"/>
        <rFont val="WenQuanYi Zen Hei"/>
        <family val="2"/>
      </rPr>
      <t xml:space="preserve">자동 정렬됩니다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반 배정은 절대평가이며 석차는 참고용입니다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</si>
  <si>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문항 분석</t>
  </si>
  <si>
    <r>
      <rPr>
        <sz val="9"/>
        <color rgb="FF595959"/>
        <rFont val="WenQuanYi Zen Hei"/>
        <family val="2"/>
      </rPr>
      <t xml:space="preserve">변별도 </t>
    </r>
    <r>
      <rPr>
        <sz val="9"/>
        <color rgb="FF595959"/>
        <rFont val="맑은 고딕"/>
        <family val="0"/>
        <charset val="1"/>
      </rPr>
      <t xml:space="preserve">= TF1</t>
    </r>
    <r>
      <rPr>
        <sz val="9"/>
        <color rgb="FF595959"/>
        <rFont val="WenQuanYi Zen Hei"/>
        <family val="2"/>
      </rPr>
      <t xml:space="preserve">반 정답률 − </t>
    </r>
    <r>
      <rPr>
        <sz val="9"/>
        <color rgb="FF595959"/>
        <rFont val="맑은 고딕"/>
        <family val="0"/>
        <charset val="1"/>
      </rPr>
      <t xml:space="preserve">TF3</t>
    </r>
    <r>
      <rPr>
        <sz val="9"/>
        <color rgb="FF595959"/>
        <rFont val="WenQuanYi Zen Hei"/>
        <family val="2"/>
      </rPr>
      <t xml:space="preserve">반 정답률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자동배정 기준</t>
    </r>
    <r>
      <rPr>
        <sz val="9"/>
        <color rgb="FF595959"/>
        <rFont val="맑은 고딕"/>
        <family val="0"/>
        <charset val="1"/>
      </rPr>
      <t xml:space="preserve">, 0.3 </t>
    </r>
    <r>
      <rPr>
        <sz val="9"/>
        <color rgb="FF595959"/>
        <rFont val="WenQuanYi Zen Hei"/>
        <family val="2"/>
      </rPr>
      <t xml:space="preserve">이상이면 상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하위를 잘 가르는 문항</t>
    </r>
    <r>
      <rPr>
        <sz val="9"/>
        <color rgb="FF595959"/>
        <rFont val="맑은 고딕"/>
        <family val="0"/>
        <charset val="1"/>
      </rPr>
      <t xml:space="preserve">). </t>
    </r>
    <r>
      <rPr>
        <sz val="9"/>
        <color rgb="FF595959"/>
        <rFont val="WenQuanYi Zen Hei"/>
        <family val="2"/>
      </rPr>
      <t xml:space="preserve">객관식은 선지별 선택 인원으로 매력적 오답을 확인하세요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</si>
  <si>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1</t>
    </r>
  </si>
  <si>
    <t xml:space="preserve">문항</t>
  </si>
  <si>
    <t xml:space="preserve">유형</t>
  </si>
  <si>
    <t xml:space="preserve">난이도</t>
  </si>
  <si>
    <t xml:space="preserve">배점</t>
  </si>
  <si>
    <t xml:space="preserve">정답</t>
  </si>
  <si>
    <t xml:space="preserve">응시</t>
  </si>
  <si>
    <t xml:space="preserve">정답자</t>
  </si>
  <si>
    <t xml:space="preserve">정답률</t>
  </si>
  <si>
    <t xml:space="preserve">변별도</t>
  </si>
  <si>
    <t xml:space="preserve">진단</t>
  </si>
  <si>
    <t xml:space="preserve">①</t>
  </si>
  <si>
    <t xml:space="preserve">②</t>
  </si>
  <si>
    <t xml:space="preserve">③</t>
  </si>
  <si>
    <t xml:space="preserve">④</t>
  </si>
  <si>
    <t xml:space="preserve">⑤</t>
  </si>
  <si>
    <t xml:space="preserve">객관식</t>
  </si>
  <si>
    <t xml:space="preserve">단답형</t>
  </si>
  <si>
    <t xml:space="preserve">-</t>
  </si>
  <si>
    <r>
      <rPr>
        <b val="true"/>
        <sz val="11"/>
        <color rgb="FF1F3864"/>
        <rFont val="WenQuanYi Zen Hei"/>
        <family val="2"/>
      </rPr>
      <t xml:space="preserve">공통수학</t>
    </r>
    <r>
      <rPr>
        <b val="true"/>
        <sz val="11"/>
        <color rgb="FF1F3864"/>
        <rFont val="맑은 고딕"/>
        <family val="0"/>
        <charset val="1"/>
      </rPr>
      <t xml:space="preserve">2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</si>
</sst>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#"/>
    <numFmt numFmtId="167" formatCode="0.0"/>
    <numFmt numFmtId="168" formatCode="0%"/>
    <numFmt numFmtId="169" formatCode="0.0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맑은 고딕"/>
      <family val="0"/>
      <charset val="1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맑은 고딕"/>
      <family val="0"/>
      <charset val="1"/>
    </font>
    <font>
      <b val="true"/>
      <sz val="10"/>
      <color rgb="FF000000"/>
      <name val="WenQuanYi Zen Hei"/>
      <family val="2"/>
    </font>
    <font>
      <sz val="9"/>
      <color rgb="FF000000"/>
      <name val="WenQuanYi Zen Hei"/>
      <family val="2"/>
    </font>
    <font>
      <sz val="9"/>
      <color rgb="FF000000"/>
      <name val="맑은 고딕"/>
      <family val="0"/>
      <charset val="1"/>
    </font>
    <font>
      <sz val="9"/>
      <color rgb="FFC00000"/>
      <name val="WenQuanYi Zen Hei"/>
      <family val="2"/>
    </font>
    <font>
      <sz val="9"/>
      <color rgb="FFC00000"/>
      <name val="맑은 고딕"/>
      <family val="0"/>
      <charset val="1"/>
    </font>
    <font>
      <b val="true"/>
      <sz val="10"/>
      <color rgb="FFC00000"/>
      <name val="맑은 고딕"/>
      <family val="0"/>
      <charset val="1"/>
    </font>
    <font>
      <b val="true"/>
      <sz val="9"/>
      <color rgb="FF000000"/>
      <name val="맑은 고딕"/>
      <family val="0"/>
      <charset val="1"/>
    </font>
    <font>
      <sz val="8"/>
      <color rgb="FF000000"/>
      <name val="WenQuanYi Zen Hei"/>
      <family val="2"/>
    </font>
    <font>
      <sz val="8"/>
      <color rgb="FF595959"/>
      <name val="WenQuanYi Zen Hei"/>
      <family val="2"/>
    </font>
    <font>
      <b val="true"/>
      <sz val="9"/>
      <color rgb="FFFFFFFF"/>
      <name val="맑은 고딕"/>
      <family val="0"/>
      <charset val="1"/>
    </font>
    <font>
      <b val="true"/>
      <sz val="9"/>
      <color rgb="FFFFFFFF"/>
      <name val="WenQuanYi Zen Hei"/>
      <family val="2"/>
    </font>
    <font>
      <b val="true"/>
      <sz val="10"/>
      <color rgb="FFC55A11"/>
      <name val="맑은 고딕"/>
      <family val="0"/>
      <charset val="1"/>
    </font>
    <font>
      <sz val="9"/>
      <color rgb="FFA6A6A6"/>
      <name val="맑은 고딕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E7E6E6"/>
      </patternFill>
    </fill>
    <fill>
      <patternFill patternType="solid">
        <fgColor rgb="FFFFF2CC"/>
        <bgColor rgb="FFFBE5D6"/>
      </patternFill>
    </fill>
    <fill>
      <patternFill patternType="solid">
        <fgColor rgb="FFD9E1F2"/>
        <bgColor rgb="FFDDEBF7"/>
      </patternFill>
    </fill>
    <fill>
      <patternFill patternType="solid">
        <fgColor rgb="FF7030A0"/>
        <bgColor rgb="FF993366"/>
      </patternFill>
    </fill>
    <fill>
      <patternFill patternType="solid">
        <fgColor rgb="FF2F5597"/>
        <bgColor rgb="FF1F3864"/>
      </patternFill>
    </fill>
    <fill>
      <patternFill patternType="solid">
        <fgColor rgb="FFDDEBF7"/>
        <bgColor rgb="FFD9E1F2"/>
      </patternFill>
    </fill>
    <fill>
      <patternFill patternType="solid">
        <fgColor rgb="FFE2EFDA"/>
        <bgColor rgb="FFE7E6E6"/>
      </patternFill>
    </fill>
    <fill>
      <patternFill patternType="solid">
        <fgColor rgb="FFFCE4D6"/>
        <bgColor rgb="FFFBE5D6"/>
      </patternFill>
    </fill>
    <fill>
      <patternFill patternType="solid">
        <fgColor rgb="FFE7E6E6"/>
        <bgColor rgb="FFE2EFDA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ont>
        <b val="1"/>
        <color rgb="FFC00000"/>
      </font>
      <fill>
        <patternFill>
          <bgColor rgb="FFF8CBAD"/>
        </patternFill>
      </fill>
    </dxf>
    <dxf>
      <fill>
        <patternFill>
          <bgColor rgb="FFFF9999"/>
        </patternFill>
      </fill>
    </dxf>
    <dxf>
      <fill>
        <patternFill>
          <bgColor rgb="FFFBE5D6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ont>
        <b val="1"/>
      </font>
      <fill>
        <patternFill>
          <bgColor rgb="FFC6E0B4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BE5D6"/>
      <rgbColor rgb="FFC6E0B4"/>
      <rgbColor rgb="FFFF9999"/>
      <rgbColor rgb="FFE7E6E6"/>
      <rgbColor rgb="FFF8CBAD"/>
      <rgbColor rgb="FF3366FF"/>
      <rgbColor rgb="FF33CCCC"/>
      <rgbColor rgb="FF99CC00"/>
      <rgbColor rgb="FFFCE4D6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2"/>
    <col collapsed="false" customWidth="true" hidden="false" outlineLevel="0" max="4" min="3" style="0" width="12"/>
    <col collapsed="false" customWidth="true" hidden="false" outlineLevel="0" max="5" min="5" style="0" width="44"/>
    <col collapsed="false" customWidth="true" hidden="false" outlineLevel="0" max="6" min="6" style="0" width="34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  <c r="F2" s="2"/>
    </row>
    <row r="4" customFormat="false" ht="29.85" hidden="false" customHeight="false" outlineLevel="0" collapsed="false">
      <c r="A4" s="3" t="s">
        <v>2</v>
      </c>
    </row>
    <row r="5" customFormat="false" ht="15" hidden="false" customHeight="tru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H5" s="5" t="s">
        <v>9</v>
      </c>
      <c r="I5" s="5"/>
      <c r="J5" s="5"/>
      <c r="K5" s="5"/>
      <c r="L5" s="5"/>
    </row>
    <row r="6" customFormat="false" ht="15" hidden="false" customHeight="false" outlineLevel="0" collapsed="false">
      <c r="A6" s="6" t="s">
        <v>10</v>
      </c>
      <c r="B6" s="7" t="s">
        <v>11</v>
      </c>
      <c r="C6" s="8" t="n">
        <v>60</v>
      </c>
      <c r="D6" s="8"/>
      <c r="E6" s="8" t="n">
        <v>60</v>
      </c>
      <c r="F6" s="8"/>
      <c r="H6" s="5"/>
      <c r="I6" s="5"/>
      <c r="J6" s="5"/>
      <c r="K6" s="5"/>
      <c r="L6" s="5"/>
    </row>
    <row r="7" customFormat="false" ht="15" hidden="false" customHeight="false" outlineLevel="0" collapsed="false">
      <c r="A7" s="6" t="s">
        <v>12</v>
      </c>
      <c r="B7" s="7" t="s">
        <v>13</v>
      </c>
      <c r="C7" s="8" t="n">
        <v>60</v>
      </c>
      <c r="D7" s="8"/>
      <c r="E7" s="8"/>
      <c r="F7" s="8" t="n">
        <v>40</v>
      </c>
      <c r="H7" s="5"/>
      <c r="I7" s="5"/>
      <c r="J7" s="5"/>
      <c r="K7" s="5"/>
      <c r="L7" s="5"/>
    </row>
    <row r="8" customFormat="false" ht="15" hidden="false" customHeight="false" outlineLevel="0" collapsed="false">
      <c r="A8" s="6" t="s">
        <v>14</v>
      </c>
      <c r="B8" s="7" t="s">
        <v>15</v>
      </c>
      <c r="C8" s="8"/>
      <c r="D8" s="8" t="n">
        <v>40</v>
      </c>
      <c r="E8" s="8"/>
      <c r="F8" s="8" t="n">
        <v>40</v>
      </c>
      <c r="H8" s="5"/>
      <c r="I8" s="5"/>
      <c r="J8" s="5"/>
      <c r="K8" s="5"/>
      <c r="L8" s="5"/>
    </row>
    <row r="9" customFormat="false" ht="15" hidden="false" customHeight="true" outlineLevel="0" collapsed="false">
      <c r="A9" s="9" t="s">
        <v>16</v>
      </c>
      <c r="B9" s="10" t="s">
        <v>17</v>
      </c>
      <c r="C9" s="11" t="s">
        <v>18</v>
      </c>
      <c r="D9" s="11"/>
      <c r="E9" s="11"/>
      <c r="F9" s="11"/>
      <c r="H9" s="5"/>
      <c r="I9" s="5"/>
      <c r="J9" s="5"/>
      <c r="K9" s="5"/>
      <c r="L9" s="5"/>
    </row>
    <row r="11" customFormat="false" ht="15" hidden="false" customHeight="false" outlineLevel="0" collapsed="false">
      <c r="A11" s="3" t="s">
        <v>19</v>
      </c>
    </row>
    <row r="12" customFormat="false" ht="15" hidden="false" customHeight="false" outlineLevel="0" collapsed="false">
      <c r="B12" s="4" t="s">
        <v>20</v>
      </c>
      <c r="C12" s="4" t="s">
        <v>21</v>
      </c>
    </row>
    <row r="13" customFormat="false" ht="25.35" hidden="false" customHeight="false" outlineLevel="0" collapsed="false">
      <c r="B13" s="12" t="s">
        <v>22</v>
      </c>
      <c r="C13" s="8" t="n">
        <v>1</v>
      </c>
      <c r="E13" s="13" t="s">
        <v>23</v>
      </c>
    </row>
    <row r="14" customFormat="false" ht="15" hidden="false" customHeight="false" outlineLevel="0" collapsed="false">
      <c r="B14" s="12" t="s">
        <v>24</v>
      </c>
      <c r="C14" s="8" t="n">
        <v>1</v>
      </c>
      <c r="E14" s="13" t="s">
        <v>25</v>
      </c>
    </row>
    <row r="15" customFormat="false" ht="25.35" hidden="false" customHeight="false" outlineLevel="0" collapsed="false">
      <c r="B15" s="12" t="s">
        <v>26</v>
      </c>
      <c r="C15" s="8" t="n">
        <v>3</v>
      </c>
      <c r="E15" s="13" t="s">
        <v>27</v>
      </c>
    </row>
    <row r="17" customFormat="false" ht="29.1" hidden="false" customHeight="false" outlineLevel="0" collapsed="false">
      <c r="A17" s="3" t="s">
        <v>28</v>
      </c>
    </row>
    <row r="18" customFormat="false" ht="15" hidden="false" customHeight="false" outlineLevel="0" collapsed="false">
      <c r="A18" s="4" t="s">
        <v>29</v>
      </c>
      <c r="B18" s="4" t="s">
        <v>30</v>
      </c>
      <c r="C18" s="4" t="s">
        <v>31</v>
      </c>
      <c r="D18" s="4" t="s">
        <v>32</v>
      </c>
      <c r="E18" s="4" t="s">
        <v>33</v>
      </c>
    </row>
    <row r="19" customFormat="false" ht="15" hidden="false" customHeight="false" outlineLevel="0" collapsed="false">
      <c r="A19" s="12" t="s">
        <v>34</v>
      </c>
      <c r="B19" s="14" t="s">
        <v>35</v>
      </c>
      <c r="C19" s="15" t="n">
        <f aca="false">COUNTIF(공수1!$D$4:$W$4,B19)</f>
        <v>3</v>
      </c>
      <c r="D19" s="15" t="n">
        <f aca="false">SUMIF(공수1!$D$4:$W$4,B19,공수1!$D$3:$W$3)</f>
        <v>15</v>
      </c>
      <c r="E19" s="16" t="s">
        <v>36</v>
      </c>
    </row>
    <row r="20" customFormat="false" ht="15" hidden="false" customHeight="false" outlineLevel="0" collapsed="false">
      <c r="A20" s="12" t="s">
        <v>34</v>
      </c>
      <c r="B20" s="14" t="s">
        <v>37</v>
      </c>
      <c r="C20" s="15" t="n">
        <f aca="false">COUNTIF(공수1!$D$4:$W$4,B20)</f>
        <v>10</v>
      </c>
      <c r="D20" s="15" t="n">
        <f aca="false">SUMIF(공수1!$D$4:$W$4,B20,공수1!$D$3:$W$3)</f>
        <v>49</v>
      </c>
      <c r="E20" s="16" t="s">
        <v>38</v>
      </c>
    </row>
    <row r="21" customFormat="false" ht="15" hidden="false" customHeight="false" outlineLevel="0" collapsed="false">
      <c r="A21" s="12" t="s">
        <v>34</v>
      </c>
      <c r="B21" s="14" t="s">
        <v>39</v>
      </c>
      <c r="C21" s="15" t="n">
        <f aca="false">COUNTIF(공수1!$D$4:$W$4,B21)</f>
        <v>4</v>
      </c>
      <c r="D21" s="15" t="n">
        <f aca="false">SUMIF(공수1!$D$4:$W$4,B21,공수1!$D$3:$W$3)</f>
        <v>23</v>
      </c>
      <c r="E21" s="16" t="s">
        <v>40</v>
      </c>
    </row>
    <row r="22" customFormat="false" ht="15" hidden="false" customHeight="false" outlineLevel="0" collapsed="false">
      <c r="A22" s="12" t="s">
        <v>34</v>
      </c>
      <c r="B22" s="14" t="s">
        <v>41</v>
      </c>
      <c r="C22" s="15" t="n">
        <f aca="false">COUNTIF(공수1!$D$4:$W$4,B22)</f>
        <v>3</v>
      </c>
      <c r="D22" s="15" t="n">
        <f aca="false">SUMIF(공수1!$D$4:$W$4,B22,공수1!$D$3:$W$3)</f>
        <v>13</v>
      </c>
      <c r="E22" s="16" t="s">
        <v>42</v>
      </c>
    </row>
    <row r="23" customFormat="false" ht="15" hidden="false" customHeight="false" outlineLevel="0" collapsed="false">
      <c r="A23" s="9" t="s">
        <v>43</v>
      </c>
      <c r="B23" s="9" t="s">
        <v>44</v>
      </c>
      <c r="C23" s="9" t="n">
        <f aca="false">SUM(C19:C22)</f>
        <v>20</v>
      </c>
      <c r="D23" s="9" t="n">
        <f aca="false">SUM(D19:D22)</f>
        <v>100</v>
      </c>
      <c r="E23" s="17" t="s">
        <v>45</v>
      </c>
    </row>
    <row r="24" customFormat="false" ht="15" hidden="false" customHeight="false" outlineLevel="0" collapsed="false">
      <c r="A24" s="12" t="s">
        <v>46</v>
      </c>
      <c r="B24" s="14" t="s">
        <v>47</v>
      </c>
      <c r="C24" s="15" t="n">
        <f aca="false">COUNTIF(공수2!$D$4:$W$4,B24)</f>
        <v>8</v>
      </c>
      <c r="D24" s="15" t="n">
        <f aca="false">SUMIF(공수2!$D$4:$W$4,B24,공수2!$D$3:$W$3)</f>
        <v>39</v>
      </c>
      <c r="E24" s="16" t="s">
        <v>48</v>
      </c>
    </row>
    <row r="25" customFormat="false" ht="15" hidden="false" customHeight="false" outlineLevel="0" collapsed="false">
      <c r="A25" s="12" t="s">
        <v>46</v>
      </c>
      <c r="B25" s="14" t="s">
        <v>49</v>
      </c>
      <c r="C25" s="15" t="n">
        <f aca="false">COUNTIF(공수2!$D$4:$W$4,B25)</f>
        <v>4</v>
      </c>
      <c r="D25" s="15" t="n">
        <f aca="false">SUMIF(공수2!$D$4:$W$4,B25,공수2!$D$3:$W$3)</f>
        <v>22</v>
      </c>
      <c r="E25" s="16" t="s">
        <v>50</v>
      </c>
    </row>
    <row r="26" customFormat="false" ht="15" hidden="false" customHeight="false" outlineLevel="0" collapsed="false">
      <c r="A26" s="12" t="s">
        <v>46</v>
      </c>
      <c r="B26" s="14" t="s">
        <v>51</v>
      </c>
      <c r="C26" s="15" t="n">
        <f aca="false">COUNTIF(공수2!$D$4:$W$4,B26)</f>
        <v>8</v>
      </c>
      <c r="D26" s="15" t="n">
        <f aca="false">SUMIF(공수2!$D$4:$W$4,B26,공수2!$D$3:$W$3)</f>
        <v>39</v>
      </c>
      <c r="E26" s="16" t="s">
        <v>52</v>
      </c>
    </row>
    <row r="27" customFormat="false" ht="15" hidden="false" customHeight="false" outlineLevel="0" collapsed="false">
      <c r="A27" s="9" t="s">
        <v>53</v>
      </c>
      <c r="B27" s="9" t="s">
        <v>44</v>
      </c>
      <c r="C27" s="9" t="n">
        <f aca="false">SUM(C24:C26)</f>
        <v>20</v>
      </c>
      <c r="D27" s="9" t="n">
        <f aca="false">SUM(D24:D26)</f>
        <v>100</v>
      </c>
      <c r="E27" s="17" t="s">
        <v>45</v>
      </c>
    </row>
    <row r="30" customFormat="false" ht="15" hidden="false" customHeight="false" outlineLevel="0" collapsed="false">
      <c r="A30" s="3" t="s">
        <v>54</v>
      </c>
    </row>
    <row r="31" customFormat="false" ht="15" hidden="false" customHeight="true" outlineLevel="0" collapsed="false">
      <c r="A31" s="4" t="s">
        <v>20</v>
      </c>
      <c r="B31" s="4" t="s">
        <v>21</v>
      </c>
      <c r="C31" s="4"/>
      <c r="D31" s="4"/>
      <c r="E31" s="4"/>
    </row>
    <row r="32" customFormat="false" ht="15" hidden="false" customHeight="true" outlineLevel="0" collapsed="false">
      <c r="A32" s="18" t="s">
        <v>55</v>
      </c>
      <c r="B32" s="19" t="s">
        <v>56</v>
      </c>
      <c r="C32" s="19"/>
      <c r="D32" s="19"/>
      <c r="E32" s="19"/>
    </row>
    <row r="33" customFormat="false" ht="15" hidden="false" customHeight="true" outlineLevel="0" collapsed="false">
      <c r="A33" s="18" t="s">
        <v>57</v>
      </c>
      <c r="B33" s="20" t="s">
        <v>58</v>
      </c>
      <c r="C33" s="20"/>
      <c r="D33" s="20"/>
      <c r="E33" s="20"/>
    </row>
    <row r="34" customFormat="false" ht="15" hidden="false" customHeight="true" outlineLevel="0" collapsed="false">
      <c r="A34" s="18" t="s">
        <v>59</v>
      </c>
      <c r="B34" s="19" t="s">
        <v>60</v>
      </c>
      <c r="C34" s="19"/>
      <c r="D34" s="19"/>
      <c r="E34" s="19"/>
    </row>
    <row r="35" customFormat="false" ht="15" hidden="false" customHeight="true" outlineLevel="0" collapsed="false">
      <c r="A35" s="18" t="s">
        <v>61</v>
      </c>
      <c r="B35" s="20" t="s">
        <v>62</v>
      </c>
      <c r="C35" s="20"/>
      <c r="D35" s="20"/>
      <c r="E35" s="20"/>
      <c r="F35" s="21" t="s">
        <v>63</v>
      </c>
    </row>
    <row r="36" customFormat="false" ht="15" hidden="false" customHeight="false" outlineLevel="0" collapsed="false">
      <c r="A36" s="22" t="s">
        <v>64</v>
      </c>
      <c r="B36" s="19" t="n">
        <v>85</v>
      </c>
      <c r="C36" s="19"/>
      <c r="D36" s="19"/>
      <c r="E36" s="19"/>
    </row>
    <row r="37" customFormat="false" ht="15" hidden="false" customHeight="false" outlineLevel="0" collapsed="false">
      <c r="A37" s="22" t="s">
        <v>65</v>
      </c>
      <c r="B37" s="19" t="n">
        <v>70</v>
      </c>
      <c r="C37" s="19"/>
      <c r="D37" s="19"/>
      <c r="E37" s="19"/>
    </row>
    <row r="38" customFormat="false" ht="15" hidden="false" customHeight="false" outlineLevel="0" collapsed="false">
      <c r="A38" s="22" t="s">
        <v>66</v>
      </c>
      <c r="B38" s="19" t="n">
        <v>50</v>
      </c>
      <c r="C38" s="19"/>
      <c r="D38" s="19"/>
      <c r="E38" s="19"/>
      <c r="F38" s="13" t="s">
        <v>67</v>
      </c>
    </row>
    <row r="39" customFormat="false" ht="30" hidden="false" customHeight="true" outlineLevel="0" collapsed="false">
      <c r="A39" s="18" t="s">
        <v>68</v>
      </c>
      <c r="B39" s="20" t="s">
        <v>69</v>
      </c>
      <c r="C39" s="20"/>
      <c r="D39" s="20"/>
      <c r="E39" s="20"/>
    </row>
    <row r="40" customFormat="false" ht="15" hidden="false" customHeight="true" outlineLevel="0" collapsed="false">
      <c r="A40" s="18" t="s">
        <v>70</v>
      </c>
      <c r="B40" s="19" t="s">
        <v>71</v>
      </c>
      <c r="C40" s="19"/>
      <c r="D40" s="19"/>
      <c r="E40" s="19"/>
    </row>
    <row r="43" customFormat="false" ht="43.25" hidden="false" customHeight="false" outlineLevel="0" collapsed="false">
      <c r="A43" s="3" t="s">
        <v>72</v>
      </c>
    </row>
    <row r="44" customFormat="false" ht="15" hidden="false" customHeight="true" outlineLevel="0" collapsed="false">
      <c r="A44" s="4" t="s">
        <v>30</v>
      </c>
      <c r="B44" s="4" t="s">
        <v>73</v>
      </c>
      <c r="C44" s="4"/>
      <c r="D44" s="4"/>
      <c r="E44" s="4"/>
    </row>
    <row r="45" customFormat="false" ht="30" hidden="false" customHeight="true" outlineLevel="0" collapsed="false">
      <c r="A45" s="23" t="str">
        <f aca="false">B19</f>
        <v>다항식</v>
      </c>
      <c r="B45" s="20" t="s">
        <v>74</v>
      </c>
      <c r="C45" s="20"/>
      <c r="D45" s="20"/>
      <c r="E45" s="20"/>
    </row>
    <row r="46" customFormat="false" ht="30" hidden="false" customHeight="true" outlineLevel="0" collapsed="false">
      <c r="A46" s="23" t="str">
        <f aca="false">B20</f>
        <v>방정식과 부등식</v>
      </c>
      <c r="B46" s="20" t="s">
        <v>75</v>
      </c>
      <c r="C46" s="20"/>
      <c r="D46" s="20"/>
      <c r="E46" s="20"/>
    </row>
    <row r="47" customFormat="false" ht="30" hidden="false" customHeight="true" outlineLevel="0" collapsed="false">
      <c r="A47" s="23" t="str">
        <f aca="false">B21</f>
        <v>경우의 수</v>
      </c>
      <c r="B47" s="20" t="s">
        <v>76</v>
      </c>
      <c r="C47" s="20"/>
      <c r="D47" s="20"/>
      <c r="E47" s="20"/>
    </row>
    <row r="48" customFormat="false" ht="30" hidden="false" customHeight="true" outlineLevel="0" collapsed="false">
      <c r="A48" s="23" t="str">
        <f aca="false">B22</f>
        <v>행렬</v>
      </c>
      <c r="B48" s="20" t="s">
        <v>77</v>
      </c>
      <c r="C48" s="20"/>
      <c r="D48" s="20"/>
      <c r="E48" s="20"/>
    </row>
    <row r="49" customFormat="false" ht="30" hidden="false" customHeight="true" outlineLevel="0" collapsed="false">
      <c r="A49" s="23" t="str">
        <f aca="false">B24</f>
        <v>도형의 방정식</v>
      </c>
      <c r="B49" s="20" t="s">
        <v>78</v>
      </c>
      <c r="C49" s="20"/>
      <c r="D49" s="20"/>
      <c r="E49" s="20"/>
    </row>
    <row r="50" customFormat="false" ht="30" hidden="false" customHeight="true" outlineLevel="0" collapsed="false">
      <c r="A50" s="23" t="str">
        <f aca="false">B25</f>
        <v>집합과 명제</v>
      </c>
      <c r="B50" s="20" t="s">
        <v>79</v>
      </c>
      <c r="C50" s="20"/>
      <c r="D50" s="20"/>
      <c r="E50" s="20"/>
    </row>
    <row r="51" customFormat="false" ht="30" hidden="false" customHeight="true" outlineLevel="0" collapsed="false">
      <c r="A51" s="23" t="str">
        <f aca="false">B26</f>
        <v>함수와 그래프</v>
      </c>
      <c r="B51" s="20" t="s">
        <v>80</v>
      </c>
      <c r="C51" s="20"/>
      <c r="D51" s="20"/>
      <c r="E51" s="20"/>
    </row>
    <row r="53" customFormat="false" ht="43.25" hidden="false" customHeight="false" outlineLevel="0" collapsed="false">
      <c r="A53" s="3" t="s">
        <v>81</v>
      </c>
    </row>
    <row r="54" customFormat="false" ht="15" hidden="false" customHeight="true" outlineLevel="0" collapsed="false">
      <c r="A54" s="4" t="s">
        <v>4</v>
      </c>
      <c r="B54" s="4" t="s">
        <v>82</v>
      </c>
      <c r="C54" s="4"/>
      <c r="D54" s="4"/>
      <c r="E54" s="4"/>
    </row>
    <row r="55" customFormat="false" ht="30" hidden="false" customHeight="true" outlineLevel="0" collapsed="false">
      <c r="A55" s="9" t="str">
        <f aca="false">B6</f>
        <v>TF1반</v>
      </c>
      <c r="B55" s="20" t="s">
        <v>83</v>
      </c>
      <c r="C55" s="20"/>
      <c r="D55" s="20"/>
      <c r="E55" s="20"/>
    </row>
    <row r="56" customFormat="false" ht="30" hidden="false" customHeight="true" outlineLevel="0" collapsed="false">
      <c r="A56" s="9" t="str">
        <f aca="false">B7</f>
        <v>TF2반</v>
      </c>
      <c r="B56" s="20" t="s">
        <v>84</v>
      </c>
      <c r="C56" s="20"/>
      <c r="D56" s="20"/>
      <c r="E56" s="20"/>
    </row>
    <row r="57" customFormat="false" ht="30" hidden="false" customHeight="true" outlineLevel="0" collapsed="false">
      <c r="A57" s="9" t="str">
        <f aca="false">B8</f>
        <v>TF3반</v>
      </c>
      <c r="B57" s="20" t="s">
        <v>85</v>
      </c>
      <c r="C57" s="20"/>
      <c r="D57" s="20"/>
      <c r="E57" s="20"/>
    </row>
    <row r="58" customFormat="false" ht="30" hidden="false" customHeight="true" outlineLevel="0" collapsed="false">
      <c r="A58" s="7"/>
      <c r="B58" s="19"/>
      <c r="C58" s="19"/>
      <c r="D58" s="19"/>
      <c r="E58" s="19"/>
      <c r="F58" s="13" t="s">
        <v>86</v>
      </c>
    </row>
    <row r="59" customFormat="false" ht="30" hidden="false" customHeight="true" outlineLevel="0" collapsed="false">
      <c r="A59" s="7"/>
      <c r="B59" s="19"/>
      <c r="C59" s="19"/>
      <c r="D59" s="19"/>
      <c r="E59" s="19"/>
    </row>
    <row r="60" customFormat="false" ht="30" hidden="false" customHeight="true" outlineLevel="0" collapsed="false">
      <c r="A60" s="7"/>
      <c r="B60" s="19"/>
      <c r="C60" s="19"/>
      <c r="D60" s="19"/>
      <c r="E60" s="19"/>
    </row>
  </sheetData>
  <mergeCells count="29">
    <mergeCell ref="A1:F1"/>
    <mergeCell ref="A2:F2"/>
    <mergeCell ref="H5:L9"/>
    <mergeCell ref="C9:F9"/>
    <mergeCell ref="B31:E31"/>
    <mergeCell ref="B32:E32"/>
    <mergeCell ref="B33:E33"/>
    <mergeCell ref="B34:E34"/>
    <mergeCell ref="B35:E35"/>
    <mergeCell ref="B36:E36"/>
    <mergeCell ref="B37:E37"/>
    <mergeCell ref="B38:E38"/>
    <mergeCell ref="B39:E39"/>
    <mergeCell ref="B40:E40"/>
    <mergeCell ref="B44:E44"/>
    <mergeCell ref="B45:E45"/>
    <mergeCell ref="B46:E46"/>
    <mergeCell ref="B47:E47"/>
    <mergeCell ref="B48:E48"/>
    <mergeCell ref="B49:E49"/>
    <mergeCell ref="B50:E50"/>
    <mergeCell ref="B51:E51"/>
    <mergeCell ref="B54:E54"/>
    <mergeCell ref="B55:E55"/>
    <mergeCell ref="B56:E56"/>
    <mergeCell ref="B57:E57"/>
    <mergeCell ref="B58:E58"/>
    <mergeCell ref="B59:E59"/>
    <mergeCell ref="B60:E60"/>
  </mergeCells>
  <dataValidations count="1">
    <dataValidation allowBlank="false" errorStyle="stop" operator="between" showDropDown="false" showErrorMessage="false" showInputMessage="false" sqref="B35" type="list">
      <formula1>"표시,숨김"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4"/>
    <col collapsed="false" customWidth="true" hidden="false" outlineLevel="0" max="4" min="4" style="0" width="8"/>
    <col collapsed="false" customWidth="true" hidden="false" outlineLevel="0" max="5" min="5" style="0" width="12"/>
    <col collapsed="false" customWidth="true" hidden="false" outlineLevel="0" max="6" min="6" style="0" width="30"/>
    <col collapsed="false" customWidth="true" hidden="false" outlineLevel="0" max="7" min="7" style="0" width="16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87</v>
      </c>
      <c r="B1" s="1"/>
      <c r="C1" s="1"/>
      <c r="D1" s="1"/>
      <c r="E1" s="1"/>
      <c r="F1" s="1"/>
      <c r="G1" s="1"/>
      <c r="H1" s="1"/>
    </row>
    <row r="2" customFormat="false" ht="30" hidden="false" customHeight="true" outlineLevel="0" collapsed="false">
      <c r="A2" s="2" t="s">
        <v>88</v>
      </c>
      <c r="B2" s="2"/>
      <c r="C2" s="2"/>
      <c r="D2" s="2"/>
      <c r="E2" s="2"/>
      <c r="F2" s="2"/>
      <c r="G2" s="2"/>
      <c r="H2" s="2"/>
    </row>
    <row r="6" customFormat="false" ht="15" hidden="false" customHeight="false" outlineLevel="0" collapsed="false">
      <c r="A6" s="24" t="s">
        <v>89</v>
      </c>
      <c r="B6" s="4" t="s">
        <v>90</v>
      </c>
      <c r="C6" s="4" t="s">
        <v>91</v>
      </c>
      <c r="D6" s="4" t="s">
        <v>92</v>
      </c>
      <c r="E6" s="4" t="s">
        <v>93</v>
      </c>
      <c r="F6" s="4" t="s">
        <v>94</v>
      </c>
      <c r="G6" s="4" t="s">
        <v>95</v>
      </c>
      <c r="H6" s="4" t="s">
        <v>96</v>
      </c>
    </row>
    <row r="7" customFormat="false" ht="26.85" hidden="false" customHeight="false" outlineLevel="0" collapsed="false">
      <c r="A7" s="6" t="n">
        <v>1</v>
      </c>
      <c r="B7" s="14" t="s">
        <v>97</v>
      </c>
      <c r="C7" s="8" t="s">
        <v>98</v>
      </c>
      <c r="D7" s="14" t="s">
        <v>99</v>
      </c>
      <c r="E7" s="14" t="s">
        <v>100</v>
      </c>
      <c r="F7" s="25" t="s">
        <v>101</v>
      </c>
      <c r="G7" s="8" t="s">
        <v>102</v>
      </c>
      <c r="H7" s="25" t="s">
        <v>103</v>
      </c>
    </row>
    <row r="8" customFormat="false" ht="15" hidden="false" customHeight="false" outlineLevel="0" collapsed="false">
      <c r="A8" s="6" t="n">
        <v>2</v>
      </c>
      <c r="B8" s="8"/>
      <c r="C8" s="8"/>
      <c r="D8" s="14"/>
      <c r="E8" s="8"/>
      <c r="F8" s="25"/>
      <c r="G8" s="8"/>
      <c r="H8" s="25"/>
    </row>
    <row r="9" customFormat="false" ht="15" hidden="false" customHeight="false" outlineLevel="0" collapsed="false">
      <c r="A9" s="6" t="n">
        <v>3</v>
      </c>
      <c r="B9" s="8"/>
      <c r="C9" s="8"/>
      <c r="D9" s="14"/>
      <c r="E9" s="8"/>
      <c r="F9" s="25"/>
      <c r="G9" s="8"/>
      <c r="H9" s="25"/>
    </row>
    <row r="10" customFormat="false" ht="15" hidden="false" customHeight="false" outlineLevel="0" collapsed="false">
      <c r="A10" s="6" t="n">
        <v>4</v>
      </c>
      <c r="B10" s="8"/>
      <c r="C10" s="8"/>
      <c r="D10" s="14"/>
      <c r="E10" s="8"/>
      <c r="F10" s="25"/>
      <c r="G10" s="8"/>
      <c r="H10" s="25"/>
    </row>
    <row r="11" customFormat="false" ht="15" hidden="false" customHeight="false" outlineLevel="0" collapsed="false">
      <c r="A11" s="6" t="n">
        <v>5</v>
      </c>
      <c r="B11" s="8"/>
      <c r="C11" s="8"/>
      <c r="D11" s="14"/>
      <c r="E11" s="8"/>
      <c r="F11" s="25"/>
      <c r="G11" s="8"/>
      <c r="H11" s="25"/>
    </row>
    <row r="12" customFormat="false" ht="15" hidden="false" customHeight="false" outlineLevel="0" collapsed="false">
      <c r="A12" s="6" t="n">
        <v>6</v>
      </c>
      <c r="B12" s="8"/>
      <c r="C12" s="8"/>
      <c r="D12" s="14"/>
      <c r="E12" s="8"/>
      <c r="F12" s="25"/>
      <c r="G12" s="8"/>
      <c r="H12" s="25"/>
    </row>
    <row r="13" customFormat="false" ht="15" hidden="false" customHeight="false" outlineLevel="0" collapsed="false">
      <c r="A13" s="6" t="n">
        <v>7</v>
      </c>
      <c r="B13" s="8"/>
      <c r="C13" s="8"/>
      <c r="D13" s="14"/>
      <c r="E13" s="8"/>
      <c r="F13" s="25"/>
      <c r="G13" s="8"/>
      <c r="H13" s="25"/>
    </row>
    <row r="14" customFormat="false" ht="15" hidden="false" customHeight="false" outlineLevel="0" collapsed="false">
      <c r="A14" s="6" t="n">
        <v>8</v>
      </c>
      <c r="B14" s="8"/>
      <c r="C14" s="8"/>
      <c r="D14" s="14"/>
      <c r="E14" s="8"/>
      <c r="F14" s="25"/>
      <c r="G14" s="8"/>
      <c r="H14" s="25"/>
    </row>
    <row r="15" customFormat="false" ht="15" hidden="false" customHeight="false" outlineLevel="0" collapsed="false">
      <c r="A15" s="6" t="n">
        <v>9</v>
      </c>
      <c r="B15" s="8"/>
      <c r="C15" s="8"/>
      <c r="D15" s="14"/>
      <c r="E15" s="8"/>
      <c r="F15" s="25"/>
      <c r="G15" s="8"/>
      <c r="H15" s="25"/>
    </row>
    <row r="16" customFormat="false" ht="15" hidden="false" customHeight="false" outlineLevel="0" collapsed="false">
      <c r="A16" s="6" t="n">
        <v>10</v>
      </c>
      <c r="B16" s="8"/>
      <c r="C16" s="8"/>
      <c r="D16" s="14"/>
      <c r="E16" s="8"/>
      <c r="F16" s="25"/>
      <c r="G16" s="8"/>
      <c r="H16" s="25"/>
    </row>
    <row r="17" customFormat="false" ht="15" hidden="false" customHeight="false" outlineLevel="0" collapsed="false">
      <c r="A17" s="6" t="n">
        <v>11</v>
      </c>
      <c r="B17" s="8"/>
      <c r="C17" s="8"/>
      <c r="D17" s="14"/>
      <c r="E17" s="8"/>
      <c r="F17" s="25"/>
      <c r="G17" s="8"/>
      <c r="H17" s="25"/>
    </row>
    <row r="18" customFormat="false" ht="15" hidden="false" customHeight="false" outlineLevel="0" collapsed="false">
      <c r="A18" s="6" t="n">
        <v>12</v>
      </c>
      <c r="B18" s="8"/>
      <c r="C18" s="8"/>
      <c r="D18" s="14"/>
      <c r="E18" s="8"/>
      <c r="F18" s="25"/>
      <c r="G18" s="8"/>
      <c r="H18" s="25"/>
    </row>
    <row r="19" customFormat="false" ht="15" hidden="false" customHeight="false" outlineLevel="0" collapsed="false">
      <c r="A19" s="6" t="n">
        <v>13</v>
      </c>
      <c r="B19" s="8"/>
      <c r="C19" s="8"/>
      <c r="D19" s="14"/>
      <c r="E19" s="8"/>
      <c r="F19" s="25"/>
      <c r="G19" s="8"/>
      <c r="H19" s="25"/>
    </row>
    <row r="20" customFormat="false" ht="15" hidden="false" customHeight="false" outlineLevel="0" collapsed="false">
      <c r="A20" s="6" t="n">
        <v>14</v>
      </c>
      <c r="B20" s="8"/>
      <c r="C20" s="8"/>
      <c r="D20" s="14"/>
      <c r="E20" s="8"/>
      <c r="F20" s="25"/>
      <c r="G20" s="8"/>
      <c r="H20" s="25"/>
    </row>
    <row r="21" customFormat="false" ht="15" hidden="false" customHeight="false" outlineLevel="0" collapsed="false">
      <c r="A21" s="6" t="n">
        <v>15</v>
      </c>
      <c r="B21" s="8"/>
      <c r="C21" s="8"/>
      <c r="D21" s="14"/>
      <c r="E21" s="8"/>
      <c r="F21" s="25"/>
      <c r="G21" s="8"/>
      <c r="H21" s="25"/>
    </row>
    <row r="22" customFormat="false" ht="15" hidden="false" customHeight="false" outlineLevel="0" collapsed="false">
      <c r="A22" s="6" t="n">
        <v>16</v>
      </c>
      <c r="B22" s="8"/>
      <c r="C22" s="8"/>
      <c r="D22" s="14"/>
      <c r="E22" s="8"/>
      <c r="F22" s="25"/>
      <c r="G22" s="8"/>
      <c r="H22" s="25"/>
    </row>
    <row r="23" customFormat="false" ht="15" hidden="false" customHeight="false" outlineLevel="0" collapsed="false">
      <c r="A23" s="6" t="n">
        <v>17</v>
      </c>
      <c r="B23" s="8"/>
      <c r="C23" s="8"/>
      <c r="D23" s="14"/>
      <c r="E23" s="8"/>
      <c r="F23" s="25"/>
      <c r="G23" s="8"/>
      <c r="H23" s="25"/>
    </row>
    <row r="24" customFormat="false" ht="15" hidden="false" customHeight="false" outlineLevel="0" collapsed="false">
      <c r="A24" s="6" t="n">
        <v>18</v>
      </c>
      <c r="B24" s="8"/>
      <c r="C24" s="8"/>
      <c r="D24" s="14"/>
      <c r="E24" s="8"/>
      <c r="F24" s="25"/>
      <c r="G24" s="8"/>
      <c r="H24" s="25"/>
    </row>
    <row r="25" customFormat="false" ht="15" hidden="false" customHeight="false" outlineLevel="0" collapsed="false">
      <c r="A25" s="6" t="n">
        <v>19</v>
      </c>
      <c r="B25" s="8"/>
      <c r="C25" s="8"/>
      <c r="D25" s="14"/>
      <c r="E25" s="8"/>
      <c r="F25" s="25"/>
      <c r="G25" s="8"/>
      <c r="H25" s="25"/>
    </row>
    <row r="26" customFormat="false" ht="15" hidden="false" customHeight="false" outlineLevel="0" collapsed="false">
      <c r="A26" s="6" t="n">
        <v>20</v>
      </c>
      <c r="B26" s="8"/>
      <c r="C26" s="8"/>
      <c r="D26" s="14"/>
      <c r="E26" s="8"/>
      <c r="F26" s="25"/>
      <c r="G26" s="8"/>
      <c r="H26" s="25"/>
    </row>
    <row r="27" customFormat="false" ht="15" hidden="false" customHeight="false" outlineLevel="0" collapsed="false">
      <c r="A27" s="6" t="n">
        <v>21</v>
      </c>
      <c r="B27" s="8"/>
      <c r="C27" s="8"/>
      <c r="D27" s="14"/>
      <c r="E27" s="8"/>
      <c r="F27" s="25"/>
      <c r="G27" s="8"/>
      <c r="H27" s="25"/>
    </row>
    <row r="28" customFormat="false" ht="15" hidden="false" customHeight="false" outlineLevel="0" collapsed="false">
      <c r="A28" s="6" t="n">
        <v>22</v>
      </c>
      <c r="B28" s="8"/>
      <c r="C28" s="8"/>
      <c r="D28" s="14"/>
      <c r="E28" s="8"/>
      <c r="F28" s="25"/>
      <c r="G28" s="8"/>
      <c r="H28" s="25"/>
    </row>
    <row r="29" customFormat="false" ht="15" hidden="false" customHeight="false" outlineLevel="0" collapsed="false">
      <c r="A29" s="6" t="n">
        <v>23</v>
      </c>
      <c r="B29" s="8"/>
      <c r="C29" s="8"/>
      <c r="D29" s="14"/>
      <c r="E29" s="8"/>
      <c r="F29" s="25"/>
      <c r="G29" s="8"/>
      <c r="H29" s="25"/>
    </row>
    <row r="30" customFormat="false" ht="15" hidden="false" customHeight="false" outlineLevel="0" collapsed="false">
      <c r="A30" s="6" t="n">
        <v>24</v>
      </c>
      <c r="B30" s="8"/>
      <c r="C30" s="8"/>
      <c r="D30" s="14"/>
      <c r="E30" s="8"/>
      <c r="F30" s="25"/>
      <c r="G30" s="8"/>
      <c r="H30" s="25"/>
    </row>
    <row r="31" customFormat="false" ht="15" hidden="false" customHeight="false" outlineLevel="0" collapsed="false">
      <c r="A31" s="6" t="n">
        <v>25</v>
      </c>
      <c r="B31" s="8"/>
      <c r="C31" s="8"/>
      <c r="D31" s="14"/>
      <c r="E31" s="8"/>
      <c r="F31" s="25"/>
      <c r="G31" s="8"/>
      <c r="H31" s="25"/>
    </row>
    <row r="32" customFormat="false" ht="15" hidden="false" customHeight="false" outlineLevel="0" collapsed="false">
      <c r="A32" s="6" t="n">
        <v>26</v>
      </c>
      <c r="B32" s="8"/>
      <c r="C32" s="8"/>
      <c r="D32" s="14"/>
      <c r="E32" s="8"/>
      <c r="F32" s="25"/>
      <c r="G32" s="8"/>
      <c r="H32" s="25"/>
    </row>
    <row r="33" customFormat="false" ht="15" hidden="false" customHeight="false" outlineLevel="0" collapsed="false">
      <c r="A33" s="6" t="n">
        <v>27</v>
      </c>
      <c r="B33" s="8"/>
      <c r="C33" s="8"/>
      <c r="D33" s="14"/>
      <c r="E33" s="8"/>
      <c r="F33" s="25"/>
      <c r="G33" s="8"/>
      <c r="H33" s="25"/>
    </row>
    <row r="34" customFormat="false" ht="15" hidden="false" customHeight="false" outlineLevel="0" collapsed="false">
      <c r="A34" s="6" t="n">
        <v>28</v>
      </c>
      <c r="B34" s="8"/>
      <c r="C34" s="8"/>
      <c r="D34" s="14"/>
      <c r="E34" s="8"/>
      <c r="F34" s="25"/>
      <c r="G34" s="8"/>
      <c r="H34" s="25"/>
    </row>
    <row r="35" customFormat="false" ht="15" hidden="false" customHeight="false" outlineLevel="0" collapsed="false">
      <c r="A35" s="6" t="n">
        <v>29</v>
      </c>
      <c r="B35" s="8"/>
      <c r="C35" s="8"/>
      <c r="D35" s="14"/>
      <c r="E35" s="8"/>
      <c r="F35" s="25"/>
      <c r="G35" s="8"/>
      <c r="H35" s="25"/>
    </row>
    <row r="36" customFormat="false" ht="15" hidden="false" customHeight="false" outlineLevel="0" collapsed="false">
      <c r="A36" s="6" t="n">
        <v>30</v>
      </c>
      <c r="B36" s="8"/>
      <c r="C36" s="8"/>
      <c r="D36" s="14"/>
      <c r="E36" s="8"/>
      <c r="F36" s="25"/>
      <c r="G36" s="8"/>
      <c r="H36" s="25"/>
    </row>
    <row r="37" customFormat="false" ht="15" hidden="false" customHeight="false" outlineLevel="0" collapsed="false">
      <c r="A37" s="6" t="n">
        <v>31</v>
      </c>
      <c r="B37" s="8"/>
      <c r="C37" s="8"/>
      <c r="D37" s="14"/>
      <c r="E37" s="8"/>
      <c r="F37" s="25"/>
      <c r="G37" s="8"/>
      <c r="H37" s="25"/>
    </row>
    <row r="38" customFormat="false" ht="15" hidden="false" customHeight="false" outlineLevel="0" collapsed="false">
      <c r="A38" s="6" t="n">
        <v>32</v>
      </c>
      <c r="B38" s="8"/>
      <c r="C38" s="8"/>
      <c r="D38" s="14"/>
      <c r="E38" s="8"/>
      <c r="F38" s="25"/>
      <c r="G38" s="8"/>
      <c r="H38" s="25"/>
    </row>
    <row r="39" customFormat="false" ht="15" hidden="false" customHeight="false" outlineLevel="0" collapsed="false">
      <c r="A39" s="6" t="n">
        <v>33</v>
      </c>
      <c r="B39" s="8"/>
      <c r="C39" s="8"/>
      <c r="D39" s="14"/>
      <c r="E39" s="8"/>
      <c r="F39" s="25"/>
      <c r="G39" s="8"/>
      <c r="H39" s="25"/>
    </row>
    <row r="40" customFormat="false" ht="15" hidden="false" customHeight="false" outlineLevel="0" collapsed="false">
      <c r="A40" s="6" t="n">
        <v>34</v>
      </c>
      <c r="B40" s="8"/>
      <c r="C40" s="8"/>
      <c r="D40" s="14"/>
      <c r="E40" s="8"/>
      <c r="F40" s="25"/>
      <c r="G40" s="8"/>
      <c r="H40" s="25"/>
    </row>
    <row r="41" customFormat="false" ht="15" hidden="false" customHeight="false" outlineLevel="0" collapsed="false">
      <c r="A41" s="6" t="n">
        <v>35</v>
      </c>
      <c r="B41" s="8"/>
      <c r="C41" s="8"/>
      <c r="D41" s="14"/>
      <c r="E41" s="8"/>
      <c r="F41" s="25"/>
      <c r="G41" s="8"/>
      <c r="H41" s="25"/>
    </row>
    <row r="42" customFormat="false" ht="15" hidden="false" customHeight="false" outlineLevel="0" collapsed="false">
      <c r="A42" s="6" t="n">
        <v>36</v>
      </c>
      <c r="B42" s="8"/>
      <c r="C42" s="8"/>
      <c r="D42" s="14"/>
      <c r="E42" s="8"/>
      <c r="F42" s="25"/>
      <c r="G42" s="8"/>
      <c r="H42" s="25"/>
    </row>
    <row r="43" customFormat="false" ht="15" hidden="false" customHeight="false" outlineLevel="0" collapsed="false">
      <c r="A43" s="6" t="n">
        <v>37</v>
      </c>
      <c r="B43" s="8"/>
      <c r="C43" s="8"/>
      <c r="D43" s="14"/>
      <c r="E43" s="8"/>
      <c r="F43" s="25"/>
      <c r="G43" s="8"/>
      <c r="H43" s="25"/>
    </row>
    <row r="44" customFormat="false" ht="15" hidden="false" customHeight="false" outlineLevel="0" collapsed="false">
      <c r="A44" s="6" t="n">
        <v>38</v>
      </c>
      <c r="B44" s="8"/>
      <c r="C44" s="8"/>
      <c r="D44" s="14"/>
      <c r="E44" s="8"/>
      <c r="F44" s="25"/>
      <c r="G44" s="8"/>
      <c r="H44" s="25"/>
    </row>
    <row r="45" customFormat="false" ht="15" hidden="false" customHeight="false" outlineLevel="0" collapsed="false">
      <c r="A45" s="6" t="n">
        <v>39</v>
      </c>
      <c r="B45" s="8"/>
      <c r="C45" s="8"/>
      <c r="D45" s="14"/>
      <c r="E45" s="8"/>
      <c r="F45" s="25"/>
      <c r="G45" s="8"/>
      <c r="H45" s="25"/>
    </row>
    <row r="46" customFormat="false" ht="15" hidden="false" customHeight="false" outlineLevel="0" collapsed="false">
      <c r="A46" s="6" t="n">
        <v>40</v>
      </c>
      <c r="B46" s="8"/>
      <c r="C46" s="8"/>
      <c r="D46" s="14"/>
      <c r="E46" s="8"/>
      <c r="F46" s="25"/>
      <c r="G46" s="8"/>
      <c r="H46" s="25"/>
    </row>
    <row r="47" customFormat="false" ht="15" hidden="false" customHeight="false" outlineLevel="0" collapsed="false">
      <c r="A47" s="6" t="n">
        <v>41</v>
      </c>
      <c r="B47" s="8"/>
      <c r="C47" s="8"/>
      <c r="D47" s="14"/>
      <c r="E47" s="8"/>
      <c r="F47" s="25"/>
      <c r="G47" s="8"/>
      <c r="H47" s="25"/>
    </row>
    <row r="48" customFormat="false" ht="15" hidden="false" customHeight="false" outlineLevel="0" collapsed="false">
      <c r="A48" s="6" t="n">
        <v>42</v>
      </c>
      <c r="B48" s="8"/>
      <c r="C48" s="8"/>
      <c r="D48" s="14"/>
      <c r="E48" s="8"/>
      <c r="F48" s="25"/>
      <c r="G48" s="8"/>
      <c r="H48" s="25"/>
    </row>
    <row r="49" customFormat="false" ht="15" hidden="false" customHeight="false" outlineLevel="0" collapsed="false">
      <c r="A49" s="6" t="n">
        <v>43</v>
      </c>
      <c r="B49" s="8"/>
      <c r="C49" s="8"/>
      <c r="D49" s="14"/>
      <c r="E49" s="8"/>
      <c r="F49" s="25"/>
      <c r="G49" s="8"/>
      <c r="H49" s="25"/>
    </row>
    <row r="50" customFormat="false" ht="15" hidden="false" customHeight="false" outlineLevel="0" collapsed="false">
      <c r="A50" s="6" t="n">
        <v>44</v>
      </c>
      <c r="B50" s="8"/>
      <c r="C50" s="8"/>
      <c r="D50" s="14"/>
      <c r="E50" s="8"/>
      <c r="F50" s="25"/>
      <c r="G50" s="8"/>
      <c r="H50" s="25"/>
    </row>
    <row r="51" customFormat="false" ht="15" hidden="false" customHeight="false" outlineLevel="0" collapsed="false">
      <c r="A51" s="6" t="n">
        <v>45</v>
      </c>
      <c r="B51" s="8"/>
      <c r="C51" s="8"/>
      <c r="D51" s="14"/>
      <c r="E51" s="8"/>
      <c r="F51" s="25"/>
      <c r="G51" s="8"/>
      <c r="H51" s="25"/>
    </row>
    <row r="52" customFormat="false" ht="15" hidden="false" customHeight="false" outlineLevel="0" collapsed="false">
      <c r="A52" s="6" t="n">
        <v>46</v>
      </c>
      <c r="B52" s="8"/>
      <c r="C52" s="8"/>
      <c r="D52" s="14"/>
      <c r="E52" s="8"/>
      <c r="F52" s="25"/>
      <c r="G52" s="8"/>
      <c r="H52" s="25"/>
    </row>
    <row r="53" customFormat="false" ht="15" hidden="false" customHeight="false" outlineLevel="0" collapsed="false">
      <c r="A53" s="6" t="n">
        <v>47</v>
      </c>
      <c r="B53" s="8"/>
      <c r="C53" s="8"/>
      <c r="D53" s="14"/>
      <c r="E53" s="8"/>
      <c r="F53" s="25"/>
      <c r="G53" s="8"/>
      <c r="H53" s="25"/>
    </row>
    <row r="54" customFormat="false" ht="15" hidden="false" customHeight="false" outlineLevel="0" collapsed="false">
      <c r="A54" s="6" t="n">
        <v>48</v>
      </c>
      <c r="B54" s="8"/>
      <c r="C54" s="8"/>
      <c r="D54" s="14"/>
      <c r="E54" s="8"/>
      <c r="F54" s="25"/>
      <c r="G54" s="8"/>
      <c r="H54" s="25"/>
    </row>
    <row r="55" customFormat="false" ht="15" hidden="false" customHeight="false" outlineLevel="0" collapsed="false">
      <c r="A55" s="6" t="n">
        <v>49</v>
      </c>
      <c r="B55" s="8"/>
      <c r="C55" s="8"/>
      <c r="D55" s="14"/>
      <c r="E55" s="8"/>
      <c r="F55" s="25"/>
      <c r="G55" s="8"/>
      <c r="H55" s="25"/>
    </row>
    <row r="56" customFormat="false" ht="15" hidden="false" customHeight="false" outlineLevel="0" collapsed="false">
      <c r="A56" s="6" t="n">
        <v>50</v>
      </c>
      <c r="B56" s="8"/>
      <c r="C56" s="8"/>
      <c r="D56" s="14"/>
      <c r="E56" s="8"/>
      <c r="F56" s="25"/>
      <c r="G56" s="8"/>
      <c r="H56" s="25"/>
    </row>
    <row r="57" customFormat="false" ht="15" hidden="false" customHeight="false" outlineLevel="0" collapsed="false">
      <c r="A57" s="6" t="n">
        <v>51</v>
      </c>
      <c r="B57" s="8"/>
      <c r="C57" s="8"/>
      <c r="D57" s="14"/>
      <c r="E57" s="8"/>
      <c r="F57" s="25"/>
      <c r="G57" s="8"/>
      <c r="H57" s="25"/>
    </row>
    <row r="58" customFormat="false" ht="15" hidden="false" customHeight="false" outlineLevel="0" collapsed="false">
      <c r="A58" s="6" t="n">
        <v>52</v>
      </c>
      <c r="B58" s="8"/>
      <c r="C58" s="8"/>
      <c r="D58" s="14"/>
      <c r="E58" s="8"/>
      <c r="F58" s="25"/>
      <c r="G58" s="8"/>
      <c r="H58" s="25"/>
    </row>
    <row r="59" customFormat="false" ht="15" hidden="false" customHeight="false" outlineLevel="0" collapsed="false">
      <c r="A59" s="6" t="n">
        <v>53</v>
      </c>
      <c r="B59" s="8"/>
      <c r="C59" s="8"/>
      <c r="D59" s="14"/>
      <c r="E59" s="8"/>
      <c r="F59" s="25"/>
      <c r="G59" s="8"/>
      <c r="H59" s="25"/>
    </row>
    <row r="60" customFormat="false" ht="15" hidden="false" customHeight="false" outlineLevel="0" collapsed="false">
      <c r="A60" s="6" t="n">
        <v>54</v>
      </c>
      <c r="B60" s="8"/>
      <c r="C60" s="8"/>
      <c r="D60" s="14"/>
      <c r="E60" s="8"/>
      <c r="F60" s="25"/>
      <c r="G60" s="8"/>
      <c r="H60" s="25"/>
    </row>
    <row r="61" customFormat="false" ht="15" hidden="false" customHeight="false" outlineLevel="0" collapsed="false">
      <c r="A61" s="6" t="n">
        <v>55</v>
      </c>
      <c r="B61" s="8"/>
      <c r="C61" s="8"/>
      <c r="D61" s="14"/>
      <c r="E61" s="8"/>
      <c r="F61" s="25"/>
      <c r="G61" s="8"/>
      <c r="H61" s="25"/>
    </row>
    <row r="62" customFormat="false" ht="15" hidden="false" customHeight="false" outlineLevel="0" collapsed="false">
      <c r="A62" s="6" t="n">
        <v>56</v>
      </c>
      <c r="B62" s="8"/>
      <c r="C62" s="8"/>
      <c r="D62" s="14"/>
      <c r="E62" s="8"/>
      <c r="F62" s="25"/>
      <c r="G62" s="8"/>
      <c r="H62" s="25"/>
    </row>
    <row r="63" customFormat="false" ht="15" hidden="false" customHeight="false" outlineLevel="0" collapsed="false">
      <c r="A63" s="6" t="n">
        <v>57</v>
      </c>
      <c r="B63" s="8"/>
      <c r="C63" s="8"/>
      <c r="D63" s="14"/>
      <c r="E63" s="8"/>
      <c r="F63" s="25"/>
      <c r="G63" s="8"/>
      <c r="H63" s="25"/>
    </row>
    <row r="64" customFormat="false" ht="15" hidden="false" customHeight="false" outlineLevel="0" collapsed="false">
      <c r="A64" s="6" t="n">
        <v>58</v>
      </c>
      <c r="B64" s="8"/>
      <c r="C64" s="8"/>
      <c r="D64" s="14"/>
      <c r="E64" s="8"/>
      <c r="F64" s="25"/>
      <c r="G64" s="8"/>
      <c r="H64" s="25"/>
    </row>
    <row r="65" customFormat="false" ht="15" hidden="false" customHeight="false" outlineLevel="0" collapsed="false">
      <c r="A65" s="6" t="n">
        <v>59</v>
      </c>
      <c r="B65" s="8"/>
      <c r="C65" s="8"/>
      <c r="D65" s="14"/>
      <c r="E65" s="8"/>
      <c r="F65" s="25"/>
      <c r="G65" s="8"/>
      <c r="H65" s="25"/>
    </row>
    <row r="66" customFormat="false" ht="15" hidden="false" customHeight="false" outlineLevel="0" collapsed="false">
      <c r="A66" s="6" t="n">
        <v>60</v>
      </c>
      <c r="B66" s="8"/>
      <c r="C66" s="8"/>
      <c r="D66" s="14"/>
      <c r="E66" s="8"/>
      <c r="F66" s="25"/>
      <c r="G66" s="8"/>
      <c r="H66" s="25"/>
    </row>
    <row r="67" customFormat="false" ht="15" hidden="false" customHeight="false" outlineLevel="0" collapsed="false">
      <c r="A67" s="6" t="n">
        <v>61</v>
      </c>
      <c r="B67" s="8"/>
      <c r="C67" s="8"/>
      <c r="D67" s="14"/>
      <c r="E67" s="8"/>
      <c r="F67" s="25"/>
      <c r="G67" s="8"/>
      <c r="H67" s="25"/>
    </row>
    <row r="68" customFormat="false" ht="15" hidden="false" customHeight="false" outlineLevel="0" collapsed="false">
      <c r="A68" s="6" t="n">
        <v>62</v>
      </c>
      <c r="B68" s="8"/>
      <c r="C68" s="8"/>
      <c r="D68" s="14"/>
      <c r="E68" s="8"/>
      <c r="F68" s="25"/>
      <c r="G68" s="8"/>
      <c r="H68" s="25"/>
    </row>
    <row r="69" customFormat="false" ht="15" hidden="false" customHeight="false" outlineLevel="0" collapsed="false">
      <c r="A69" s="6" t="n">
        <v>63</v>
      </c>
      <c r="B69" s="8"/>
      <c r="C69" s="8"/>
      <c r="D69" s="14"/>
      <c r="E69" s="8"/>
      <c r="F69" s="25"/>
      <c r="G69" s="8"/>
      <c r="H69" s="25"/>
    </row>
    <row r="70" customFormat="false" ht="15" hidden="false" customHeight="false" outlineLevel="0" collapsed="false">
      <c r="A70" s="6" t="n">
        <v>64</v>
      </c>
      <c r="B70" s="8"/>
      <c r="C70" s="8"/>
      <c r="D70" s="14"/>
      <c r="E70" s="8"/>
      <c r="F70" s="25"/>
      <c r="G70" s="8"/>
      <c r="H70" s="25"/>
    </row>
    <row r="71" customFormat="false" ht="15" hidden="false" customHeight="false" outlineLevel="0" collapsed="false">
      <c r="A71" s="6" t="n">
        <v>65</v>
      </c>
      <c r="B71" s="8"/>
      <c r="C71" s="8"/>
      <c r="D71" s="14"/>
      <c r="E71" s="8"/>
      <c r="F71" s="25"/>
      <c r="G71" s="8"/>
      <c r="H71" s="25"/>
    </row>
    <row r="72" customFormat="false" ht="15" hidden="false" customHeight="false" outlineLevel="0" collapsed="false">
      <c r="A72" s="6" t="n">
        <v>66</v>
      </c>
      <c r="B72" s="8"/>
      <c r="C72" s="8"/>
      <c r="D72" s="14"/>
      <c r="E72" s="8"/>
      <c r="F72" s="25"/>
      <c r="G72" s="8"/>
      <c r="H72" s="25"/>
    </row>
    <row r="73" customFormat="false" ht="15" hidden="false" customHeight="false" outlineLevel="0" collapsed="false">
      <c r="A73" s="6" t="n">
        <v>67</v>
      </c>
      <c r="B73" s="8"/>
      <c r="C73" s="8"/>
      <c r="D73" s="14"/>
      <c r="E73" s="8"/>
      <c r="F73" s="25"/>
      <c r="G73" s="8"/>
      <c r="H73" s="25"/>
    </row>
    <row r="74" customFormat="false" ht="15" hidden="false" customHeight="false" outlineLevel="0" collapsed="false">
      <c r="A74" s="6" t="n">
        <v>68</v>
      </c>
      <c r="B74" s="8"/>
      <c r="C74" s="8"/>
      <c r="D74" s="14"/>
      <c r="E74" s="8"/>
      <c r="F74" s="25"/>
      <c r="G74" s="8"/>
      <c r="H74" s="25"/>
    </row>
    <row r="75" customFormat="false" ht="15" hidden="false" customHeight="false" outlineLevel="0" collapsed="false">
      <c r="A75" s="6" t="n">
        <v>69</v>
      </c>
      <c r="B75" s="8"/>
      <c r="C75" s="8"/>
      <c r="D75" s="14"/>
      <c r="E75" s="8"/>
      <c r="F75" s="25"/>
      <c r="G75" s="8"/>
      <c r="H75" s="25"/>
    </row>
    <row r="76" customFormat="false" ht="15" hidden="false" customHeight="false" outlineLevel="0" collapsed="false">
      <c r="A76" s="6" t="n">
        <v>70</v>
      </c>
      <c r="B76" s="8"/>
      <c r="C76" s="8"/>
      <c r="D76" s="14"/>
      <c r="E76" s="8"/>
      <c r="F76" s="25"/>
      <c r="G76" s="8"/>
      <c r="H76" s="25"/>
    </row>
    <row r="77" customFormat="false" ht="15" hidden="false" customHeight="false" outlineLevel="0" collapsed="false">
      <c r="A77" s="6" t="n">
        <v>71</v>
      </c>
      <c r="B77" s="8"/>
      <c r="C77" s="8"/>
      <c r="D77" s="14"/>
      <c r="E77" s="8"/>
      <c r="F77" s="25"/>
      <c r="G77" s="8"/>
      <c r="H77" s="25"/>
    </row>
    <row r="78" customFormat="false" ht="15" hidden="false" customHeight="false" outlineLevel="0" collapsed="false">
      <c r="A78" s="6" t="n">
        <v>72</v>
      </c>
      <c r="B78" s="8"/>
      <c r="C78" s="8"/>
      <c r="D78" s="14"/>
      <c r="E78" s="8"/>
      <c r="F78" s="25"/>
      <c r="G78" s="8"/>
      <c r="H78" s="25"/>
    </row>
    <row r="79" customFormat="false" ht="15" hidden="false" customHeight="false" outlineLevel="0" collapsed="false">
      <c r="A79" s="6" t="n">
        <v>73</v>
      </c>
      <c r="B79" s="8"/>
      <c r="C79" s="8"/>
      <c r="D79" s="14"/>
      <c r="E79" s="8"/>
      <c r="F79" s="25"/>
      <c r="G79" s="8"/>
      <c r="H79" s="25"/>
    </row>
    <row r="80" customFormat="false" ht="15" hidden="false" customHeight="false" outlineLevel="0" collapsed="false">
      <c r="A80" s="6" t="n">
        <v>74</v>
      </c>
      <c r="B80" s="8"/>
      <c r="C80" s="8"/>
      <c r="D80" s="14"/>
      <c r="E80" s="8"/>
      <c r="F80" s="25"/>
      <c r="G80" s="8"/>
      <c r="H80" s="25"/>
    </row>
    <row r="81" customFormat="false" ht="15" hidden="false" customHeight="false" outlineLevel="0" collapsed="false">
      <c r="A81" s="6" t="n">
        <v>75</v>
      </c>
      <c r="B81" s="8"/>
      <c r="C81" s="8"/>
      <c r="D81" s="14"/>
      <c r="E81" s="8"/>
      <c r="F81" s="25"/>
      <c r="G81" s="8"/>
      <c r="H81" s="25"/>
    </row>
    <row r="82" customFormat="false" ht="15" hidden="false" customHeight="false" outlineLevel="0" collapsed="false">
      <c r="A82" s="6" t="n">
        <v>76</v>
      </c>
      <c r="B82" s="8"/>
      <c r="C82" s="8"/>
      <c r="D82" s="14"/>
      <c r="E82" s="8"/>
      <c r="F82" s="25"/>
      <c r="G82" s="8"/>
      <c r="H82" s="25"/>
    </row>
    <row r="83" customFormat="false" ht="15" hidden="false" customHeight="false" outlineLevel="0" collapsed="false">
      <c r="A83" s="6" t="n">
        <v>77</v>
      </c>
      <c r="B83" s="8"/>
      <c r="C83" s="8"/>
      <c r="D83" s="14"/>
      <c r="E83" s="8"/>
      <c r="F83" s="25"/>
      <c r="G83" s="8"/>
      <c r="H83" s="25"/>
    </row>
    <row r="84" customFormat="false" ht="15" hidden="false" customHeight="false" outlineLevel="0" collapsed="false">
      <c r="A84" s="6" t="n">
        <v>78</v>
      </c>
      <c r="B84" s="8"/>
      <c r="C84" s="8"/>
      <c r="D84" s="14"/>
      <c r="E84" s="8"/>
      <c r="F84" s="25"/>
      <c r="G84" s="8"/>
      <c r="H84" s="25"/>
    </row>
    <row r="85" customFormat="false" ht="15" hidden="false" customHeight="false" outlineLevel="0" collapsed="false">
      <c r="A85" s="6" t="n">
        <v>79</v>
      </c>
      <c r="B85" s="8"/>
      <c r="C85" s="8"/>
      <c r="D85" s="14"/>
      <c r="E85" s="8"/>
      <c r="F85" s="25"/>
      <c r="G85" s="8"/>
      <c r="H85" s="25"/>
    </row>
    <row r="86" customFormat="false" ht="15" hidden="false" customHeight="false" outlineLevel="0" collapsed="false">
      <c r="A86" s="6" t="n">
        <v>80</v>
      </c>
      <c r="B86" s="8"/>
      <c r="C86" s="8"/>
      <c r="D86" s="14"/>
      <c r="E86" s="8"/>
      <c r="F86" s="25"/>
      <c r="G86" s="8"/>
      <c r="H86" s="25"/>
    </row>
  </sheetData>
  <mergeCells count="2">
    <mergeCell ref="A1:H1"/>
    <mergeCell ref="A2:H2"/>
  </mergeCells>
  <dataValidations count="1">
    <dataValidation allowBlank="true" errorStyle="stop" operator="between" showDropDown="false" showErrorMessage="false" showInputMessage="false" sqref="D7:D86" type="list">
      <formula1>"재원,외부"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C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9" min="26" style="0" width="10"/>
  </cols>
  <sheetData>
    <row r="1" customFormat="false" ht="33.75" hidden="false" customHeight="true" outlineLevel="0" collapsed="false">
      <c r="A1" s="1" t="s">
        <v>104</v>
      </c>
      <c r="B1" s="1"/>
      <c r="C1" s="1"/>
      <c r="D1" s="5" t="s">
        <v>105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customFormat="false" ht="15" hidden="false" customHeight="true" outlineLevel="0" collapsed="false">
      <c r="A2" s="26" t="s">
        <v>106</v>
      </c>
      <c r="B2" s="26"/>
      <c r="C2" s="26"/>
      <c r="D2" s="27" t="n">
        <v>4</v>
      </c>
      <c r="E2" s="27" t="n">
        <v>2</v>
      </c>
      <c r="F2" s="27" t="n">
        <v>3</v>
      </c>
      <c r="G2" s="27" t="n">
        <v>5</v>
      </c>
      <c r="H2" s="27" t="n">
        <v>1</v>
      </c>
      <c r="I2" s="27" t="n">
        <v>3</v>
      </c>
      <c r="J2" s="27" t="n">
        <v>4</v>
      </c>
      <c r="K2" s="27" t="n">
        <v>2</v>
      </c>
      <c r="L2" s="27" t="n">
        <v>5</v>
      </c>
      <c r="M2" s="27" t="n">
        <v>1</v>
      </c>
      <c r="N2" s="27" t="n">
        <v>4</v>
      </c>
      <c r="O2" s="27" t="n">
        <v>3</v>
      </c>
      <c r="P2" s="27" t="n">
        <v>2</v>
      </c>
      <c r="Q2" s="27" t="n">
        <v>5</v>
      </c>
      <c r="R2" s="27" t="n">
        <v>69</v>
      </c>
      <c r="S2" s="27" t="n">
        <v>136</v>
      </c>
      <c r="T2" s="27" t="n">
        <v>120</v>
      </c>
      <c r="U2" s="27" t="n">
        <v>16</v>
      </c>
      <c r="V2" s="27" t="n">
        <v>76</v>
      </c>
      <c r="W2" s="27" t="n">
        <v>15</v>
      </c>
    </row>
    <row r="3" customFormat="false" ht="15" hidden="false" customHeight="true" outlineLevel="0" collapsed="false">
      <c r="A3" s="26" t="s">
        <v>107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15</v>
      </c>
      <c r="AA3" s="23" t="n">
        <f aca="false">SUMIF($D$4:$W$4,AA$6,$D$3:$W$3)</f>
        <v>49</v>
      </c>
      <c r="AB3" s="23" t="n">
        <f aca="false">SUMIF($D$4:$W$4,AB$6,$D$3:$W$3)</f>
        <v>23</v>
      </c>
      <c r="AC3" s="23" t="n">
        <f aca="false">SUMIF($D$4:$W$4,AC$6,$D$3:$W$3)</f>
        <v>13</v>
      </c>
    </row>
    <row r="4" customFormat="false" ht="42" hidden="false" customHeight="true" outlineLevel="0" collapsed="false">
      <c r="A4" s="26" t="s">
        <v>108</v>
      </c>
      <c r="B4" s="26"/>
      <c r="C4" s="26"/>
      <c r="D4" s="29" t="s">
        <v>35</v>
      </c>
      <c r="E4" s="29" t="s">
        <v>41</v>
      </c>
      <c r="F4" s="29" t="s">
        <v>37</v>
      </c>
      <c r="G4" s="29" t="s">
        <v>37</v>
      </c>
      <c r="H4" s="29" t="s">
        <v>35</v>
      </c>
      <c r="I4" s="29" t="s">
        <v>41</v>
      </c>
      <c r="J4" s="29" t="s">
        <v>37</v>
      </c>
      <c r="K4" s="29" t="s">
        <v>37</v>
      </c>
      <c r="L4" s="29" t="s">
        <v>39</v>
      </c>
      <c r="M4" s="29" t="s">
        <v>37</v>
      </c>
      <c r="N4" s="29" t="s">
        <v>39</v>
      </c>
      <c r="O4" s="29" t="s">
        <v>37</v>
      </c>
      <c r="P4" s="29" t="s">
        <v>39</v>
      </c>
      <c r="Q4" s="29" t="s">
        <v>37</v>
      </c>
      <c r="R4" s="29" t="s">
        <v>37</v>
      </c>
      <c r="S4" s="29" t="s">
        <v>37</v>
      </c>
      <c r="T4" s="29" t="s">
        <v>39</v>
      </c>
      <c r="U4" s="29" t="s">
        <v>37</v>
      </c>
      <c r="V4" s="29" t="s">
        <v>41</v>
      </c>
      <c r="W4" s="29" t="s">
        <v>35</v>
      </c>
    </row>
    <row r="5" customFormat="false" ht="22.35" hidden="false" customHeight="true" outlineLevel="0" collapsed="false">
      <c r="A5" s="26" t="s">
        <v>109</v>
      </c>
      <c r="B5" s="26"/>
      <c r="C5" s="26"/>
      <c r="D5" s="14" t="s">
        <v>110</v>
      </c>
      <c r="E5" s="14" t="s">
        <v>110</v>
      </c>
      <c r="F5" s="14" t="s">
        <v>110</v>
      </c>
      <c r="G5" s="14" t="s">
        <v>111</v>
      </c>
      <c r="H5" s="14" t="s">
        <v>111</v>
      </c>
      <c r="I5" s="14" t="s">
        <v>111</v>
      </c>
      <c r="J5" s="14" t="s">
        <v>112</v>
      </c>
      <c r="K5" s="14" t="s">
        <v>112</v>
      </c>
      <c r="L5" s="14" t="s">
        <v>112</v>
      </c>
      <c r="M5" s="14" t="s">
        <v>113</v>
      </c>
      <c r="N5" s="14" t="s">
        <v>113</v>
      </c>
      <c r="O5" s="14" t="s">
        <v>114</v>
      </c>
      <c r="P5" s="14" t="s">
        <v>114</v>
      </c>
      <c r="Q5" s="14" t="s">
        <v>115</v>
      </c>
      <c r="R5" s="14" t="s">
        <v>110</v>
      </c>
      <c r="S5" s="14" t="s">
        <v>111</v>
      </c>
      <c r="T5" s="14" t="s">
        <v>112</v>
      </c>
      <c r="U5" s="14" t="s">
        <v>112</v>
      </c>
      <c r="V5" s="14" t="s">
        <v>113</v>
      </c>
      <c r="W5" s="14" t="s">
        <v>115</v>
      </c>
      <c r="X5" s="30" t="s">
        <v>116</v>
      </c>
      <c r="Y5" s="30" t="s">
        <v>117</v>
      </c>
      <c r="Z5" s="30" t="s">
        <v>117</v>
      </c>
      <c r="AA5" s="30" t="s">
        <v>117</v>
      </c>
      <c r="AB5" s="30" t="s">
        <v>117</v>
      </c>
      <c r="AC5" s="30" t="s">
        <v>117</v>
      </c>
    </row>
    <row r="6" customFormat="false" ht="30" hidden="false" customHeight="true" outlineLevel="0" collapsed="false">
      <c r="A6" s="24" t="s">
        <v>89</v>
      </c>
      <c r="B6" s="4" t="s">
        <v>90</v>
      </c>
      <c r="C6" s="4" t="s">
        <v>91</v>
      </c>
      <c r="D6" s="31" t="s">
        <v>118</v>
      </c>
      <c r="E6" s="31" t="s">
        <v>119</v>
      </c>
      <c r="F6" s="31" t="s">
        <v>120</v>
      </c>
      <c r="G6" s="31" t="s">
        <v>121</v>
      </c>
      <c r="H6" s="31" t="s">
        <v>122</v>
      </c>
      <c r="I6" s="31" t="s">
        <v>123</v>
      </c>
      <c r="J6" s="31" t="s">
        <v>124</v>
      </c>
      <c r="K6" s="31" t="s">
        <v>125</v>
      </c>
      <c r="L6" s="31" t="s">
        <v>126</v>
      </c>
      <c r="M6" s="31" t="s">
        <v>127</v>
      </c>
      <c r="N6" s="31" t="s">
        <v>128</v>
      </c>
      <c r="O6" s="31" t="s">
        <v>129</v>
      </c>
      <c r="P6" s="31" t="s">
        <v>130</v>
      </c>
      <c r="Q6" s="31" t="s">
        <v>131</v>
      </c>
      <c r="R6" s="32" t="s">
        <v>132</v>
      </c>
      <c r="S6" s="32" t="s">
        <v>133</v>
      </c>
      <c r="T6" s="32" t="s">
        <v>134</v>
      </c>
      <c r="U6" s="32" t="s">
        <v>135</v>
      </c>
      <c r="V6" s="32" t="s">
        <v>136</v>
      </c>
      <c r="W6" s="32" t="s">
        <v>137</v>
      </c>
      <c r="X6" s="4" t="s">
        <v>138</v>
      </c>
      <c r="Y6" s="4" t="s">
        <v>139</v>
      </c>
      <c r="Z6" s="33" t="str">
        <f aca="false">설정!B19</f>
        <v>다항식</v>
      </c>
      <c r="AA6" s="33" t="str">
        <f aca="false">설정!B20</f>
        <v>방정식과 부등식</v>
      </c>
      <c r="AB6" s="33" t="str">
        <f aca="false">설정!B21</f>
        <v>경우의 수</v>
      </c>
      <c r="AC6" s="33" t="str">
        <f aca="false">설정!B22</f>
        <v>행렬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  <c r="AC7" s="15" t="str">
        <f aca="false">IF($Y7="","",SUMPRODUCT(($D7:$W7=$D$2:$W$2)*($D7:$W7&lt;&gt;"")*$D$3:$W$3*($D$4:$W$4=AC$6)))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  <c r="AC8" s="15" t="str">
        <f aca="false">IF($Y8="","",SUMPRODUCT(($D8:$W8=$D$2:$W$2)*($D8:$W8&lt;&gt;"")*$D$3:$W$3*($D$4:$W$4=AC$6)))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  <c r="AC9" s="15" t="str">
        <f aca="false">IF($Y9="","",SUMPRODUCT(($D9:$W9=$D$2:$W$2)*($D9:$W9&lt;&gt;"")*$D$3:$W$3*($D$4:$W$4=AC$6)))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  <c r="AC10" s="15" t="str">
        <f aca="false">IF($Y10="","",SUMPRODUCT(($D10:$W10=$D$2:$W$2)*($D10:$W10&lt;&gt;"")*$D$3:$W$3*($D$4:$W$4=AC$6)))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  <c r="AC11" s="15" t="str">
        <f aca="false">IF($Y11="","",SUMPRODUCT(($D11:$W11=$D$2:$W$2)*($D11:$W11&lt;&gt;"")*$D$3:$W$3*($D$4:$W$4=AC$6)))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  <c r="AC12" s="15" t="str">
        <f aca="false">IF($Y12="","",SUMPRODUCT(($D12:$W12=$D$2:$W$2)*($D12:$W12&lt;&gt;"")*$D$3:$W$3*($D$4:$W$4=AC$6)))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  <c r="AC13" s="15" t="str">
        <f aca="false">IF($Y13="","",SUMPRODUCT(($D13:$W13=$D$2:$W$2)*($D13:$W13&lt;&gt;"")*$D$3:$W$3*($D$4:$W$4=AC$6)))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  <c r="AC14" s="15" t="str">
        <f aca="false">IF($Y14="","",SUMPRODUCT(($D14:$W14=$D$2:$W$2)*($D14:$W14&lt;&gt;"")*$D$3:$W$3*($D$4:$W$4=AC$6)))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  <c r="AC15" s="15" t="str">
        <f aca="false">IF($Y15="","",SUMPRODUCT(($D15:$W15=$D$2:$W$2)*($D15:$W15&lt;&gt;"")*$D$3:$W$3*($D$4:$W$4=AC$6)))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  <c r="AC16" s="15" t="str">
        <f aca="false">IF($Y16="","",SUMPRODUCT(($D16:$W16=$D$2:$W$2)*($D16:$W16&lt;&gt;"")*$D$3:$W$3*($D$4:$W$4=AC$6)))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  <c r="AC17" s="15" t="str">
        <f aca="false">IF($Y17="","",SUMPRODUCT(($D17:$W17=$D$2:$W$2)*($D17:$W17&lt;&gt;"")*$D$3:$W$3*($D$4:$W$4=AC$6)))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  <c r="AC18" s="15" t="str">
        <f aca="false">IF($Y18="","",SUMPRODUCT(($D18:$W18=$D$2:$W$2)*($D18:$W18&lt;&gt;"")*$D$3:$W$3*($D$4:$W$4=AC$6)))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  <c r="AC19" s="15" t="str">
        <f aca="false">IF($Y19="","",SUMPRODUCT(($D19:$W19=$D$2:$W$2)*($D19:$W19&lt;&gt;"")*$D$3:$W$3*($D$4:$W$4=AC$6)))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  <c r="AC20" s="15" t="str">
        <f aca="false">IF($Y20="","",SUMPRODUCT(($D20:$W20=$D$2:$W$2)*($D20:$W20&lt;&gt;"")*$D$3:$W$3*($D$4:$W$4=AC$6)))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  <c r="AC21" s="15" t="str">
        <f aca="false">IF($Y21="","",SUMPRODUCT(($D21:$W21=$D$2:$W$2)*($D21:$W21&lt;&gt;"")*$D$3:$W$3*($D$4:$W$4=AC$6)))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  <c r="AC22" s="15" t="str">
        <f aca="false">IF($Y22="","",SUMPRODUCT(($D22:$W22=$D$2:$W$2)*($D22:$W22&lt;&gt;"")*$D$3:$W$3*($D$4:$W$4=AC$6)))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  <c r="AC23" s="15" t="str">
        <f aca="false">IF($Y23="","",SUMPRODUCT(($D23:$W23=$D$2:$W$2)*($D23:$W23&lt;&gt;"")*$D$3:$W$3*($D$4:$W$4=AC$6)))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  <c r="AC24" s="15" t="str">
        <f aca="false">IF($Y24="","",SUMPRODUCT(($D24:$W24=$D$2:$W$2)*($D24:$W24&lt;&gt;"")*$D$3:$W$3*($D$4:$W$4=AC$6)))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  <c r="AC25" s="15" t="str">
        <f aca="false">IF($Y25="","",SUMPRODUCT(($D25:$W25=$D$2:$W$2)*($D25:$W25&lt;&gt;"")*$D$3:$W$3*($D$4:$W$4=AC$6)))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  <c r="AC26" s="15" t="str">
        <f aca="false">IF($Y26="","",SUMPRODUCT(($D26:$W26=$D$2:$W$2)*($D26:$W26&lt;&gt;"")*$D$3:$W$3*($D$4:$W$4=AC$6)))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  <c r="AC27" s="15" t="str">
        <f aca="false">IF($Y27="","",SUMPRODUCT(($D27:$W27=$D$2:$W$2)*($D27:$W27&lt;&gt;"")*$D$3:$W$3*($D$4:$W$4=AC$6)))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  <c r="AC28" s="15" t="str">
        <f aca="false">IF($Y28="","",SUMPRODUCT(($D28:$W28=$D$2:$W$2)*($D28:$W28&lt;&gt;"")*$D$3:$W$3*($D$4:$W$4=AC$6)))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  <c r="AC29" s="15" t="str">
        <f aca="false">IF($Y29="","",SUMPRODUCT(($D29:$W29=$D$2:$W$2)*($D29:$W29&lt;&gt;"")*$D$3:$W$3*($D$4:$W$4=AC$6)))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  <c r="AC30" s="15" t="str">
        <f aca="false">IF($Y30="","",SUMPRODUCT(($D30:$W30=$D$2:$W$2)*($D30:$W30&lt;&gt;"")*$D$3:$W$3*($D$4:$W$4=AC$6)))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  <c r="AC31" s="15" t="str">
        <f aca="false">IF($Y31="","",SUMPRODUCT(($D31:$W31=$D$2:$W$2)*($D31:$W31&lt;&gt;"")*$D$3:$W$3*($D$4:$W$4=AC$6)))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  <c r="AC32" s="15" t="str">
        <f aca="false">IF($Y32="","",SUMPRODUCT(($D32:$W32=$D$2:$W$2)*($D32:$W32&lt;&gt;"")*$D$3:$W$3*($D$4:$W$4=AC$6)))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  <c r="AC33" s="15" t="str">
        <f aca="false">IF($Y33="","",SUMPRODUCT(($D33:$W33=$D$2:$W$2)*($D33:$W33&lt;&gt;"")*$D$3:$W$3*($D$4:$W$4=AC$6)))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  <c r="AC34" s="15" t="str">
        <f aca="false">IF($Y34="","",SUMPRODUCT(($D34:$W34=$D$2:$W$2)*($D34:$W34&lt;&gt;"")*$D$3:$W$3*($D$4:$W$4=AC$6)))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  <c r="AC35" s="15" t="str">
        <f aca="false">IF($Y35="","",SUMPRODUCT(($D35:$W35=$D$2:$W$2)*($D35:$W35&lt;&gt;"")*$D$3:$W$3*($D$4:$W$4=AC$6)))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  <c r="AC36" s="15" t="str">
        <f aca="false">IF($Y36="","",SUMPRODUCT(($D36:$W36=$D$2:$W$2)*($D36:$W36&lt;&gt;"")*$D$3:$W$3*($D$4:$W$4=AC$6)))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  <c r="AC37" s="15" t="str">
        <f aca="false">IF($Y37="","",SUMPRODUCT(($D37:$W37=$D$2:$W$2)*($D37:$W37&lt;&gt;"")*$D$3:$W$3*($D$4:$W$4=AC$6)))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  <c r="AC38" s="15" t="str">
        <f aca="false">IF($Y38="","",SUMPRODUCT(($D38:$W38=$D$2:$W$2)*($D38:$W38&lt;&gt;"")*$D$3:$W$3*($D$4:$W$4=AC$6)))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  <c r="AC39" s="15" t="str">
        <f aca="false">IF($Y39="","",SUMPRODUCT(($D39:$W39=$D$2:$W$2)*($D39:$W39&lt;&gt;"")*$D$3:$W$3*($D$4:$W$4=AC$6)))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  <c r="AC40" s="15" t="str">
        <f aca="false">IF($Y40="","",SUMPRODUCT(($D40:$W40=$D$2:$W$2)*($D40:$W40&lt;&gt;"")*$D$3:$W$3*($D$4:$W$4=AC$6)))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  <c r="AC41" s="15" t="str">
        <f aca="false">IF($Y41="","",SUMPRODUCT(($D41:$W41=$D$2:$W$2)*($D41:$W41&lt;&gt;"")*$D$3:$W$3*($D$4:$W$4=AC$6)))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  <c r="AC42" s="15" t="str">
        <f aca="false">IF($Y42="","",SUMPRODUCT(($D42:$W42=$D$2:$W$2)*($D42:$W42&lt;&gt;"")*$D$3:$W$3*($D$4:$W$4=AC$6)))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  <c r="AC43" s="15" t="str">
        <f aca="false">IF($Y43="","",SUMPRODUCT(($D43:$W43=$D$2:$W$2)*($D43:$W43&lt;&gt;"")*$D$3:$W$3*($D$4:$W$4=AC$6)))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  <c r="AC44" s="15" t="str">
        <f aca="false">IF($Y44="","",SUMPRODUCT(($D44:$W44=$D$2:$W$2)*($D44:$W44&lt;&gt;"")*$D$3:$W$3*($D$4:$W$4=AC$6)))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  <c r="AC45" s="15" t="str">
        <f aca="false">IF($Y45="","",SUMPRODUCT(($D45:$W45=$D$2:$W$2)*($D45:$W45&lt;&gt;"")*$D$3:$W$3*($D$4:$W$4=AC$6)))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  <c r="AC46" s="15" t="str">
        <f aca="false">IF($Y46="","",SUMPRODUCT(($D46:$W46=$D$2:$W$2)*($D46:$W46&lt;&gt;"")*$D$3:$W$3*($D$4:$W$4=AC$6)))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  <c r="AC47" s="15" t="str">
        <f aca="false">IF($Y47="","",SUMPRODUCT(($D47:$W47=$D$2:$W$2)*($D47:$W47&lt;&gt;"")*$D$3:$W$3*($D$4:$W$4=AC$6)))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  <c r="AC48" s="15" t="str">
        <f aca="false">IF($Y48="","",SUMPRODUCT(($D48:$W48=$D$2:$W$2)*($D48:$W48&lt;&gt;"")*$D$3:$W$3*($D$4:$W$4=AC$6)))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  <c r="AC49" s="15" t="str">
        <f aca="false">IF($Y49="","",SUMPRODUCT(($D49:$W49=$D$2:$W$2)*($D49:$W49&lt;&gt;"")*$D$3:$W$3*($D$4:$W$4=AC$6)))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  <c r="AC50" s="15" t="str">
        <f aca="false">IF($Y50="","",SUMPRODUCT(($D50:$W50=$D$2:$W$2)*($D50:$W50&lt;&gt;"")*$D$3:$W$3*($D$4:$W$4=AC$6)))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  <c r="AC51" s="15" t="str">
        <f aca="false">IF($Y51="","",SUMPRODUCT(($D51:$W51=$D$2:$W$2)*($D51:$W51&lt;&gt;"")*$D$3:$W$3*($D$4:$W$4=AC$6)))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  <c r="AC52" s="15" t="str">
        <f aca="false">IF($Y52="","",SUMPRODUCT(($D52:$W52=$D$2:$W$2)*($D52:$W52&lt;&gt;"")*$D$3:$W$3*($D$4:$W$4=AC$6)))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  <c r="AC53" s="15" t="str">
        <f aca="false">IF($Y53="","",SUMPRODUCT(($D53:$W53=$D$2:$W$2)*($D53:$W53&lt;&gt;"")*$D$3:$W$3*($D$4:$W$4=AC$6)))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  <c r="AC54" s="15" t="str">
        <f aca="false">IF($Y54="","",SUMPRODUCT(($D54:$W54=$D$2:$W$2)*($D54:$W54&lt;&gt;"")*$D$3:$W$3*($D$4:$W$4=AC$6)))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  <c r="AC55" s="15" t="str">
        <f aca="false">IF($Y55="","",SUMPRODUCT(($D55:$W55=$D$2:$W$2)*($D55:$W55&lt;&gt;"")*$D$3:$W$3*($D$4:$W$4=AC$6)))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  <c r="AC56" s="15" t="str">
        <f aca="false">IF($Y56="","",SUMPRODUCT(($D56:$W56=$D$2:$W$2)*($D56:$W56&lt;&gt;"")*$D$3:$W$3*($D$4:$W$4=AC$6)))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  <c r="AC57" s="15" t="str">
        <f aca="false">IF($Y57="","",SUMPRODUCT(($D57:$W57=$D$2:$W$2)*($D57:$W57&lt;&gt;"")*$D$3:$W$3*($D$4:$W$4=AC$6)))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  <c r="AC58" s="15" t="str">
        <f aca="false">IF($Y58="","",SUMPRODUCT(($D58:$W58=$D$2:$W$2)*($D58:$W58&lt;&gt;"")*$D$3:$W$3*($D$4:$W$4=AC$6)))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  <c r="AC59" s="15" t="str">
        <f aca="false">IF($Y59="","",SUMPRODUCT(($D59:$W59=$D$2:$W$2)*($D59:$W59&lt;&gt;"")*$D$3:$W$3*($D$4:$W$4=AC$6)))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  <c r="AC60" s="15" t="str">
        <f aca="false">IF($Y60="","",SUMPRODUCT(($D60:$W60=$D$2:$W$2)*($D60:$W60&lt;&gt;"")*$D$3:$W$3*($D$4:$W$4=AC$6)))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  <c r="AC61" s="15" t="str">
        <f aca="false">IF($Y61="","",SUMPRODUCT(($D61:$W61=$D$2:$W$2)*($D61:$W61&lt;&gt;"")*$D$3:$W$3*($D$4:$W$4=AC$6)))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  <c r="AC62" s="15" t="str">
        <f aca="false">IF($Y62="","",SUMPRODUCT(($D62:$W62=$D$2:$W$2)*($D62:$W62&lt;&gt;"")*$D$3:$W$3*($D$4:$W$4=AC$6)))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  <c r="AC63" s="15" t="str">
        <f aca="false">IF($Y63="","",SUMPRODUCT(($D63:$W63=$D$2:$W$2)*($D63:$W63&lt;&gt;"")*$D$3:$W$3*($D$4:$W$4=AC$6)))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  <c r="AC64" s="15" t="str">
        <f aca="false">IF($Y64="","",SUMPRODUCT(($D64:$W64=$D$2:$W$2)*($D64:$W64&lt;&gt;"")*$D$3:$W$3*($D$4:$W$4=AC$6)))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  <c r="AC65" s="15" t="str">
        <f aca="false">IF($Y65="","",SUMPRODUCT(($D65:$W65=$D$2:$W$2)*($D65:$W65&lt;&gt;"")*$D$3:$W$3*($D$4:$W$4=AC$6)))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  <c r="AC66" s="15" t="str">
        <f aca="false">IF($Y66="","",SUMPRODUCT(($D66:$W66=$D$2:$W$2)*($D66:$W66&lt;&gt;"")*$D$3:$W$3*($D$4:$W$4=AC$6)))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  <c r="AC67" s="15" t="str">
        <f aca="false">IF($Y67="","",SUMPRODUCT(($D67:$W67=$D$2:$W$2)*($D67:$W67&lt;&gt;"")*$D$3:$W$3*($D$4:$W$4=AC$6)))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  <c r="AC68" s="15" t="str">
        <f aca="false">IF($Y68="","",SUMPRODUCT(($D68:$W68=$D$2:$W$2)*($D68:$W68&lt;&gt;"")*$D$3:$W$3*($D$4:$W$4=AC$6)))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  <c r="AC69" s="15" t="str">
        <f aca="false">IF($Y69="","",SUMPRODUCT(($D69:$W69=$D$2:$W$2)*($D69:$W69&lt;&gt;"")*$D$3:$W$3*($D$4:$W$4=AC$6)))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  <c r="AC70" s="15" t="str">
        <f aca="false">IF($Y70="","",SUMPRODUCT(($D70:$W70=$D$2:$W$2)*($D70:$W70&lt;&gt;"")*$D$3:$W$3*($D$4:$W$4=AC$6)))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  <c r="AC71" s="15" t="str">
        <f aca="false">IF($Y71="","",SUMPRODUCT(($D71:$W71=$D$2:$W$2)*($D71:$W71&lt;&gt;"")*$D$3:$W$3*($D$4:$W$4=AC$6)))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  <c r="AC72" s="15" t="str">
        <f aca="false">IF($Y72="","",SUMPRODUCT(($D72:$W72=$D$2:$W$2)*($D72:$W72&lt;&gt;"")*$D$3:$W$3*($D$4:$W$4=AC$6)))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  <c r="AC73" s="15" t="str">
        <f aca="false">IF($Y73="","",SUMPRODUCT(($D73:$W73=$D$2:$W$2)*($D73:$W73&lt;&gt;"")*$D$3:$W$3*($D$4:$W$4=AC$6)))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  <c r="AC74" s="15" t="str">
        <f aca="false">IF($Y74="","",SUMPRODUCT(($D74:$W74=$D$2:$W$2)*($D74:$W74&lt;&gt;"")*$D$3:$W$3*($D$4:$W$4=AC$6)))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  <c r="AC75" s="15" t="str">
        <f aca="false">IF($Y75="","",SUMPRODUCT(($D75:$W75=$D$2:$W$2)*($D75:$W75&lt;&gt;"")*$D$3:$W$3*($D$4:$W$4=AC$6)))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  <c r="AC76" s="15" t="str">
        <f aca="false">IF($Y76="","",SUMPRODUCT(($D76:$W76=$D$2:$W$2)*($D76:$W76&lt;&gt;"")*$D$3:$W$3*($D$4:$W$4=AC$6)))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  <c r="AC77" s="15" t="str">
        <f aca="false">IF($Y77="","",SUMPRODUCT(($D77:$W77=$D$2:$W$2)*($D77:$W77&lt;&gt;"")*$D$3:$W$3*($D$4:$W$4=AC$6)))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  <c r="AC78" s="15" t="str">
        <f aca="false">IF($Y78="","",SUMPRODUCT(($D78:$W78=$D$2:$W$2)*($D78:$W78&lt;&gt;"")*$D$3:$W$3*($D$4:$W$4=AC$6)))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  <c r="AC79" s="15" t="str">
        <f aca="false">IF($Y79="","",SUMPRODUCT(($D79:$W79=$D$2:$W$2)*($D79:$W79&lt;&gt;"")*$D$3:$W$3*($D$4:$W$4=AC$6)))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  <c r="AC80" s="15" t="str">
        <f aca="false">IF($Y80="","",SUMPRODUCT(($D80:$W80=$D$2:$W$2)*($D80:$W80&lt;&gt;"")*$D$3:$W$3*($D$4:$W$4=AC$6)))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  <c r="AC81" s="15" t="str">
        <f aca="false">IF($Y81="","",SUMPRODUCT(($D81:$W81=$D$2:$W$2)*($D81:$W81&lt;&gt;"")*$D$3:$W$3*($D$4:$W$4=AC$6)))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  <c r="AC82" s="15" t="str">
        <f aca="false">IF($Y82="","",SUMPRODUCT(($D82:$W82=$D$2:$W$2)*($D82:$W82&lt;&gt;"")*$D$3:$W$3*($D$4:$W$4=AC$6)))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  <c r="AC83" s="15" t="str">
        <f aca="false">IF($Y83="","",SUMPRODUCT(($D83:$W83=$D$2:$W$2)*($D83:$W83&lt;&gt;"")*$D$3:$W$3*($D$4:$W$4=AC$6)))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  <c r="AC84" s="15" t="str">
        <f aca="false">IF($Y84="","",SUMPRODUCT(($D84:$W84=$D$2:$W$2)*($D84:$W84&lt;&gt;"")*$D$3:$W$3*($D$4:$W$4=AC$6)))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  <c r="AC85" s="15" t="str">
        <f aca="false">IF($Y85="","",SUMPRODUCT(($D85:$W85=$D$2:$W$2)*($D85:$W85&lt;&gt;"")*$D$3:$W$3*($D$4:$W$4=AC$6)))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  <c r="AC86" s="15" t="str">
        <f aca="false">IF($Y86="","",SUMPRODUCT(($D86:$W86=$D$2:$W$2)*($D86:$W86&lt;&gt;"")*$D$3:$W$3*($D$4:$W$4=AC$6)))</f>
        <v/>
      </c>
    </row>
  </sheetData>
  <mergeCells count="6">
    <mergeCell ref="A1:C1"/>
    <mergeCell ref="D1:AC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  <dataValidation allowBlank="true" errorStyle="stop" operator="between" showDropDown="false" showErrorMessage="false" showInputMessage="false" sqref="D4:W4" type="list">
      <formula1>설정!$B$19:$B$22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B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23" min="4" style="0" width="6.2"/>
    <col collapsed="false" customWidth="true" hidden="false" outlineLevel="0" max="24" min="24" style="0" width="7"/>
    <col collapsed="false" customWidth="true" hidden="false" outlineLevel="0" max="25" min="25" style="0" width="8"/>
    <col collapsed="false" customWidth="true" hidden="false" outlineLevel="0" max="28" min="26" style="0" width="10"/>
  </cols>
  <sheetData>
    <row r="1" customFormat="false" ht="33.75" hidden="false" customHeight="true" outlineLevel="0" collapsed="false">
      <c r="A1" s="1" t="s">
        <v>140</v>
      </c>
      <c r="B1" s="1"/>
      <c r="C1" s="1"/>
      <c r="D1" s="5" t="s">
        <v>105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</row>
    <row r="2" customFormat="false" ht="15" hidden="false" customHeight="true" outlineLevel="0" collapsed="false">
      <c r="A2" s="26" t="s">
        <v>106</v>
      </c>
      <c r="B2" s="26"/>
      <c r="C2" s="26"/>
      <c r="D2" s="27" t="n">
        <v>2</v>
      </c>
      <c r="E2" s="27" t="n">
        <v>4</v>
      </c>
      <c r="F2" s="27" t="n">
        <v>1</v>
      </c>
      <c r="G2" s="27" t="n">
        <v>3</v>
      </c>
      <c r="H2" s="27" t="n">
        <v>5</v>
      </c>
      <c r="I2" s="27" t="n">
        <v>2</v>
      </c>
      <c r="J2" s="27" t="n">
        <v>3</v>
      </c>
      <c r="K2" s="27" t="n">
        <v>1</v>
      </c>
      <c r="L2" s="27" t="n">
        <v>4</v>
      </c>
      <c r="M2" s="27" t="n">
        <v>5</v>
      </c>
      <c r="N2" s="27" t="n">
        <v>2</v>
      </c>
      <c r="O2" s="27" t="n">
        <v>4</v>
      </c>
      <c r="P2" s="27" t="n">
        <v>3</v>
      </c>
      <c r="Q2" s="27" t="n">
        <v>1</v>
      </c>
      <c r="R2" s="27" t="n">
        <v>8</v>
      </c>
      <c r="S2" s="27" t="n">
        <v>35</v>
      </c>
      <c r="T2" s="27" t="n">
        <v>4</v>
      </c>
      <c r="U2" s="27" t="n">
        <v>24</v>
      </c>
      <c r="V2" s="27" t="n">
        <v>19</v>
      </c>
      <c r="W2" s="27" t="n">
        <v>15</v>
      </c>
    </row>
    <row r="3" customFormat="false" ht="15" hidden="false" customHeight="true" outlineLevel="0" collapsed="false">
      <c r="A3" s="26" t="s">
        <v>107</v>
      </c>
      <c r="B3" s="26"/>
      <c r="C3" s="26"/>
      <c r="D3" s="8" t="n">
        <v>3</v>
      </c>
      <c r="E3" s="8" t="n">
        <v>3</v>
      </c>
      <c r="F3" s="8" t="n">
        <v>3</v>
      </c>
      <c r="G3" s="8" t="n">
        <v>4</v>
      </c>
      <c r="H3" s="8" t="n">
        <v>4</v>
      </c>
      <c r="I3" s="8" t="n">
        <v>4</v>
      </c>
      <c r="J3" s="8" t="n">
        <v>5</v>
      </c>
      <c r="K3" s="8" t="n">
        <v>5</v>
      </c>
      <c r="L3" s="8" t="n">
        <v>5</v>
      </c>
      <c r="M3" s="8" t="n">
        <v>6</v>
      </c>
      <c r="N3" s="8" t="n">
        <v>6</v>
      </c>
      <c r="O3" s="8" t="n">
        <v>7</v>
      </c>
      <c r="P3" s="8" t="n">
        <v>7</v>
      </c>
      <c r="Q3" s="8" t="n">
        <v>7</v>
      </c>
      <c r="R3" s="8" t="n">
        <v>3</v>
      </c>
      <c r="S3" s="8" t="n">
        <v>4</v>
      </c>
      <c r="T3" s="8" t="n">
        <v>5</v>
      </c>
      <c r="U3" s="8" t="n">
        <v>5</v>
      </c>
      <c r="V3" s="8" t="n">
        <v>6</v>
      </c>
      <c r="W3" s="8" t="n">
        <v>8</v>
      </c>
      <c r="X3" s="23" t="n">
        <f aca="false">COUNT(D2:W2)</f>
        <v>20</v>
      </c>
      <c r="Y3" s="28" t="n">
        <f aca="false">SUM(D3:W3)</f>
        <v>100</v>
      </c>
      <c r="Z3" s="23" t="n">
        <f aca="false">SUMIF($D$4:$W$4,Z$6,$D$3:$W$3)</f>
        <v>39</v>
      </c>
      <c r="AA3" s="23" t="n">
        <f aca="false">SUMIF($D$4:$W$4,AA$6,$D$3:$W$3)</f>
        <v>22</v>
      </c>
      <c r="AB3" s="23" t="n">
        <f aca="false">SUMIF($D$4:$W$4,AB$6,$D$3:$W$3)</f>
        <v>39</v>
      </c>
    </row>
    <row r="4" customFormat="false" ht="42" hidden="false" customHeight="true" outlineLevel="0" collapsed="false">
      <c r="A4" s="26" t="s">
        <v>108</v>
      </c>
      <c r="B4" s="26"/>
      <c r="C4" s="26"/>
      <c r="D4" s="29" t="s">
        <v>47</v>
      </c>
      <c r="E4" s="29" t="s">
        <v>51</v>
      </c>
      <c r="F4" s="29" t="s">
        <v>51</v>
      </c>
      <c r="G4" s="29" t="s">
        <v>47</v>
      </c>
      <c r="H4" s="29" t="s">
        <v>47</v>
      </c>
      <c r="I4" s="29" t="s">
        <v>49</v>
      </c>
      <c r="J4" s="29" t="s">
        <v>51</v>
      </c>
      <c r="K4" s="29" t="s">
        <v>47</v>
      </c>
      <c r="L4" s="29" t="s">
        <v>51</v>
      </c>
      <c r="M4" s="29" t="s">
        <v>49</v>
      </c>
      <c r="N4" s="29" t="s">
        <v>47</v>
      </c>
      <c r="O4" s="29" t="s">
        <v>51</v>
      </c>
      <c r="P4" s="29" t="s">
        <v>51</v>
      </c>
      <c r="Q4" s="29" t="s">
        <v>47</v>
      </c>
      <c r="R4" s="29" t="s">
        <v>51</v>
      </c>
      <c r="S4" s="29" t="s">
        <v>49</v>
      </c>
      <c r="T4" s="29" t="s">
        <v>47</v>
      </c>
      <c r="U4" s="29" t="s">
        <v>47</v>
      </c>
      <c r="V4" s="29" t="s">
        <v>51</v>
      </c>
      <c r="W4" s="29" t="s">
        <v>49</v>
      </c>
    </row>
    <row r="5" customFormat="false" ht="22.35" hidden="false" customHeight="true" outlineLevel="0" collapsed="false">
      <c r="A5" s="26" t="s">
        <v>109</v>
      </c>
      <c r="B5" s="26"/>
      <c r="C5" s="26"/>
      <c r="D5" s="14" t="s">
        <v>110</v>
      </c>
      <c r="E5" s="14" t="s">
        <v>110</v>
      </c>
      <c r="F5" s="14" t="s">
        <v>110</v>
      </c>
      <c r="G5" s="14" t="s">
        <v>111</v>
      </c>
      <c r="H5" s="14" t="s">
        <v>111</v>
      </c>
      <c r="I5" s="14" t="s">
        <v>111</v>
      </c>
      <c r="J5" s="14" t="s">
        <v>112</v>
      </c>
      <c r="K5" s="14" t="s">
        <v>112</v>
      </c>
      <c r="L5" s="14" t="s">
        <v>112</v>
      </c>
      <c r="M5" s="14" t="s">
        <v>113</v>
      </c>
      <c r="N5" s="14" t="s">
        <v>113</v>
      </c>
      <c r="O5" s="14" t="s">
        <v>114</v>
      </c>
      <c r="P5" s="14" t="s">
        <v>114</v>
      </c>
      <c r="Q5" s="14" t="s">
        <v>115</v>
      </c>
      <c r="R5" s="14" t="s">
        <v>110</v>
      </c>
      <c r="S5" s="14" t="s">
        <v>111</v>
      </c>
      <c r="T5" s="14" t="s">
        <v>112</v>
      </c>
      <c r="U5" s="14" t="s">
        <v>112</v>
      </c>
      <c r="V5" s="14" t="s">
        <v>113</v>
      </c>
      <c r="W5" s="14" t="s">
        <v>115</v>
      </c>
      <c r="X5" s="30" t="s">
        <v>116</v>
      </c>
      <c r="Y5" s="30" t="s">
        <v>117</v>
      </c>
      <c r="Z5" s="30" t="s">
        <v>117</v>
      </c>
      <c r="AA5" s="30" t="s">
        <v>117</v>
      </c>
      <c r="AB5" s="30" t="s">
        <v>117</v>
      </c>
    </row>
    <row r="6" customFormat="false" ht="30" hidden="false" customHeight="true" outlineLevel="0" collapsed="false">
      <c r="A6" s="24" t="s">
        <v>89</v>
      </c>
      <c r="B6" s="4" t="s">
        <v>90</v>
      </c>
      <c r="C6" s="4" t="s">
        <v>91</v>
      </c>
      <c r="D6" s="31" t="s">
        <v>118</v>
      </c>
      <c r="E6" s="31" t="s">
        <v>119</v>
      </c>
      <c r="F6" s="31" t="s">
        <v>120</v>
      </c>
      <c r="G6" s="31" t="s">
        <v>121</v>
      </c>
      <c r="H6" s="31" t="s">
        <v>122</v>
      </c>
      <c r="I6" s="31" t="s">
        <v>123</v>
      </c>
      <c r="J6" s="31" t="s">
        <v>124</v>
      </c>
      <c r="K6" s="31" t="s">
        <v>125</v>
      </c>
      <c r="L6" s="31" t="s">
        <v>126</v>
      </c>
      <c r="M6" s="31" t="s">
        <v>127</v>
      </c>
      <c r="N6" s="31" t="s">
        <v>128</v>
      </c>
      <c r="O6" s="31" t="s">
        <v>129</v>
      </c>
      <c r="P6" s="31" t="s">
        <v>130</v>
      </c>
      <c r="Q6" s="31" t="s">
        <v>131</v>
      </c>
      <c r="R6" s="32" t="s">
        <v>132</v>
      </c>
      <c r="S6" s="32" t="s">
        <v>133</v>
      </c>
      <c r="T6" s="32" t="s">
        <v>134</v>
      </c>
      <c r="U6" s="32" t="s">
        <v>135</v>
      </c>
      <c r="V6" s="32" t="s">
        <v>136</v>
      </c>
      <c r="W6" s="32" t="s">
        <v>137</v>
      </c>
      <c r="X6" s="4" t="s">
        <v>138</v>
      </c>
      <c r="Y6" s="4" t="s">
        <v>139</v>
      </c>
      <c r="Z6" s="33" t="str">
        <f aca="false">설정!B24</f>
        <v>도형의 방정식</v>
      </c>
      <c r="AA6" s="33" t="str">
        <f aca="false">설정!B25</f>
        <v>집합과 명제</v>
      </c>
      <c r="AB6" s="33" t="str">
        <f aca="false">설정!B26</f>
        <v>함수와 그래프</v>
      </c>
    </row>
    <row r="7" customFormat="false" ht="15" hidden="false" customHeight="false" outlineLevel="0" collapsed="false">
      <c r="A7" s="6" t="n">
        <v>1</v>
      </c>
      <c r="B7" s="6" t="str">
        <f aca="false">IF(학생명단!B7="","",학생명단!B7)</f>
        <v>홍길동(예시)</v>
      </c>
      <c r="C7" s="23" t="str">
        <f aca="false">IF(학생명단!C7="","",학생명단!C7)</f>
        <v>OO중</v>
      </c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15" t="str">
        <f aca="false">IF(COUNTA(D7:W7)=0,"",SUMPRODUCT((D7:W7=$D$2:$W$2)*(D7:W7&lt;&gt;"")))</f>
        <v/>
      </c>
      <c r="Y7" s="34" t="str">
        <f aca="false">IF(COUNTA(D7:W7)=0,"",SUMPRODUCT((D7:W7=$D$2:$W$2)*(D7:W7&lt;&gt;"")*$D$3:$W$3))</f>
        <v/>
      </c>
      <c r="Z7" s="15" t="str">
        <f aca="false">IF($Y7="","",SUMPRODUCT(($D7:$W7=$D$2:$W$2)*($D7:$W7&lt;&gt;"")*$D$3:$W$3*($D$4:$W$4=Z$6)))</f>
        <v/>
      </c>
      <c r="AA7" s="15" t="str">
        <f aca="false">IF($Y7="","",SUMPRODUCT(($D7:$W7=$D$2:$W$2)*($D7:$W7&lt;&gt;"")*$D$3:$W$3*($D$4:$W$4=AA$6)))</f>
        <v/>
      </c>
      <c r="AB7" s="15" t="str">
        <f aca="false">IF($Y7="","",SUMPRODUCT(($D7:$W7=$D$2:$W$2)*($D7:$W7&lt;&gt;"")*$D$3:$W$3*($D$4:$W$4=AB$6)))</f>
        <v/>
      </c>
    </row>
    <row r="8" customFormat="false" ht="15" hidden="false" customHeight="false" outlineLevel="0" collapsed="false">
      <c r="A8" s="6" t="n">
        <v>2</v>
      </c>
      <c r="B8" s="6" t="str">
        <f aca="false">IF(학생명단!B8="","",학생명단!B8)</f>
        <v/>
      </c>
      <c r="C8" s="23" t="str">
        <f aca="false">IF(학생명단!C8="","",학생명단!C8)</f>
        <v/>
      </c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15" t="str">
        <f aca="false">IF(COUNTA(D8:W8)=0,"",SUMPRODUCT((D8:W8=$D$2:$W$2)*(D8:W8&lt;&gt;"")))</f>
        <v/>
      </c>
      <c r="Y8" s="34" t="str">
        <f aca="false">IF(COUNTA(D8:W8)=0,"",SUMPRODUCT((D8:W8=$D$2:$W$2)*(D8:W8&lt;&gt;"")*$D$3:$W$3))</f>
        <v/>
      </c>
      <c r="Z8" s="15" t="str">
        <f aca="false">IF($Y8="","",SUMPRODUCT(($D8:$W8=$D$2:$W$2)*($D8:$W8&lt;&gt;"")*$D$3:$W$3*($D$4:$W$4=Z$6)))</f>
        <v/>
      </c>
      <c r="AA8" s="15" t="str">
        <f aca="false">IF($Y8="","",SUMPRODUCT(($D8:$W8=$D$2:$W$2)*($D8:$W8&lt;&gt;"")*$D$3:$W$3*($D$4:$W$4=AA$6)))</f>
        <v/>
      </c>
      <c r="AB8" s="15" t="str">
        <f aca="false">IF($Y8="","",SUMPRODUCT(($D8:$W8=$D$2:$W$2)*($D8:$W8&lt;&gt;"")*$D$3:$W$3*($D$4:$W$4=AB$6)))</f>
        <v/>
      </c>
    </row>
    <row r="9" customFormat="false" ht="15" hidden="false" customHeight="false" outlineLevel="0" collapsed="false">
      <c r="A9" s="6" t="n">
        <v>3</v>
      </c>
      <c r="B9" s="6" t="str">
        <f aca="false">IF(학생명단!B9="","",학생명단!B9)</f>
        <v/>
      </c>
      <c r="C9" s="23" t="str">
        <f aca="false">IF(학생명단!C9="","",학생명단!C9)</f>
        <v/>
      </c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15" t="str">
        <f aca="false">IF(COUNTA(D9:W9)=0,"",SUMPRODUCT((D9:W9=$D$2:$W$2)*(D9:W9&lt;&gt;"")))</f>
        <v/>
      </c>
      <c r="Y9" s="34" t="str">
        <f aca="false">IF(COUNTA(D9:W9)=0,"",SUMPRODUCT((D9:W9=$D$2:$W$2)*(D9:W9&lt;&gt;"")*$D$3:$W$3))</f>
        <v/>
      </c>
      <c r="Z9" s="15" t="str">
        <f aca="false">IF($Y9="","",SUMPRODUCT(($D9:$W9=$D$2:$W$2)*($D9:$W9&lt;&gt;"")*$D$3:$W$3*($D$4:$W$4=Z$6)))</f>
        <v/>
      </c>
      <c r="AA9" s="15" t="str">
        <f aca="false">IF($Y9="","",SUMPRODUCT(($D9:$W9=$D$2:$W$2)*($D9:$W9&lt;&gt;"")*$D$3:$W$3*($D$4:$W$4=AA$6)))</f>
        <v/>
      </c>
      <c r="AB9" s="15" t="str">
        <f aca="false">IF($Y9="","",SUMPRODUCT(($D9:$W9=$D$2:$W$2)*($D9:$W9&lt;&gt;"")*$D$3:$W$3*($D$4:$W$4=AB$6)))</f>
        <v/>
      </c>
    </row>
    <row r="10" customFormat="false" ht="15" hidden="false" customHeight="false" outlineLevel="0" collapsed="false">
      <c r="A10" s="6" t="n">
        <v>4</v>
      </c>
      <c r="B10" s="6" t="str">
        <f aca="false">IF(학생명단!B10="","",학생명단!B10)</f>
        <v/>
      </c>
      <c r="C10" s="23" t="str">
        <f aca="false">IF(학생명단!C10="","",학생명단!C10)</f>
        <v/>
      </c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15" t="str">
        <f aca="false">IF(COUNTA(D10:W10)=0,"",SUMPRODUCT((D10:W10=$D$2:$W$2)*(D10:W10&lt;&gt;"")))</f>
        <v/>
      </c>
      <c r="Y10" s="34" t="str">
        <f aca="false">IF(COUNTA(D10:W10)=0,"",SUMPRODUCT((D10:W10=$D$2:$W$2)*(D10:W10&lt;&gt;"")*$D$3:$W$3))</f>
        <v/>
      </c>
      <c r="Z10" s="15" t="str">
        <f aca="false">IF($Y10="","",SUMPRODUCT(($D10:$W10=$D$2:$W$2)*($D10:$W10&lt;&gt;"")*$D$3:$W$3*($D$4:$W$4=Z$6)))</f>
        <v/>
      </c>
      <c r="AA10" s="15" t="str">
        <f aca="false">IF($Y10="","",SUMPRODUCT(($D10:$W10=$D$2:$W$2)*($D10:$W10&lt;&gt;"")*$D$3:$W$3*($D$4:$W$4=AA$6)))</f>
        <v/>
      </c>
      <c r="AB10" s="15" t="str">
        <f aca="false">IF($Y10="","",SUMPRODUCT(($D10:$W10=$D$2:$W$2)*($D10:$W10&lt;&gt;"")*$D$3:$W$3*($D$4:$W$4=AB$6)))</f>
        <v/>
      </c>
    </row>
    <row r="11" customFormat="false" ht="15" hidden="false" customHeight="false" outlineLevel="0" collapsed="false">
      <c r="A11" s="6" t="n">
        <v>5</v>
      </c>
      <c r="B11" s="6" t="str">
        <f aca="false">IF(학생명단!B11="","",학생명단!B11)</f>
        <v/>
      </c>
      <c r="C11" s="23" t="str">
        <f aca="false">IF(학생명단!C11="","",학생명단!C11)</f>
        <v/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15" t="str">
        <f aca="false">IF(COUNTA(D11:W11)=0,"",SUMPRODUCT((D11:W11=$D$2:$W$2)*(D11:W11&lt;&gt;"")))</f>
        <v/>
      </c>
      <c r="Y11" s="34" t="str">
        <f aca="false">IF(COUNTA(D11:W11)=0,"",SUMPRODUCT((D11:W11=$D$2:$W$2)*(D11:W11&lt;&gt;"")*$D$3:$W$3))</f>
        <v/>
      </c>
      <c r="Z11" s="15" t="str">
        <f aca="false">IF($Y11="","",SUMPRODUCT(($D11:$W11=$D$2:$W$2)*($D11:$W11&lt;&gt;"")*$D$3:$W$3*($D$4:$W$4=Z$6)))</f>
        <v/>
      </c>
      <c r="AA11" s="15" t="str">
        <f aca="false">IF($Y11="","",SUMPRODUCT(($D11:$W11=$D$2:$W$2)*($D11:$W11&lt;&gt;"")*$D$3:$W$3*($D$4:$W$4=AA$6)))</f>
        <v/>
      </c>
      <c r="AB11" s="15" t="str">
        <f aca="false">IF($Y11="","",SUMPRODUCT(($D11:$W11=$D$2:$W$2)*($D11:$W11&lt;&gt;"")*$D$3:$W$3*($D$4:$W$4=AB$6)))</f>
        <v/>
      </c>
    </row>
    <row r="12" customFormat="false" ht="15" hidden="false" customHeight="false" outlineLevel="0" collapsed="false">
      <c r="A12" s="6" t="n">
        <v>6</v>
      </c>
      <c r="B12" s="6" t="str">
        <f aca="false">IF(학생명단!B12="","",학생명단!B12)</f>
        <v/>
      </c>
      <c r="C12" s="23" t="str">
        <f aca="false">IF(학생명단!C12="","",학생명단!C12)</f>
        <v/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15" t="str">
        <f aca="false">IF(COUNTA(D12:W12)=0,"",SUMPRODUCT((D12:W12=$D$2:$W$2)*(D12:W12&lt;&gt;"")))</f>
        <v/>
      </c>
      <c r="Y12" s="34" t="str">
        <f aca="false">IF(COUNTA(D12:W12)=0,"",SUMPRODUCT((D12:W12=$D$2:$W$2)*(D12:W12&lt;&gt;"")*$D$3:$W$3))</f>
        <v/>
      </c>
      <c r="Z12" s="15" t="str">
        <f aca="false">IF($Y12="","",SUMPRODUCT(($D12:$W12=$D$2:$W$2)*($D12:$W12&lt;&gt;"")*$D$3:$W$3*($D$4:$W$4=Z$6)))</f>
        <v/>
      </c>
      <c r="AA12" s="15" t="str">
        <f aca="false">IF($Y12="","",SUMPRODUCT(($D12:$W12=$D$2:$W$2)*($D12:$W12&lt;&gt;"")*$D$3:$W$3*($D$4:$W$4=AA$6)))</f>
        <v/>
      </c>
      <c r="AB12" s="15" t="str">
        <f aca="false">IF($Y12="","",SUMPRODUCT(($D12:$W12=$D$2:$W$2)*($D12:$W12&lt;&gt;"")*$D$3:$W$3*($D$4:$W$4=AB$6)))</f>
        <v/>
      </c>
    </row>
    <row r="13" customFormat="false" ht="15" hidden="false" customHeight="false" outlineLevel="0" collapsed="false">
      <c r="A13" s="6" t="n">
        <v>7</v>
      </c>
      <c r="B13" s="6" t="str">
        <f aca="false">IF(학생명단!B13="","",학생명단!B13)</f>
        <v/>
      </c>
      <c r="C13" s="23" t="str">
        <f aca="false">IF(학생명단!C13="","",학생명단!C13)</f>
        <v/>
      </c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15" t="str">
        <f aca="false">IF(COUNTA(D13:W13)=0,"",SUMPRODUCT((D13:W13=$D$2:$W$2)*(D13:W13&lt;&gt;"")))</f>
        <v/>
      </c>
      <c r="Y13" s="34" t="str">
        <f aca="false">IF(COUNTA(D13:W13)=0,"",SUMPRODUCT((D13:W13=$D$2:$W$2)*(D13:W13&lt;&gt;"")*$D$3:$W$3))</f>
        <v/>
      </c>
      <c r="Z13" s="15" t="str">
        <f aca="false">IF($Y13="","",SUMPRODUCT(($D13:$W13=$D$2:$W$2)*($D13:$W13&lt;&gt;"")*$D$3:$W$3*($D$4:$W$4=Z$6)))</f>
        <v/>
      </c>
      <c r="AA13" s="15" t="str">
        <f aca="false">IF($Y13="","",SUMPRODUCT(($D13:$W13=$D$2:$W$2)*($D13:$W13&lt;&gt;"")*$D$3:$W$3*($D$4:$W$4=AA$6)))</f>
        <v/>
      </c>
      <c r="AB13" s="15" t="str">
        <f aca="false">IF($Y13="","",SUMPRODUCT(($D13:$W13=$D$2:$W$2)*($D13:$W13&lt;&gt;"")*$D$3:$W$3*($D$4:$W$4=AB$6)))</f>
        <v/>
      </c>
    </row>
    <row r="14" customFormat="false" ht="15" hidden="false" customHeight="false" outlineLevel="0" collapsed="false">
      <c r="A14" s="6" t="n">
        <v>8</v>
      </c>
      <c r="B14" s="6" t="str">
        <f aca="false">IF(학생명단!B14="","",학생명단!B14)</f>
        <v/>
      </c>
      <c r="C14" s="23" t="str">
        <f aca="false">IF(학생명단!C14="","",학생명단!C14)</f>
        <v/>
      </c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15" t="str">
        <f aca="false">IF(COUNTA(D14:W14)=0,"",SUMPRODUCT((D14:W14=$D$2:$W$2)*(D14:W14&lt;&gt;"")))</f>
        <v/>
      </c>
      <c r="Y14" s="34" t="str">
        <f aca="false">IF(COUNTA(D14:W14)=0,"",SUMPRODUCT((D14:W14=$D$2:$W$2)*(D14:W14&lt;&gt;"")*$D$3:$W$3))</f>
        <v/>
      </c>
      <c r="Z14" s="15" t="str">
        <f aca="false">IF($Y14="","",SUMPRODUCT(($D14:$W14=$D$2:$W$2)*($D14:$W14&lt;&gt;"")*$D$3:$W$3*($D$4:$W$4=Z$6)))</f>
        <v/>
      </c>
      <c r="AA14" s="15" t="str">
        <f aca="false">IF($Y14="","",SUMPRODUCT(($D14:$W14=$D$2:$W$2)*($D14:$W14&lt;&gt;"")*$D$3:$W$3*($D$4:$W$4=AA$6)))</f>
        <v/>
      </c>
      <c r="AB14" s="15" t="str">
        <f aca="false">IF($Y14="","",SUMPRODUCT(($D14:$W14=$D$2:$W$2)*($D14:$W14&lt;&gt;"")*$D$3:$W$3*($D$4:$W$4=AB$6)))</f>
        <v/>
      </c>
    </row>
    <row r="15" customFormat="false" ht="15" hidden="false" customHeight="false" outlineLevel="0" collapsed="false">
      <c r="A15" s="6" t="n">
        <v>9</v>
      </c>
      <c r="B15" s="6" t="str">
        <f aca="false">IF(학생명단!B15="","",학생명단!B15)</f>
        <v/>
      </c>
      <c r="C15" s="23" t="str">
        <f aca="false">IF(학생명단!C15="","",학생명단!C15)</f>
        <v/>
      </c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15" t="str">
        <f aca="false">IF(COUNTA(D15:W15)=0,"",SUMPRODUCT((D15:W15=$D$2:$W$2)*(D15:W15&lt;&gt;"")))</f>
        <v/>
      </c>
      <c r="Y15" s="34" t="str">
        <f aca="false">IF(COUNTA(D15:W15)=0,"",SUMPRODUCT((D15:W15=$D$2:$W$2)*(D15:W15&lt;&gt;"")*$D$3:$W$3))</f>
        <v/>
      </c>
      <c r="Z15" s="15" t="str">
        <f aca="false">IF($Y15="","",SUMPRODUCT(($D15:$W15=$D$2:$W$2)*($D15:$W15&lt;&gt;"")*$D$3:$W$3*($D$4:$W$4=Z$6)))</f>
        <v/>
      </c>
      <c r="AA15" s="15" t="str">
        <f aca="false">IF($Y15="","",SUMPRODUCT(($D15:$W15=$D$2:$W$2)*($D15:$W15&lt;&gt;"")*$D$3:$W$3*($D$4:$W$4=AA$6)))</f>
        <v/>
      </c>
      <c r="AB15" s="15" t="str">
        <f aca="false">IF($Y15="","",SUMPRODUCT(($D15:$W15=$D$2:$W$2)*($D15:$W15&lt;&gt;"")*$D$3:$W$3*($D$4:$W$4=AB$6)))</f>
        <v/>
      </c>
    </row>
    <row r="16" customFormat="false" ht="15" hidden="false" customHeight="false" outlineLevel="0" collapsed="false">
      <c r="A16" s="6" t="n">
        <v>10</v>
      </c>
      <c r="B16" s="6" t="str">
        <f aca="false">IF(학생명단!B16="","",학생명단!B16)</f>
        <v/>
      </c>
      <c r="C16" s="23" t="str">
        <f aca="false">IF(학생명단!C16="","",학생명단!C16)</f>
        <v/>
      </c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15" t="str">
        <f aca="false">IF(COUNTA(D16:W16)=0,"",SUMPRODUCT((D16:W16=$D$2:$W$2)*(D16:W16&lt;&gt;"")))</f>
        <v/>
      </c>
      <c r="Y16" s="34" t="str">
        <f aca="false">IF(COUNTA(D16:W16)=0,"",SUMPRODUCT((D16:W16=$D$2:$W$2)*(D16:W16&lt;&gt;"")*$D$3:$W$3))</f>
        <v/>
      </c>
      <c r="Z16" s="15" t="str">
        <f aca="false">IF($Y16="","",SUMPRODUCT(($D16:$W16=$D$2:$W$2)*($D16:$W16&lt;&gt;"")*$D$3:$W$3*($D$4:$W$4=Z$6)))</f>
        <v/>
      </c>
      <c r="AA16" s="15" t="str">
        <f aca="false">IF($Y16="","",SUMPRODUCT(($D16:$W16=$D$2:$W$2)*($D16:$W16&lt;&gt;"")*$D$3:$W$3*($D$4:$W$4=AA$6)))</f>
        <v/>
      </c>
      <c r="AB16" s="15" t="str">
        <f aca="false">IF($Y16="","",SUMPRODUCT(($D16:$W16=$D$2:$W$2)*($D16:$W16&lt;&gt;"")*$D$3:$W$3*($D$4:$W$4=AB$6)))</f>
        <v/>
      </c>
    </row>
    <row r="17" customFormat="false" ht="15" hidden="false" customHeight="false" outlineLevel="0" collapsed="false">
      <c r="A17" s="6" t="n">
        <v>11</v>
      </c>
      <c r="B17" s="6" t="str">
        <f aca="false">IF(학생명단!B17="","",학생명단!B17)</f>
        <v/>
      </c>
      <c r="C17" s="23" t="str">
        <f aca="false">IF(학생명단!C17="","",학생명단!C17)</f>
        <v/>
      </c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15" t="str">
        <f aca="false">IF(COUNTA(D17:W17)=0,"",SUMPRODUCT((D17:W17=$D$2:$W$2)*(D17:W17&lt;&gt;"")))</f>
        <v/>
      </c>
      <c r="Y17" s="34" t="str">
        <f aca="false">IF(COUNTA(D17:W17)=0,"",SUMPRODUCT((D17:W17=$D$2:$W$2)*(D17:W17&lt;&gt;"")*$D$3:$W$3))</f>
        <v/>
      </c>
      <c r="Z17" s="15" t="str">
        <f aca="false">IF($Y17="","",SUMPRODUCT(($D17:$W17=$D$2:$W$2)*($D17:$W17&lt;&gt;"")*$D$3:$W$3*($D$4:$W$4=Z$6)))</f>
        <v/>
      </c>
      <c r="AA17" s="15" t="str">
        <f aca="false">IF($Y17="","",SUMPRODUCT(($D17:$W17=$D$2:$W$2)*($D17:$W17&lt;&gt;"")*$D$3:$W$3*($D$4:$W$4=AA$6)))</f>
        <v/>
      </c>
      <c r="AB17" s="15" t="str">
        <f aca="false">IF($Y17="","",SUMPRODUCT(($D17:$W17=$D$2:$W$2)*($D17:$W17&lt;&gt;"")*$D$3:$W$3*($D$4:$W$4=AB$6)))</f>
        <v/>
      </c>
    </row>
    <row r="18" customFormat="false" ht="15" hidden="false" customHeight="false" outlineLevel="0" collapsed="false">
      <c r="A18" s="6" t="n">
        <v>12</v>
      </c>
      <c r="B18" s="6" t="str">
        <f aca="false">IF(학생명단!B18="","",학생명단!B18)</f>
        <v/>
      </c>
      <c r="C18" s="23" t="str">
        <f aca="false">IF(학생명단!C18="","",학생명단!C18)</f>
        <v/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15" t="str">
        <f aca="false">IF(COUNTA(D18:W18)=0,"",SUMPRODUCT((D18:W18=$D$2:$W$2)*(D18:W18&lt;&gt;"")))</f>
        <v/>
      </c>
      <c r="Y18" s="34" t="str">
        <f aca="false">IF(COUNTA(D18:W18)=0,"",SUMPRODUCT((D18:W18=$D$2:$W$2)*(D18:W18&lt;&gt;"")*$D$3:$W$3))</f>
        <v/>
      </c>
      <c r="Z18" s="15" t="str">
        <f aca="false">IF($Y18="","",SUMPRODUCT(($D18:$W18=$D$2:$W$2)*($D18:$W18&lt;&gt;"")*$D$3:$W$3*($D$4:$W$4=Z$6)))</f>
        <v/>
      </c>
      <c r="AA18" s="15" t="str">
        <f aca="false">IF($Y18="","",SUMPRODUCT(($D18:$W18=$D$2:$W$2)*($D18:$W18&lt;&gt;"")*$D$3:$W$3*($D$4:$W$4=AA$6)))</f>
        <v/>
      </c>
      <c r="AB18" s="15" t="str">
        <f aca="false">IF($Y18="","",SUMPRODUCT(($D18:$W18=$D$2:$W$2)*($D18:$W18&lt;&gt;"")*$D$3:$W$3*($D$4:$W$4=AB$6)))</f>
        <v/>
      </c>
    </row>
    <row r="19" customFormat="false" ht="15" hidden="false" customHeight="false" outlineLevel="0" collapsed="false">
      <c r="A19" s="6" t="n">
        <v>13</v>
      </c>
      <c r="B19" s="6" t="str">
        <f aca="false">IF(학생명단!B19="","",학생명단!B19)</f>
        <v/>
      </c>
      <c r="C19" s="23" t="str">
        <f aca="false">IF(학생명단!C19="","",학생명단!C19)</f>
        <v/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15" t="str">
        <f aca="false">IF(COUNTA(D19:W19)=0,"",SUMPRODUCT((D19:W19=$D$2:$W$2)*(D19:W19&lt;&gt;"")))</f>
        <v/>
      </c>
      <c r="Y19" s="34" t="str">
        <f aca="false">IF(COUNTA(D19:W19)=0,"",SUMPRODUCT((D19:W19=$D$2:$W$2)*(D19:W19&lt;&gt;"")*$D$3:$W$3))</f>
        <v/>
      </c>
      <c r="Z19" s="15" t="str">
        <f aca="false">IF($Y19="","",SUMPRODUCT(($D19:$W19=$D$2:$W$2)*($D19:$W19&lt;&gt;"")*$D$3:$W$3*($D$4:$W$4=Z$6)))</f>
        <v/>
      </c>
      <c r="AA19" s="15" t="str">
        <f aca="false">IF($Y19="","",SUMPRODUCT(($D19:$W19=$D$2:$W$2)*($D19:$W19&lt;&gt;"")*$D$3:$W$3*($D$4:$W$4=AA$6)))</f>
        <v/>
      </c>
      <c r="AB19" s="15" t="str">
        <f aca="false">IF($Y19="","",SUMPRODUCT(($D19:$W19=$D$2:$W$2)*($D19:$W19&lt;&gt;"")*$D$3:$W$3*($D$4:$W$4=AB$6)))</f>
        <v/>
      </c>
    </row>
    <row r="20" customFormat="false" ht="15" hidden="false" customHeight="false" outlineLevel="0" collapsed="false">
      <c r="A20" s="6" t="n">
        <v>14</v>
      </c>
      <c r="B20" s="6" t="str">
        <f aca="false">IF(학생명단!B20="","",학생명단!B20)</f>
        <v/>
      </c>
      <c r="C20" s="23" t="str">
        <f aca="false">IF(학생명단!C20="","",학생명단!C20)</f>
        <v/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15" t="str">
        <f aca="false">IF(COUNTA(D20:W20)=0,"",SUMPRODUCT((D20:W20=$D$2:$W$2)*(D20:W20&lt;&gt;"")))</f>
        <v/>
      </c>
      <c r="Y20" s="34" t="str">
        <f aca="false">IF(COUNTA(D20:W20)=0,"",SUMPRODUCT((D20:W20=$D$2:$W$2)*(D20:W20&lt;&gt;"")*$D$3:$W$3))</f>
        <v/>
      </c>
      <c r="Z20" s="15" t="str">
        <f aca="false">IF($Y20="","",SUMPRODUCT(($D20:$W20=$D$2:$W$2)*($D20:$W20&lt;&gt;"")*$D$3:$W$3*($D$4:$W$4=Z$6)))</f>
        <v/>
      </c>
      <c r="AA20" s="15" t="str">
        <f aca="false">IF($Y20="","",SUMPRODUCT(($D20:$W20=$D$2:$W$2)*($D20:$W20&lt;&gt;"")*$D$3:$W$3*($D$4:$W$4=AA$6)))</f>
        <v/>
      </c>
      <c r="AB20" s="15" t="str">
        <f aca="false">IF($Y20="","",SUMPRODUCT(($D20:$W20=$D$2:$W$2)*($D20:$W20&lt;&gt;"")*$D$3:$W$3*($D$4:$W$4=AB$6)))</f>
        <v/>
      </c>
    </row>
    <row r="21" customFormat="false" ht="15" hidden="false" customHeight="false" outlineLevel="0" collapsed="false">
      <c r="A21" s="6" t="n">
        <v>15</v>
      </c>
      <c r="B21" s="6" t="str">
        <f aca="false">IF(학생명단!B21="","",학생명단!B21)</f>
        <v/>
      </c>
      <c r="C21" s="23" t="str">
        <f aca="false">IF(학생명단!C21="","",학생명단!C21)</f>
        <v/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15" t="str">
        <f aca="false">IF(COUNTA(D21:W21)=0,"",SUMPRODUCT((D21:W21=$D$2:$W$2)*(D21:W21&lt;&gt;"")))</f>
        <v/>
      </c>
      <c r="Y21" s="34" t="str">
        <f aca="false">IF(COUNTA(D21:W21)=0,"",SUMPRODUCT((D21:W21=$D$2:$W$2)*(D21:W21&lt;&gt;"")*$D$3:$W$3))</f>
        <v/>
      </c>
      <c r="Z21" s="15" t="str">
        <f aca="false">IF($Y21="","",SUMPRODUCT(($D21:$W21=$D$2:$W$2)*($D21:$W21&lt;&gt;"")*$D$3:$W$3*($D$4:$W$4=Z$6)))</f>
        <v/>
      </c>
      <c r="AA21" s="15" t="str">
        <f aca="false">IF($Y21="","",SUMPRODUCT(($D21:$W21=$D$2:$W$2)*($D21:$W21&lt;&gt;"")*$D$3:$W$3*($D$4:$W$4=AA$6)))</f>
        <v/>
      </c>
      <c r="AB21" s="15" t="str">
        <f aca="false">IF($Y21="","",SUMPRODUCT(($D21:$W21=$D$2:$W$2)*($D21:$W21&lt;&gt;"")*$D$3:$W$3*($D$4:$W$4=AB$6)))</f>
        <v/>
      </c>
    </row>
    <row r="22" customFormat="false" ht="15" hidden="false" customHeight="false" outlineLevel="0" collapsed="false">
      <c r="A22" s="6" t="n">
        <v>16</v>
      </c>
      <c r="B22" s="6" t="str">
        <f aca="false">IF(학생명단!B22="","",학생명단!B22)</f>
        <v/>
      </c>
      <c r="C22" s="23" t="str">
        <f aca="false">IF(학생명단!C22="","",학생명단!C22)</f>
        <v/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15" t="str">
        <f aca="false">IF(COUNTA(D22:W22)=0,"",SUMPRODUCT((D22:W22=$D$2:$W$2)*(D22:W22&lt;&gt;"")))</f>
        <v/>
      </c>
      <c r="Y22" s="34" t="str">
        <f aca="false">IF(COUNTA(D22:W22)=0,"",SUMPRODUCT((D22:W22=$D$2:$W$2)*(D22:W22&lt;&gt;"")*$D$3:$W$3))</f>
        <v/>
      </c>
      <c r="Z22" s="15" t="str">
        <f aca="false">IF($Y22="","",SUMPRODUCT(($D22:$W22=$D$2:$W$2)*($D22:$W22&lt;&gt;"")*$D$3:$W$3*($D$4:$W$4=Z$6)))</f>
        <v/>
      </c>
      <c r="AA22" s="15" t="str">
        <f aca="false">IF($Y22="","",SUMPRODUCT(($D22:$W22=$D$2:$W$2)*($D22:$W22&lt;&gt;"")*$D$3:$W$3*($D$4:$W$4=AA$6)))</f>
        <v/>
      </c>
      <c r="AB22" s="15" t="str">
        <f aca="false">IF($Y22="","",SUMPRODUCT(($D22:$W22=$D$2:$W$2)*($D22:$W22&lt;&gt;"")*$D$3:$W$3*($D$4:$W$4=AB$6)))</f>
        <v/>
      </c>
    </row>
    <row r="23" customFormat="false" ht="15" hidden="false" customHeight="false" outlineLevel="0" collapsed="false">
      <c r="A23" s="6" t="n">
        <v>17</v>
      </c>
      <c r="B23" s="6" t="str">
        <f aca="false">IF(학생명단!B23="","",학생명단!B23)</f>
        <v/>
      </c>
      <c r="C23" s="23" t="str">
        <f aca="false">IF(학생명단!C23="","",학생명단!C23)</f>
        <v/>
      </c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15" t="str">
        <f aca="false">IF(COUNTA(D23:W23)=0,"",SUMPRODUCT((D23:W23=$D$2:$W$2)*(D23:W23&lt;&gt;"")))</f>
        <v/>
      </c>
      <c r="Y23" s="34" t="str">
        <f aca="false">IF(COUNTA(D23:W23)=0,"",SUMPRODUCT((D23:W23=$D$2:$W$2)*(D23:W23&lt;&gt;"")*$D$3:$W$3))</f>
        <v/>
      </c>
      <c r="Z23" s="15" t="str">
        <f aca="false">IF($Y23="","",SUMPRODUCT(($D23:$W23=$D$2:$W$2)*($D23:$W23&lt;&gt;"")*$D$3:$W$3*($D$4:$W$4=Z$6)))</f>
        <v/>
      </c>
      <c r="AA23" s="15" t="str">
        <f aca="false">IF($Y23="","",SUMPRODUCT(($D23:$W23=$D$2:$W$2)*($D23:$W23&lt;&gt;"")*$D$3:$W$3*($D$4:$W$4=AA$6)))</f>
        <v/>
      </c>
      <c r="AB23" s="15" t="str">
        <f aca="false">IF($Y23="","",SUMPRODUCT(($D23:$W23=$D$2:$W$2)*($D23:$W23&lt;&gt;"")*$D$3:$W$3*($D$4:$W$4=AB$6)))</f>
        <v/>
      </c>
    </row>
    <row r="24" customFormat="false" ht="15" hidden="false" customHeight="false" outlineLevel="0" collapsed="false">
      <c r="A24" s="6" t="n">
        <v>18</v>
      </c>
      <c r="B24" s="6" t="str">
        <f aca="false">IF(학생명단!B24="","",학생명단!B24)</f>
        <v/>
      </c>
      <c r="C24" s="23" t="str">
        <f aca="false">IF(학생명단!C24="","",학생명단!C24)</f>
        <v/>
      </c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15" t="str">
        <f aca="false">IF(COUNTA(D24:W24)=0,"",SUMPRODUCT((D24:W24=$D$2:$W$2)*(D24:W24&lt;&gt;"")))</f>
        <v/>
      </c>
      <c r="Y24" s="34" t="str">
        <f aca="false">IF(COUNTA(D24:W24)=0,"",SUMPRODUCT((D24:W24=$D$2:$W$2)*(D24:W24&lt;&gt;"")*$D$3:$W$3))</f>
        <v/>
      </c>
      <c r="Z24" s="15" t="str">
        <f aca="false">IF($Y24="","",SUMPRODUCT(($D24:$W24=$D$2:$W$2)*($D24:$W24&lt;&gt;"")*$D$3:$W$3*($D$4:$W$4=Z$6)))</f>
        <v/>
      </c>
      <c r="AA24" s="15" t="str">
        <f aca="false">IF($Y24="","",SUMPRODUCT(($D24:$W24=$D$2:$W$2)*($D24:$W24&lt;&gt;"")*$D$3:$W$3*($D$4:$W$4=AA$6)))</f>
        <v/>
      </c>
      <c r="AB24" s="15" t="str">
        <f aca="false">IF($Y24="","",SUMPRODUCT(($D24:$W24=$D$2:$W$2)*($D24:$W24&lt;&gt;"")*$D$3:$W$3*($D$4:$W$4=AB$6)))</f>
        <v/>
      </c>
    </row>
    <row r="25" customFormat="false" ht="15" hidden="false" customHeight="false" outlineLevel="0" collapsed="false">
      <c r="A25" s="6" t="n">
        <v>19</v>
      </c>
      <c r="B25" s="6" t="str">
        <f aca="false">IF(학생명단!B25="","",학생명단!B25)</f>
        <v/>
      </c>
      <c r="C25" s="23" t="str">
        <f aca="false">IF(학생명단!C25="","",학생명단!C25)</f>
        <v/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15" t="str">
        <f aca="false">IF(COUNTA(D25:W25)=0,"",SUMPRODUCT((D25:W25=$D$2:$W$2)*(D25:W25&lt;&gt;"")))</f>
        <v/>
      </c>
      <c r="Y25" s="34" t="str">
        <f aca="false">IF(COUNTA(D25:W25)=0,"",SUMPRODUCT((D25:W25=$D$2:$W$2)*(D25:W25&lt;&gt;"")*$D$3:$W$3))</f>
        <v/>
      </c>
      <c r="Z25" s="15" t="str">
        <f aca="false">IF($Y25="","",SUMPRODUCT(($D25:$W25=$D$2:$W$2)*($D25:$W25&lt;&gt;"")*$D$3:$W$3*($D$4:$W$4=Z$6)))</f>
        <v/>
      </c>
      <c r="AA25" s="15" t="str">
        <f aca="false">IF($Y25="","",SUMPRODUCT(($D25:$W25=$D$2:$W$2)*($D25:$W25&lt;&gt;"")*$D$3:$W$3*($D$4:$W$4=AA$6)))</f>
        <v/>
      </c>
      <c r="AB25" s="15" t="str">
        <f aca="false">IF($Y25="","",SUMPRODUCT(($D25:$W25=$D$2:$W$2)*($D25:$W25&lt;&gt;"")*$D$3:$W$3*($D$4:$W$4=AB$6)))</f>
        <v/>
      </c>
    </row>
    <row r="26" customFormat="false" ht="15" hidden="false" customHeight="false" outlineLevel="0" collapsed="false">
      <c r="A26" s="6" t="n">
        <v>20</v>
      </c>
      <c r="B26" s="6" t="str">
        <f aca="false">IF(학생명단!B26="","",학생명단!B26)</f>
        <v/>
      </c>
      <c r="C26" s="23" t="str">
        <f aca="false">IF(학생명단!C26="","",학생명단!C26)</f>
        <v/>
      </c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15" t="str">
        <f aca="false">IF(COUNTA(D26:W26)=0,"",SUMPRODUCT((D26:W26=$D$2:$W$2)*(D26:W26&lt;&gt;"")))</f>
        <v/>
      </c>
      <c r="Y26" s="34" t="str">
        <f aca="false">IF(COUNTA(D26:W26)=0,"",SUMPRODUCT((D26:W26=$D$2:$W$2)*(D26:W26&lt;&gt;"")*$D$3:$W$3))</f>
        <v/>
      </c>
      <c r="Z26" s="15" t="str">
        <f aca="false">IF($Y26="","",SUMPRODUCT(($D26:$W26=$D$2:$W$2)*($D26:$W26&lt;&gt;"")*$D$3:$W$3*($D$4:$W$4=Z$6)))</f>
        <v/>
      </c>
      <c r="AA26" s="15" t="str">
        <f aca="false">IF($Y26="","",SUMPRODUCT(($D26:$W26=$D$2:$W$2)*($D26:$W26&lt;&gt;"")*$D$3:$W$3*($D$4:$W$4=AA$6)))</f>
        <v/>
      </c>
      <c r="AB26" s="15" t="str">
        <f aca="false">IF($Y26="","",SUMPRODUCT(($D26:$W26=$D$2:$W$2)*($D26:$W26&lt;&gt;"")*$D$3:$W$3*($D$4:$W$4=AB$6)))</f>
        <v/>
      </c>
    </row>
    <row r="27" customFormat="false" ht="15" hidden="false" customHeight="false" outlineLevel="0" collapsed="false">
      <c r="A27" s="6" t="n">
        <v>21</v>
      </c>
      <c r="B27" s="6" t="str">
        <f aca="false">IF(학생명단!B27="","",학생명단!B27)</f>
        <v/>
      </c>
      <c r="C27" s="23" t="str">
        <f aca="false">IF(학생명단!C27="","",학생명단!C27)</f>
        <v/>
      </c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15" t="str">
        <f aca="false">IF(COUNTA(D27:W27)=0,"",SUMPRODUCT((D27:W27=$D$2:$W$2)*(D27:W27&lt;&gt;"")))</f>
        <v/>
      </c>
      <c r="Y27" s="34" t="str">
        <f aca="false">IF(COUNTA(D27:W27)=0,"",SUMPRODUCT((D27:W27=$D$2:$W$2)*(D27:W27&lt;&gt;"")*$D$3:$W$3))</f>
        <v/>
      </c>
      <c r="Z27" s="15" t="str">
        <f aca="false">IF($Y27="","",SUMPRODUCT(($D27:$W27=$D$2:$W$2)*($D27:$W27&lt;&gt;"")*$D$3:$W$3*($D$4:$W$4=Z$6)))</f>
        <v/>
      </c>
      <c r="AA27" s="15" t="str">
        <f aca="false">IF($Y27="","",SUMPRODUCT(($D27:$W27=$D$2:$W$2)*($D27:$W27&lt;&gt;"")*$D$3:$W$3*($D$4:$W$4=AA$6)))</f>
        <v/>
      </c>
      <c r="AB27" s="15" t="str">
        <f aca="false">IF($Y27="","",SUMPRODUCT(($D27:$W27=$D$2:$W$2)*($D27:$W27&lt;&gt;"")*$D$3:$W$3*($D$4:$W$4=AB$6)))</f>
        <v/>
      </c>
    </row>
    <row r="28" customFormat="false" ht="15" hidden="false" customHeight="false" outlineLevel="0" collapsed="false">
      <c r="A28" s="6" t="n">
        <v>22</v>
      </c>
      <c r="B28" s="6" t="str">
        <f aca="false">IF(학생명단!B28="","",학생명단!B28)</f>
        <v/>
      </c>
      <c r="C28" s="23" t="str">
        <f aca="false">IF(학생명단!C28="","",학생명단!C28)</f>
        <v/>
      </c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15" t="str">
        <f aca="false">IF(COUNTA(D28:W28)=0,"",SUMPRODUCT((D28:W28=$D$2:$W$2)*(D28:W28&lt;&gt;"")))</f>
        <v/>
      </c>
      <c r="Y28" s="34" t="str">
        <f aca="false">IF(COUNTA(D28:W28)=0,"",SUMPRODUCT((D28:W28=$D$2:$W$2)*(D28:W28&lt;&gt;"")*$D$3:$W$3))</f>
        <v/>
      </c>
      <c r="Z28" s="15" t="str">
        <f aca="false">IF($Y28="","",SUMPRODUCT(($D28:$W28=$D$2:$W$2)*($D28:$W28&lt;&gt;"")*$D$3:$W$3*($D$4:$W$4=Z$6)))</f>
        <v/>
      </c>
      <c r="AA28" s="15" t="str">
        <f aca="false">IF($Y28="","",SUMPRODUCT(($D28:$W28=$D$2:$W$2)*($D28:$W28&lt;&gt;"")*$D$3:$W$3*($D$4:$W$4=AA$6)))</f>
        <v/>
      </c>
      <c r="AB28" s="15" t="str">
        <f aca="false">IF($Y28="","",SUMPRODUCT(($D28:$W28=$D$2:$W$2)*($D28:$W28&lt;&gt;"")*$D$3:$W$3*($D$4:$W$4=AB$6)))</f>
        <v/>
      </c>
    </row>
    <row r="29" customFormat="false" ht="15" hidden="false" customHeight="false" outlineLevel="0" collapsed="false">
      <c r="A29" s="6" t="n">
        <v>23</v>
      </c>
      <c r="B29" s="6" t="str">
        <f aca="false">IF(학생명단!B29="","",학생명단!B29)</f>
        <v/>
      </c>
      <c r="C29" s="23" t="str">
        <f aca="false">IF(학생명단!C29="","",학생명단!C29)</f>
        <v/>
      </c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15" t="str">
        <f aca="false">IF(COUNTA(D29:W29)=0,"",SUMPRODUCT((D29:W29=$D$2:$W$2)*(D29:W29&lt;&gt;"")))</f>
        <v/>
      </c>
      <c r="Y29" s="34" t="str">
        <f aca="false">IF(COUNTA(D29:W29)=0,"",SUMPRODUCT((D29:W29=$D$2:$W$2)*(D29:W29&lt;&gt;"")*$D$3:$W$3))</f>
        <v/>
      </c>
      <c r="Z29" s="15" t="str">
        <f aca="false">IF($Y29="","",SUMPRODUCT(($D29:$W29=$D$2:$W$2)*($D29:$W29&lt;&gt;"")*$D$3:$W$3*($D$4:$W$4=Z$6)))</f>
        <v/>
      </c>
      <c r="AA29" s="15" t="str">
        <f aca="false">IF($Y29="","",SUMPRODUCT(($D29:$W29=$D$2:$W$2)*($D29:$W29&lt;&gt;"")*$D$3:$W$3*($D$4:$W$4=AA$6)))</f>
        <v/>
      </c>
      <c r="AB29" s="15" t="str">
        <f aca="false">IF($Y29="","",SUMPRODUCT(($D29:$W29=$D$2:$W$2)*($D29:$W29&lt;&gt;"")*$D$3:$W$3*($D$4:$W$4=AB$6)))</f>
        <v/>
      </c>
    </row>
    <row r="30" customFormat="false" ht="15" hidden="false" customHeight="false" outlineLevel="0" collapsed="false">
      <c r="A30" s="6" t="n">
        <v>24</v>
      </c>
      <c r="B30" s="6" t="str">
        <f aca="false">IF(학생명단!B30="","",학생명단!B30)</f>
        <v/>
      </c>
      <c r="C30" s="23" t="str">
        <f aca="false">IF(학생명단!C30="","",학생명단!C30)</f>
        <v/>
      </c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15" t="str">
        <f aca="false">IF(COUNTA(D30:W30)=0,"",SUMPRODUCT((D30:W30=$D$2:$W$2)*(D30:W30&lt;&gt;"")))</f>
        <v/>
      </c>
      <c r="Y30" s="34" t="str">
        <f aca="false">IF(COUNTA(D30:W30)=0,"",SUMPRODUCT((D30:W30=$D$2:$W$2)*(D30:W30&lt;&gt;"")*$D$3:$W$3))</f>
        <v/>
      </c>
      <c r="Z30" s="15" t="str">
        <f aca="false">IF($Y30="","",SUMPRODUCT(($D30:$W30=$D$2:$W$2)*($D30:$W30&lt;&gt;"")*$D$3:$W$3*($D$4:$W$4=Z$6)))</f>
        <v/>
      </c>
      <c r="AA30" s="15" t="str">
        <f aca="false">IF($Y30="","",SUMPRODUCT(($D30:$W30=$D$2:$W$2)*($D30:$W30&lt;&gt;"")*$D$3:$W$3*($D$4:$W$4=AA$6)))</f>
        <v/>
      </c>
      <c r="AB30" s="15" t="str">
        <f aca="false">IF($Y30="","",SUMPRODUCT(($D30:$W30=$D$2:$W$2)*($D30:$W30&lt;&gt;"")*$D$3:$W$3*($D$4:$W$4=AB$6)))</f>
        <v/>
      </c>
    </row>
    <row r="31" customFormat="false" ht="15" hidden="false" customHeight="false" outlineLevel="0" collapsed="false">
      <c r="A31" s="6" t="n">
        <v>25</v>
      </c>
      <c r="B31" s="6" t="str">
        <f aca="false">IF(학생명단!B31="","",학생명단!B31)</f>
        <v/>
      </c>
      <c r="C31" s="23" t="str">
        <f aca="false">IF(학생명단!C31="","",학생명단!C31)</f>
        <v/>
      </c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15" t="str">
        <f aca="false">IF(COUNTA(D31:W31)=0,"",SUMPRODUCT((D31:W31=$D$2:$W$2)*(D31:W31&lt;&gt;"")))</f>
        <v/>
      </c>
      <c r="Y31" s="34" t="str">
        <f aca="false">IF(COUNTA(D31:W31)=0,"",SUMPRODUCT((D31:W31=$D$2:$W$2)*(D31:W31&lt;&gt;"")*$D$3:$W$3))</f>
        <v/>
      </c>
      <c r="Z31" s="15" t="str">
        <f aca="false">IF($Y31="","",SUMPRODUCT(($D31:$W31=$D$2:$W$2)*($D31:$W31&lt;&gt;"")*$D$3:$W$3*($D$4:$W$4=Z$6)))</f>
        <v/>
      </c>
      <c r="AA31" s="15" t="str">
        <f aca="false">IF($Y31="","",SUMPRODUCT(($D31:$W31=$D$2:$W$2)*($D31:$W31&lt;&gt;"")*$D$3:$W$3*($D$4:$W$4=AA$6)))</f>
        <v/>
      </c>
      <c r="AB31" s="15" t="str">
        <f aca="false">IF($Y31="","",SUMPRODUCT(($D31:$W31=$D$2:$W$2)*($D31:$W31&lt;&gt;"")*$D$3:$W$3*($D$4:$W$4=AB$6)))</f>
        <v/>
      </c>
    </row>
    <row r="32" customFormat="false" ht="15" hidden="false" customHeight="false" outlineLevel="0" collapsed="false">
      <c r="A32" s="6" t="n">
        <v>26</v>
      </c>
      <c r="B32" s="6" t="str">
        <f aca="false">IF(학생명단!B32="","",학생명단!B32)</f>
        <v/>
      </c>
      <c r="C32" s="23" t="str">
        <f aca="false">IF(학생명단!C32="","",학생명단!C32)</f>
        <v/>
      </c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15" t="str">
        <f aca="false">IF(COUNTA(D32:W32)=0,"",SUMPRODUCT((D32:W32=$D$2:$W$2)*(D32:W32&lt;&gt;"")))</f>
        <v/>
      </c>
      <c r="Y32" s="34" t="str">
        <f aca="false">IF(COUNTA(D32:W32)=0,"",SUMPRODUCT((D32:W32=$D$2:$W$2)*(D32:W32&lt;&gt;"")*$D$3:$W$3))</f>
        <v/>
      </c>
      <c r="Z32" s="15" t="str">
        <f aca="false">IF($Y32="","",SUMPRODUCT(($D32:$W32=$D$2:$W$2)*($D32:$W32&lt;&gt;"")*$D$3:$W$3*($D$4:$W$4=Z$6)))</f>
        <v/>
      </c>
      <c r="AA32" s="15" t="str">
        <f aca="false">IF($Y32="","",SUMPRODUCT(($D32:$W32=$D$2:$W$2)*($D32:$W32&lt;&gt;"")*$D$3:$W$3*($D$4:$W$4=AA$6)))</f>
        <v/>
      </c>
      <c r="AB32" s="15" t="str">
        <f aca="false">IF($Y32="","",SUMPRODUCT(($D32:$W32=$D$2:$W$2)*($D32:$W32&lt;&gt;"")*$D$3:$W$3*($D$4:$W$4=AB$6)))</f>
        <v/>
      </c>
    </row>
    <row r="33" customFormat="false" ht="15" hidden="false" customHeight="false" outlineLevel="0" collapsed="false">
      <c r="A33" s="6" t="n">
        <v>27</v>
      </c>
      <c r="B33" s="6" t="str">
        <f aca="false">IF(학생명단!B33="","",학생명단!B33)</f>
        <v/>
      </c>
      <c r="C33" s="23" t="str">
        <f aca="false">IF(학생명단!C33="","",학생명단!C33)</f>
        <v/>
      </c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15" t="str">
        <f aca="false">IF(COUNTA(D33:W33)=0,"",SUMPRODUCT((D33:W33=$D$2:$W$2)*(D33:W33&lt;&gt;"")))</f>
        <v/>
      </c>
      <c r="Y33" s="34" t="str">
        <f aca="false">IF(COUNTA(D33:W33)=0,"",SUMPRODUCT((D33:W33=$D$2:$W$2)*(D33:W33&lt;&gt;"")*$D$3:$W$3))</f>
        <v/>
      </c>
      <c r="Z33" s="15" t="str">
        <f aca="false">IF($Y33="","",SUMPRODUCT(($D33:$W33=$D$2:$W$2)*($D33:$W33&lt;&gt;"")*$D$3:$W$3*($D$4:$W$4=Z$6)))</f>
        <v/>
      </c>
      <c r="AA33" s="15" t="str">
        <f aca="false">IF($Y33="","",SUMPRODUCT(($D33:$W33=$D$2:$W$2)*($D33:$W33&lt;&gt;"")*$D$3:$W$3*($D$4:$W$4=AA$6)))</f>
        <v/>
      </c>
      <c r="AB33" s="15" t="str">
        <f aca="false">IF($Y33="","",SUMPRODUCT(($D33:$W33=$D$2:$W$2)*($D33:$W33&lt;&gt;"")*$D$3:$W$3*($D$4:$W$4=AB$6)))</f>
        <v/>
      </c>
    </row>
    <row r="34" customFormat="false" ht="15" hidden="false" customHeight="false" outlineLevel="0" collapsed="false">
      <c r="A34" s="6" t="n">
        <v>28</v>
      </c>
      <c r="B34" s="6" t="str">
        <f aca="false">IF(학생명단!B34="","",학생명단!B34)</f>
        <v/>
      </c>
      <c r="C34" s="23" t="str">
        <f aca="false">IF(학생명단!C34="","",학생명단!C34)</f>
        <v/>
      </c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15" t="str">
        <f aca="false">IF(COUNTA(D34:W34)=0,"",SUMPRODUCT((D34:W34=$D$2:$W$2)*(D34:W34&lt;&gt;"")))</f>
        <v/>
      </c>
      <c r="Y34" s="34" t="str">
        <f aca="false">IF(COUNTA(D34:W34)=0,"",SUMPRODUCT((D34:W34=$D$2:$W$2)*(D34:W34&lt;&gt;"")*$D$3:$W$3))</f>
        <v/>
      </c>
      <c r="Z34" s="15" t="str">
        <f aca="false">IF($Y34="","",SUMPRODUCT(($D34:$W34=$D$2:$W$2)*($D34:$W34&lt;&gt;"")*$D$3:$W$3*($D$4:$W$4=Z$6)))</f>
        <v/>
      </c>
      <c r="AA34" s="15" t="str">
        <f aca="false">IF($Y34="","",SUMPRODUCT(($D34:$W34=$D$2:$W$2)*($D34:$W34&lt;&gt;"")*$D$3:$W$3*($D$4:$W$4=AA$6)))</f>
        <v/>
      </c>
      <c r="AB34" s="15" t="str">
        <f aca="false">IF($Y34="","",SUMPRODUCT(($D34:$W34=$D$2:$W$2)*($D34:$W34&lt;&gt;"")*$D$3:$W$3*($D$4:$W$4=AB$6)))</f>
        <v/>
      </c>
    </row>
    <row r="35" customFormat="false" ht="15" hidden="false" customHeight="false" outlineLevel="0" collapsed="false">
      <c r="A35" s="6" t="n">
        <v>29</v>
      </c>
      <c r="B35" s="6" t="str">
        <f aca="false">IF(학생명단!B35="","",학생명단!B35)</f>
        <v/>
      </c>
      <c r="C35" s="23" t="str">
        <f aca="false">IF(학생명단!C35="","",학생명단!C35)</f>
        <v/>
      </c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15" t="str">
        <f aca="false">IF(COUNTA(D35:W35)=0,"",SUMPRODUCT((D35:W35=$D$2:$W$2)*(D35:W35&lt;&gt;"")))</f>
        <v/>
      </c>
      <c r="Y35" s="34" t="str">
        <f aca="false">IF(COUNTA(D35:W35)=0,"",SUMPRODUCT((D35:W35=$D$2:$W$2)*(D35:W35&lt;&gt;"")*$D$3:$W$3))</f>
        <v/>
      </c>
      <c r="Z35" s="15" t="str">
        <f aca="false">IF($Y35="","",SUMPRODUCT(($D35:$W35=$D$2:$W$2)*($D35:$W35&lt;&gt;"")*$D$3:$W$3*($D$4:$W$4=Z$6)))</f>
        <v/>
      </c>
      <c r="AA35" s="15" t="str">
        <f aca="false">IF($Y35="","",SUMPRODUCT(($D35:$W35=$D$2:$W$2)*($D35:$W35&lt;&gt;"")*$D$3:$W$3*($D$4:$W$4=AA$6)))</f>
        <v/>
      </c>
      <c r="AB35" s="15" t="str">
        <f aca="false">IF($Y35="","",SUMPRODUCT(($D35:$W35=$D$2:$W$2)*($D35:$W35&lt;&gt;"")*$D$3:$W$3*($D$4:$W$4=AB$6)))</f>
        <v/>
      </c>
    </row>
    <row r="36" customFormat="false" ht="15" hidden="false" customHeight="false" outlineLevel="0" collapsed="false">
      <c r="A36" s="6" t="n">
        <v>30</v>
      </c>
      <c r="B36" s="6" t="str">
        <f aca="false">IF(학생명단!B36="","",학생명단!B36)</f>
        <v/>
      </c>
      <c r="C36" s="23" t="str">
        <f aca="false">IF(학생명단!C36="","",학생명단!C36)</f>
        <v/>
      </c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15" t="str">
        <f aca="false">IF(COUNTA(D36:W36)=0,"",SUMPRODUCT((D36:W36=$D$2:$W$2)*(D36:W36&lt;&gt;"")))</f>
        <v/>
      </c>
      <c r="Y36" s="34" t="str">
        <f aca="false">IF(COUNTA(D36:W36)=0,"",SUMPRODUCT((D36:W36=$D$2:$W$2)*(D36:W36&lt;&gt;"")*$D$3:$W$3))</f>
        <v/>
      </c>
      <c r="Z36" s="15" t="str">
        <f aca="false">IF($Y36="","",SUMPRODUCT(($D36:$W36=$D$2:$W$2)*($D36:$W36&lt;&gt;"")*$D$3:$W$3*($D$4:$W$4=Z$6)))</f>
        <v/>
      </c>
      <c r="AA36" s="15" t="str">
        <f aca="false">IF($Y36="","",SUMPRODUCT(($D36:$W36=$D$2:$W$2)*($D36:$W36&lt;&gt;"")*$D$3:$W$3*($D$4:$W$4=AA$6)))</f>
        <v/>
      </c>
      <c r="AB36" s="15" t="str">
        <f aca="false">IF($Y36="","",SUMPRODUCT(($D36:$W36=$D$2:$W$2)*($D36:$W36&lt;&gt;"")*$D$3:$W$3*($D$4:$W$4=AB$6)))</f>
        <v/>
      </c>
    </row>
    <row r="37" customFormat="false" ht="15" hidden="false" customHeight="false" outlineLevel="0" collapsed="false">
      <c r="A37" s="6" t="n">
        <v>31</v>
      </c>
      <c r="B37" s="6" t="str">
        <f aca="false">IF(학생명단!B37="","",학생명단!B37)</f>
        <v/>
      </c>
      <c r="C37" s="23" t="str">
        <f aca="false">IF(학생명단!C37="","",학생명단!C37)</f>
        <v/>
      </c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15" t="str">
        <f aca="false">IF(COUNTA(D37:W37)=0,"",SUMPRODUCT((D37:W37=$D$2:$W$2)*(D37:W37&lt;&gt;"")))</f>
        <v/>
      </c>
      <c r="Y37" s="34" t="str">
        <f aca="false">IF(COUNTA(D37:W37)=0,"",SUMPRODUCT((D37:W37=$D$2:$W$2)*(D37:W37&lt;&gt;"")*$D$3:$W$3))</f>
        <v/>
      </c>
      <c r="Z37" s="15" t="str">
        <f aca="false">IF($Y37="","",SUMPRODUCT(($D37:$W37=$D$2:$W$2)*($D37:$W37&lt;&gt;"")*$D$3:$W$3*($D$4:$W$4=Z$6)))</f>
        <v/>
      </c>
      <c r="AA37" s="15" t="str">
        <f aca="false">IF($Y37="","",SUMPRODUCT(($D37:$W37=$D$2:$W$2)*($D37:$W37&lt;&gt;"")*$D$3:$W$3*($D$4:$W$4=AA$6)))</f>
        <v/>
      </c>
      <c r="AB37" s="15" t="str">
        <f aca="false">IF($Y37="","",SUMPRODUCT(($D37:$W37=$D$2:$W$2)*($D37:$W37&lt;&gt;"")*$D$3:$W$3*($D$4:$W$4=AB$6)))</f>
        <v/>
      </c>
    </row>
    <row r="38" customFormat="false" ht="15" hidden="false" customHeight="false" outlineLevel="0" collapsed="false">
      <c r="A38" s="6" t="n">
        <v>32</v>
      </c>
      <c r="B38" s="6" t="str">
        <f aca="false">IF(학생명단!B38="","",학생명단!B38)</f>
        <v/>
      </c>
      <c r="C38" s="23" t="str">
        <f aca="false">IF(학생명단!C38="","",학생명단!C38)</f>
        <v/>
      </c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15" t="str">
        <f aca="false">IF(COUNTA(D38:W38)=0,"",SUMPRODUCT((D38:W38=$D$2:$W$2)*(D38:W38&lt;&gt;"")))</f>
        <v/>
      </c>
      <c r="Y38" s="34" t="str">
        <f aca="false">IF(COUNTA(D38:W38)=0,"",SUMPRODUCT((D38:W38=$D$2:$W$2)*(D38:W38&lt;&gt;"")*$D$3:$W$3))</f>
        <v/>
      </c>
      <c r="Z38" s="15" t="str">
        <f aca="false">IF($Y38="","",SUMPRODUCT(($D38:$W38=$D$2:$W$2)*($D38:$W38&lt;&gt;"")*$D$3:$W$3*($D$4:$W$4=Z$6)))</f>
        <v/>
      </c>
      <c r="AA38" s="15" t="str">
        <f aca="false">IF($Y38="","",SUMPRODUCT(($D38:$W38=$D$2:$W$2)*($D38:$W38&lt;&gt;"")*$D$3:$W$3*($D$4:$W$4=AA$6)))</f>
        <v/>
      </c>
      <c r="AB38" s="15" t="str">
        <f aca="false">IF($Y38="","",SUMPRODUCT(($D38:$W38=$D$2:$W$2)*($D38:$W38&lt;&gt;"")*$D$3:$W$3*($D$4:$W$4=AB$6)))</f>
        <v/>
      </c>
    </row>
    <row r="39" customFormat="false" ht="15" hidden="false" customHeight="false" outlineLevel="0" collapsed="false">
      <c r="A39" s="6" t="n">
        <v>33</v>
      </c>
      <c r="B39" s="6" t="str">
        <f aca="false">IF(학생명단!B39="","",학생명단!B39)</f>
        <v/>
      </c>
      <c r="C39" s="23" t="str">
        <f aca="false">IF(학생명단!C39="","",학생명단!C39)</f>
        <v/>
      </c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15" t="str">
        <f aca="false">IF(COUNTA(D39:W39)=0,"",SUMPRODUCT((D39:W39=$D$2:$W$2)*(D39:W39&lt;&gt;"")))</f>
        <v/>
      </c>
      <c r="Y39" s="34" t="str">
        <f aca="false">IF(COUNTA(D39:W39)=0,"",SUMPRODUCT((D39:W39=$D$2:$W$2)*(D39:W39&lt;&gt;"")*$D$3:$W$3))</f>
        <v/>
      </c>
      <c r="Z39" s="15" t="str">
        <f aca="false">IF($Y39="","",SUMPRODUCT(($D39:$W39=$D$2:$W$2)*($D39:$W39&lt;&gt;"")*$D$3:$W$3*($D$4:$W$4=Z$6)))</f>
        <v/>
      </c>
      <c r="AA39" s="15" t="str">
        <f aca="false">IF($Y39="","",SUMPRODUCT(($D39:$W39=$D$2:$W$2)*($D39:$W39&lt;&gt;"")*$D$3:$W$3*($D$4:$W$4=AA$6)))</f>
        <v/>
      </c>
      <c r="AB39" s="15" t="str">
        <f aca="false">IF($Y39="","",SUMPRODUCT(($D39:$W39=$D$2:$W$2)*($D39:$W39&lt;&gt;"")*$D$3:$W$3*($D$4:$W$4=AB$6)))</f>
        <v/>
      </c>
    </row>
    <row r="40" customFormat="false" ht="15" hidden="false" customHeight="false" outlineLevel="0" collapsed="false">
      <c r="A40" s="6" t="n">
        <v>34</v>
      </c>
      <c r="B40" s="6" t="str">
        <f aca="false">IF(학생명단!B40="","",학생명단!B40)</f>
        <v/>
      </c>
      <c r="C40" s="23" t="str">
        <f aca="false">IF(학생명단!C40="","",학생명단!C40)</f>
        <v/>
      </c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15" t="str">
        <f aca="false">IF(COUNTA(D40:W40)=0,"",SUMPRODUCT((D40:W40=$D$2:$W$2)*(D40:W40&lt;&gt;"")))</f>
        <v/>
      </c>
      <c r="Y40" s="34" t="str">
        <f aca="false">IF(COUNTA(D40:W40)=0,"",SUMPRODUCT((D40:W40=$D$2:$W$2)*(D40:W40&lt;&gt;"")*$D$3:$W$3))</f>
        <v/>
      </c>
      <c r="Z40" s="15" t="str">
        <f aca="false">IF($Y40="","",SUMPRODUCT(($D40:$W40=$D$2:$W$2)*($D40:$W40&lt;&gt;"")*$D$3:$W$3*($D$4:$W$4=Z$6)))</f>
        <v/>
      </c>
      <c r="AA40" s="15" t="str">
        <f aca="false">IF($Y40="","",SUMPRODUCT(($D40:$W40=$D$2:$W$2)*($D40:$W40&lt;&gt;"")*$D$3:$W$3*($D$4:$W$4=AA$6)))</f>
        <v/>
      </c>
      <c r="AB40" s="15" t="str">
        <f aca="false">IF($Y40="","",SUMPRODUCT(($D40:$W40=$D$2:$W$2)*($D40:$W40&lt;&gt;"")*$D$3:$W$3*($D$4:$W$4=AB$6)))</f>
        <v/>
      </c>
    </row>
    <row r="41" customFormat="false" ht="15" hidden="false" customHeight="false" outlineLevel="0" collapsed="false">
      <c r="A41" s="6" t="n">
        <v>35</v>
      </c>
      <c r="B41" s="6" t="str">
        <f aca="false">IF(학생명단!B41="","",학생명단!B41)</f>
        <v/>
      </c>
      <c r="C41" s="23" t="str">
        <f aca="false">IF(학생명단!C41="","",학생명단!C41)</f>
        <v/>
      </c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15" t="str">
        <f aca="false">IF(COUNTA(D41:W41)=0,"",SUMPRODUCT((D41:W41=$D$2:$W$2)*(D41:W41&lt;&gt;"")))</f>
        <v/>
      </c>
      <c r="Y41" s="34" t="str">
        <f aca="false">IF(COUNTA(D41:W41)=0,"",SUMPRODUCT((D41:W41=$D$2:$W$2)*(D41:W41&lt;&gt;"")*$D$3:$W$3))</f>
        <v/>
      </c>
      <c r="Z41" s="15" t="str">
        <f aca="false">IF($Y41="","",SUMPRODUCT(($D41:$W41=$D$2:$W$2)*($D41:$W41&lt;&gt;"")*$D$3:$W$3*($D$4:$W$4=Z$6)))</f>
        <v/>
      </c>
      <c r="AA41" s="15" t="str">
        <f aca="false">IF($Y41="","",SUMPRODUCT(($D41:$W41=$D$2:$W$2)*($D41:$W41&lt;&gt;"")*$D$3:$W$3*($D$4:$W$4=AA$6)))</f>
        <v/>
      </c>
      <c r="AB41" s="15" t="str">
        <f aca="false">IF($Y41="","",SUMPRODUCT(($D41:$W41=$D$2:$W$2)*($D41:$W41&lt;&gt;"")*$D$3:$W$3*($D$4:$W$4=AB$6)))</f>
        <v/>
      </c>
    </row>
    <row r="42" customFormat="false" ht="15" hidden="false" customHeight="false" outlineLevel="0" collapsed="false">
      <c r="A42" s="6" t="n">
        <v>36</v>
      </c>
      <c r="B42" s="6" t="str">
        <f aca="false">IF(학생명단!B42="","",학생명단!B42)</f>
        <v/>
      </c>
      <c r="C42" s="23" t="str">
        <f aca="false">IF(학생명단!C42="","",학생명단!C42)</f>
        <v/>
      </c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15" t="str">
        <f aca="false">IF(COUNTA(D42:W42)=0,"",SUMPRODUCT((D42:W42=$D$2:$W$2)*(D42:W42&lt;&gt;"")))</f>
        <v/>
      </c>
      <c r="Y42" s="34" t="str">
        <f aca="false">IF(COUNTA(D42:W42)=0,"",SUMPRODUCT((D42:W42=$D$2:$W$2)*(D42:W42&lt;&gt;"")*$D$3:$W$3))</f>
        <v/>
      </c>
      <c r="Z42" s="15" t="str">
        <f aca="false">IF($Y42="","",SUMPRODUCT(($D42:$W42=$D$2:$W$2)*($D42:$W42&lt;&gt;"")*$D$3:$W$3*($D$4:$W$4=Z$6)))</f>
        <v/>
      </c>
      <c r="AA42" s="15" t="str">
        <f aca="false">IF($Y42="","",SUMPRODUCT(($D42:$W42=$D$2:$W$2)*($D42:$W42&lt;&gt;"")*$D$3:$W$3*($D$4:$W$4=AA$6)))</f>
        <v/>
      </c>
      <c r="AB42" s="15" t="str">
        <f aca="false">IF($Y42="","",SUMPRODUCT(($D42:$W42=$D$2:$W$2)*($D42:$W42&lt;&gt;"")*$D$3:$W$3*($D$4:$W$4=AB$6)))</f>
        <v/>
      </c>
    </row>
    <row r="43" customFormat="false" ht="15" hidden="false" customHeight="false" outlineLevel="0" collapsed="false">
      <c r="A43" s="6" t="n">
        <v>37</v>
      </c>
      <c r="B43" s="6" t="str">
        <f aca="false">IF(학생명단!B43="","",학생명단!B43)</f>
        <v/>
      </c>
      <c r="C43" s="23" t="str">
        <f aca="false">IF(학생명단!C43="","",학생명단!C43)</f>
        <v/>
      </c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15" t="str">
        <f aca="false">IF(COUNTA(D43:W43)=0,"",SUMPRODUCT((D43:W43=$D$2:$W$2)*(D43:W43&lt;&gt;"")))</f>
        <v/>
      </c>
      <c r="Y43" s="34" t="str">
        <f aca="false">IF(COUNTA(D43:W43)=0,"",SUMPRODUCT((D43:W43=$D$2:$W$2)*(D43:W43&lt;&gt;"")*$D$3:$W$3))</f>
        <v/>
      </c>
      <c r="Z43" s="15" t="str">
        <f aca="false">IF($Y43="","",SUMPRODUCT(($D43:$W43=$D$2:$W$2)*($D43:$W43&lt;&gt;"")*$D$3:$W$3*($D$4:$W$4=Z$6)))</f>
        <v/>
      </c>
      <c r="AA43" s="15" t="str">
        <f aca="false">IF($Y43="","",SUMPRODUCT(($D43:$W43=$D$2:$W$2)*($D43:$W43&lt;&gt;"")*$D$3:$W$3*($D$4:$W$4=AA$6)))</f>
        <v/>
      </c>
      <c r="AB43" s="15" t="str">
        <f aca="false">IF($Y43="","",SUMPRODUCT(($D43:$W43=$D$2:$W$2)*($D43:$W43&lt;&gt;"")*$D$3:$W$3*($D$4:$W$4=AB$6)))</f>
        <v/>
      </c>
    </row>
    <row r="44" customFormat="false" ht="15" hidden="false" customHeight="false" outlineLevel="0" collapsed="false">
      <c r="A44" s="6" t="n">
        <v>38</v>
      </c>
      <c r="B44" s="6" t="str">
        <f aca="false">IF(학생명단!B44="","",학생명단!B44)</f>
        <v/>
      </c>
      <c r="C44" s="23" t="str">
        <f aca="false">IF(학생명단!C44="","",학생명단!C44)</f>
        <v/>
      </c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15" t="str">
        <f aca="false">IF(COUNTA(D44:W44)=0,"",SUMPRODUCT((D44:W44=$D$2:$W$2)*(D44:W44&lt;&gt;"")))</f>
        <v/>
      </c>
      <c r="Y44" s="34" t="str">
        <f aca="false">IF(COUNTA(D44:W44)=0,"",SUMPRODUCT((D44:W44=$D$2:$W$2)*(D44:W44&lt;&gt;"")*$D$3:$W$3))</f>
        <v/>
      </c>
      <c r="Z44" s="15" t="str">
        <f aca="false">IF($Y44="","",SUMPRODUCT(($D44:$W44=$D$2:$W$2)*($D44:$W44&lt;&gt;"")*$D$3:$W$3*($D$4:$W$4=Z$6)))</f>
        <v/>
      </c>
      <c r="AA44" s="15" t="str">
        <f aca="false">IF($Y44="","",SUMPRODUCT(($D44:$W44=$D$2:$W$2)*($D44:$W44&lt;&gt;"")*$D$3:$W$3*($D$4:$W$4=AA$6)))</f>
        <v/>
      </c>
      <c r="AB44" s="15" t="str">
        <f aca="false">IF($Y44="","",SUMPRODUCT(($D44:$W44=$D$2:$W$2)*($D44:$W44&lt;&gt;"")*$D$3:$W$3*($D$4:$W$4=AB$6)))</f>
        <v/>
      </c>
    </row>
    <row r="45" customFormat="false" ht="15" hidden="false" customHeight="false" outlineLevel="0" collapsed="false">
      <c r="A45" s="6" t="n">
        <v>39</v>
      </c>
      <c r="B45" s="6" t="str">
        <f aca="false">IF(학생명단!B45="","",학생명단!B45)</f>
        <v/>
      </c>
      <c r="C45" s="23" t="str">
        <f aca="false">IF(학생명단!C45="","",학생명단!C45)</f>
        <v/>
      </c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15" t="str">
        <f aca="false">IF(COUNTA(D45:W45)=0,"",SUMPRODUCT((D45:W45=$D$2:$W$2)*(D45:W45&lt;&gt;"")))</f>
        <v/>
      </c>
      <c r="Y45" s="34" t="str">
        <f aca="false">IF(COUNTA(D45:W45)=0,"",SUMPRODUCT((D45:W45=$D$2:$W$2)*(D45:W45&lt;&gt;"")*$D$3:$W$3))</f>
        <v/>
      </c>
      <c r="Z45" s="15" t="str">
        <f aca="false">IF($Y45="","",SUMPRODUCT(($D45:$W45=$D$2:$W$2)*($D45:$W45&lt;&gt;"")*$D$3:$W$3*($D$4:$W$4=Z$6)))</f>
        <v/>
      </c>
      <c r="AA45" s="15" t="str">
        <f aca="false">IF($Y45="","",SUMPRODUCT(($D45:$W45=$D$2:$W$2)*($D45:$W45&lt;&gt;"")*$D$3:$W$3*($D$4:$W$4=AA$6)))</f>
        <v/>
      </c>
      <c r="AB45" s="15" t="str">
        <f aca="false">IF($Y45="","",SUMPRODUCT(($D45:$W45=$D$2:$W$2)*($D45:$W45&lt;&gt;"")*$D$3:$W$3*($D$4:$W$4=AB$6)))</f>
        <v/>
      </c>
    </row>
    <row r="46" customFormat="false" ht="15" hidden="false" customHeight="false" outlineLevel="0" collapsed="false">
      <c r="A46" s="6" t="n">
        <v>40</v>
      </c>
      <c r="B46" s="6" t="str">
        <f aca="false">IF(학생명단!B46="","",학생명단!B46)</f>
        <v/>
      </c>
      <c r="C46" s="23" t="str">
        <f aca="false">IF(학생명단!C46="","",학생명단!C46)</f>
        <v/>
      </c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15" t="str">
        <f aca="false">IF(COUNTA(D46:W46)=0,"",SUMPRODUCT((D46:W46=$D$2:$W$2)*(D46:W46&lt;&gt;"")))</f>
        <v/>
      </c>
      <c r="Y46" s="34" t="str">
        <f aca="false">IF(COUNTA(D46:W46)=0,"",SUMPRODUCT((D46:W46=$D$2:$W$2)*(D46:W46&lt;&gt;"")*$D$3:$W$3))</f>
        <v/>
      </c>
      <c r="Z46" s="15" t="str">
        <f aca="false">IF($Y46="","",SUMPRODUCT(($D46:$W46=$D$2:$W$2)*($D46:$W46&lt;&gt;"")*$D$3:$W$3*($D$4:$W$4=Z$6)))</f>
        <v/>
      </c>
      <c r="AA46" s="15" t="str">
        <f aca="false">IF($Y46="","",SUMPRODUCT(($D46:$W46=$D$2:$W$2)*($D46:$W46&lt;&gt;"")*$D$3:$W$3*($D$4:$W$4=AA$6)))</f>
        <v/>
      </c>
      <c r="AB46" s="15" t="str">
        <f aca="false">IF($Y46="","",SUMPRODUCT(($D46:$W46=$D$2:$W$2)*($D46:$W46&lt;&gt;"")*$D$3:$W$3*($D$4:$W$4=AB$6)))</f>
        <v/>
      </c>
    </row>
    <row r="47" customFormat="false" ht="15" hidden="false" customHeight="false" outlineLevel="0" collapsed="false">
      <c r="A47" s="6" t="n">
        <v>41</v>
      </c>
      <c r="B47" s="6" t="str">
        <f aca="false">IF(학생명단!B47="","",학생명단!B47)</f>
        <v/>
      </c>
      <c r="C47" s="23" t="str">
        <f aca="false">IF(학생명단!C47="","",학생명단!C47)</f>
        <v/>
      </c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15" t="str">
        <f aca="false">IF(COUNTA(D47:W47)=0,"",SUMPRODUCT((D47:W47=$D$2:$W$2)*(D47:W47&lt;&gt;"")))</f>
        <v/>
      </c>
      <c r="Y47" s="34" t="str">
        <f aca="false">IF(COUNTA(D47:W47)=0,"",SUMPRODUCT((D47:W47=$D$2:$W$2)*(D47:W47&lt;&gt;"")*$D$3:$W$3))</f>
        <v/>
      </c>
      <c r="Z47" s="15" t="str">
        <f aca="false">IF($Y47="","",SUMPRODUCT(($D47:$W47=$D$2:$W$2)*($D47:$W47&lt;&gt;"")*$D$3:$W$3*($D$4:$W$4=Z$6)))</f>
        <v/>
      </c>
      <c r="AA47" s="15" t="str">
        <f aca="false">IF($Y47="","",SUMPRODUCT(($D47:$W47=$D$2:$W$2)*($D47:$W47&lt;&gt;"")*$D$3:$W$3*($D$4:$W$4=AA$6)))</f>
        <v/>
      </c>
      <c r="AB47" s="15" t="str">
        <f aca="false">IF($Y47="","",SUMPRODUCT(($D47:$W47=$D$2:$W$2)*($D47:$W47&lt;&gt;"")*$D$3:$W$3*($D$4:$W$4=AB$6)))</f>
        <v/>
      </c>
    </row>
    <row r="48" customFormat="false" ht="15" hidden="false" customHeight="false" outlineLevel="0" collapsed="false">
      <c r="A48" s="6" t="n">
        <v>42</v>
      </c>
      <c r="B48" s="6" t="str">
        <f aca="false">IF(학생명단!B48="","",학생명단!B48)</f>
        <v/>
      </c>
      <c r="C48" s="23" t="str">
        <f aca="false">IF(학생명단!C48="","",학생명단!C48)</f>
        <v/>
      </c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15" t="str">
        <f aca="false">IF(COUNTA(D48:W48)=0,"",SUMPRODUCT((D48:W48=$D$2:$W$2)*(D48:W48&lt;&gt;"")))</f>
        <v/>
      </c>
      <c r="Y48" s="34" t="str">
        <f aca="false">IF(COUNTA(D48:W48)=0,"",SUMPRODUCT((D48:W48=$D$2:$W$2)*(D48:W48&lt;&gt;"")*$D$3:$W$3))</f>
        <v/>
      </c>
      <c r="Z48" s="15" t="str">
        <f aca="false">IF($Y48="","",SUMPRODUCT(($D48:$W48=$D$2:$W$2)*($D48:$W48&lt;&gt;"")*$D$3:$W$3*($D$4:$W$4=Z$6)))</f>
        <v/>
      </c>
      <c r="AA48" s="15" t="str">
        <f aca="false">IF($Y48="","",SUMPRODUCT(($D48:$W48=$D$2:$W$2)*($D48:$W48&lt;&gt;"")*$D$3:$W$3*($D$4:$W$4=AA$6)))</f>
        <v/>
      </c>
      <c r="AB48" s="15" t="str">
        <f aca="false">IF($Y48="","",SUMPRODUCT(($D48:$W48=$D$2:$W$2)*($D48:$W48&lt;&gt;"")*$D$3:$W$3*($D$4:$W$4=AB$6)))</f>
        <v/>
      </c>
    </row>
    <row r="49" customFormat="false" ht="15" hidden="false" customHeight="false" outlineLevel="0" collapsed="false">
      <c r="A49" s="6" t="n">
        <v>43</v>
      </c>
      <c r="B49" s="6" t="str">
        <f aca="false">IF(학생명단!B49="","",학생명단!B49)</f>
        <v/>
      </c>
      <c r="C49" s="23" t="str">
        <f aca="false">IF(학생명단!C49="","",학생명단!C49)</f>
        <v/>
      </c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15" t="str">
        <f aca="false">IF(COUNTA(D49:W49)=0,"",SUMPRODUCT((D49:W49=$D$2:$W$2)*(D49:W49&lt;&gt;"")))</f>
        <v/>
      </c>
      <c r="Y49" s="34" t="str">
        <f aca="false">IF(COUNTA(D49:W49)=0,"",SUMPRODUCT((D49:W49=$D$2:$W$2)*(D49:W49&lt;&gt;"")*$D$3:$W$3))</f>
        <v/>
      </c>
      <c r="Z49" s="15" t="str">
        <f aca="false">IF($Y49="","",SUMPRODUCT(($D49:$W49=$D$2:$W$2)*($D49:$W49&lt;&gt;"")*$D$3:$W$3*($D$4:$W$4=Z$6)))</f>
        <v/>
      </c>
      <c r="AA49" s="15" t="str">
        <f aca="false">IF($Y49="","",SUMPRODUCT(($D49:$W49=$D$2:$W$2)*($D49:$W49&lt;&gt;"")*$D$3:$W$3*($D$4:$W$4=AA$6)))</f>
        <v/>
      </c>
      <c r="AB49" s="15" t="str">
        <f aca="false">IF($Y49="","",SUMPRODUCT(($D49:$W49=$D$2:$W$2)*($D49:$W49&lt;&gt;"")*$D$3:$W$3*($D$4:$W$4=AB$6)))</f>
        <v/>
      </c>
    </row>
    <row r="50" customFormat="false" ht="15" hidden="false" customHeight="false" outlineLevel="0" collapsed="false">
      <c r="A50" s="6" t="n">
        <v>44</v>
      </c>
      <c r="B50" s="6" t="str">
        <f aca="false">IF(학생명단!B50="","",학생명단!B50)</f>
        <v/>
      </c>
      <c r="C50" s="23" t="str">
        <f aca="false">IF(학생명단!C50="","",학생명단!C50)</f>
        <v/>
      </c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15" t="str">
        <f aca="false">IF(COUNTA(D50:W50)=0,"",SUMPRODUCT((D50:W50=$D$2:$W$2)*(D50:W50&lt;&gt;"")))</f>
        <v/>
      </c>
      <c r="Y50" s="34" t="str">
        <f aca="false">IF(COUNTA(D50:W50)=0,"",SUMPRODUCT((D50:W50=$D$2:$W$2)*(D50:W50&lt;&gt;"")*$D$3:$W$3))</f>
        <v/>
      </c>
      <c r="Z50" s="15" t="str">
        <f aca="false">IF($Y50="","",SUMPRODUCT(($D50:$W50=$D$2:$W$2)*($D50:$W50&lt;&gt;"")*$D$3:$W$3*($D$4:$W$4=Z$6)))</f>
        <v/>
      </c>
      <c r="AA50" s="15" t="str">
        <f aca="false">IF($Y50="","",SUMPRODUCT(($D50:$W50=$D$2:$W$2)*($D50:$W50&lt;&gt;"")*$D$3:$W$3*($D$4:$W$4=AA$6)))</f>
        <v/>
      </c>
      <c r="AB50" s="15" t="str">
        <f aca="false">IF($Y50="","",SUMPRODUCT(($D50:$W50=$D$2:$W$2)*($D50:$W50&lt;&gt;"")*$D$3:$W$3*($D$4:$W$4=AB$6)))</f>
        <v/>
      </c>
    </row>
    <row r="51" customFormat="false" ht="15" hidden="false" customHeight="false" outlineLevel="0" collapsed="false">
      <c r="A51" s="6" t="n">
        <v>45</v>
      </c>
      <c r="B51" s="6" t="str">
        <f aca="false">IF(학생명단!B51="","",학생명단!B51)</f>
        <v/>
      </c>
      <c r="C51" s="23" t="str">
        <f aca="false">IF(학생명단!C51="","",학생명단!C51)</f>
        <v/>
      </c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15" t="str">
        <f aca="false">IF(COUNTA(D51:W51)=0,"",SUMPRODUCT((D51:W51=$D$2:$W$2)*(D51:W51&lt;&gt;"")))</f>
        <v/>
      </c>
      <c r="Y51" s="34" t="str">
        <f aca="false">IF(COUNTA(D51:W51)=0,"",SUMPRODUCT((D51:W51=$D$2:$W$2)*(D51:W51&lt;&gt;"")*$D$3:$W$3))</f>
        <v/>
      </c>
      <c r="Z51" s="15" t="str">
        <f aca="false">IF($Y51="","",SUMPRODUCT(($D51:$W51=$D$2:$W$2)*($D51:$W51&lt;&gt;"")*$D$3:$W$3*($D$4:$W$4=Z$6)))</f>
        <v/>
      </c>
      <c r="AA51" s="15" t="str">
        <f aca="false">IF($Y51="","",SUMPRODUCT(($D51:$W51=$D$2:$W$2)*($D51:$W51&lt;&gt;"")*$D$3:$W$3*($D$4:$W$4=AA$6)))</f>
        <v/>
      </c>
      <c r="AB51" s="15" t="str">
        <f aca="false">IF($Y51="","",SUMPRODUCT(($D51:$W51=$D$2:$W$2)*($D51:$W51&lt;&gt;"")*$D$3:$W$3*($D$4:$W$4=AB$6)))</f>
        <v/>
      </c>
    </row>
    <row r="52" customFormat="false" ht="15" hidden="false" customHeight="false" outlineLevel="0" collapsed="false">
      <c r="A52" s="6" t="n">
        <v>46</v>
      </c>
      <c r="B52" s="6" t="str">
        <f aca="false">IF(학생명단!B52="","",학생명단!B52)</f>
        <v/>
      </c>
      <c r="C52" s="23" t="str">
        <f aca="false">IF(학생명단!C52="","",학생명단!C52)</f>
        <v/>
      </c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15" t="str">
        <f aca="false">IF(COUNTA(D52:W52)=0,"",SUMPRODUCT((D52:W52=$D$2:$W$2)*(D52:W52&lt;&gt;"")))</f>
        <v/>
      </c>
      <c r="Y52" s="34" t="str">
        <f aca="false">IF(COUNTA(D52:W52)=0,"",SUMPRODUCT((D52:W52=$D$2:$W$2)*(D52:W52&lt;&gt;"")*$D$3:$W$3))</f>
        <v/>
      </c>
      <c r="Z52" s="15" t="str">
        <f aca="false">IF($Y52="","",SUMPRODUCT(($D52:$W52=$D$2:$W$2)*($D52:$W52&lt;&gt;"")*$D$3:$W$3*($D$4:$W$4=Z$6)))</f>
        <v/>
      </c>
      <c r="AA52" s="15" t="str">
        <f aca="false">IF($Y52="","",SUMPRODUCT(($D52:$W52=$D$2:$W$2)*($D52:$W52&lt;&gt;"")*$D$3:$W$3*($D$4:$W$4=AA$6)))</f>
        <v/>
      </c>
      <c r="AB52" s="15" t="str">
        <f aca="false">IF($Y52="","",SUMPRODUCT(($D52:$W52=$D$2:$W$2)*($D52:$W52&lt;&gt;"")*$D$3:$W$3*($D$4:$W$4=AB$6)))</f>
        <v/>
      </c>
    </row>
    <row r="53" customFormat="false" ht="15" hidden="false" customHeight="false" outlineLevel="0" collapsed="false">
      <c r="A53" s="6" t="n">
        <v>47</v>
      </c>
      <c r="B53" s="6" t="str">
        <f aca="false">IF(학생명단!B53="","",학생명단!B53)</f>
        <v/>
      </c>
      <c r="C53" s="23" t="str">
        <f aca="false">IF(학생명단!C53="","",학생명단!C53)</f>
        <v/>
      </c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15" t="str">
        <f aca="false">IF(COUNTA(D53:W53)=0,"",SUMPRODUCT((D53:W53=$D$2:$W$2)*(D53:W53&lt;&gt;"")))</f>
        <v/>
      </c>
      <c r="Y53" s="34" t="str">
        <f aca="false">IF(COUNTA(D53:W53)=0,"",SUMPRODUCT((D53:W53=$D$2:$W$2)*(D53:W53&lt;&gt;"")*$D$3:$W$3))</f>
        <v/>
      </c>
      <c r="Z53" s="15" t="str">
        <f aca="false">IF($Y53="","",SUMPRODUCT(($D53:$W53=$D$2:$W$2)*($D53:$W53&lt;&gt;"")*$D$3:$W$3*($D$4:$W$4=Z$6)))</f>
        <v/>
      </c>
      <c r="AA53" s="15" t="str">
        <f aca="false">IF($Y53="","",SUMPRODUCT(($D53:$W53=$D$2:$W$2)*($D53:$W53&lt;&gt;"")*$D$3:$W$3*($D$4:$W$4=AA$6)))</f>
        <v/>
      </c>
      <c r="AB53" s="15" t="str">
        <f aca="false">IF($Y53="","",SUMPRODUCT(($D53:$W53=$D$2:$W$2)*($D53:$W53&lt;&gt;"")*$D$3:$W$3*($D$4:$W$4=AB$6)))</f>
        <v/>
      </c>
    </row>
    <row r="54" customFormat="false" ht="15" hidden="false" customHeight="false" outlineLevel="0" collapsed="false">
      <c r="A54" s="6" t="n">
        <v>48</v>
      </c>
      <c r="B54" s="6" t="str">
        <f aca="false">IF(학생명단!B54="","",학생명단!B54)</f>
        <v/>
      </c>
      <c r="C54" s="23" t="str">
        <f aca="false">IF(학생명단!C54="","",학생명단!C54)</f>
        <v/>
      </c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15" t="str">
        <f aca="false">IF(COUNTA(D54:W54)=0,"",SUMPRODUCT((D54:W54=$D$2:$W$2)*(D54:W54&lt;&gt;"")))</f>
        <v/>
      </c>
      <c r="Y54" s="34" t="str">
        <f aca="false">IF(COUNTA(D54:W54)=0,"",SUMPRODUCT((D54:W54=$D$2:$W$2)*(D54:W54&lt;&gt;"")*$D$3:$W$3))</f>
        <v/>
      </c>
      <c r="Z54" s="15" t="str">
        <f aca="false">IF($Y54="","",SUMPRODUCT(($D54:$W54=$D$2:$W$2)*($D54:$W54&lt;&gt;"")*$D$3:$W$3*($D$4:$W$4=Z$6)))</f>
        <v/>
      </c>
      <c r="AA54" s="15" t="str">
        <f aca="false">IF($Y54="","",SUMPRODUCT(($D54:$W54=$D$2:$W$2)*($D54:$W54&lt;&gt;"")*$D$3:$W$3*($D$4:$W$4=AA$6)))</f>
        <v/>
      </c>
      <c r="AB54" s="15" t="str">
        <f aca="false">IF($Y54="","",SUMPRODUCT(($D54:$W54=$D$2:$W$2)*($D54:$W54&lt;&gt;"")*$D$3:$W$3*($D$4:$W$4=AB$6)))</f>
        <v/>
      </c>
    </row>
    <row r="55" customFormat="false" ht="15" hidden="false" customHeight="false" outlineLevel="0" collapsed="false">
      <c r="A55" s="6" t="n">
        <v>49</v>
      </c>
      <c r="B55" s="6" t="str">
        <f aca="false">IF(학생명단!B55="","",학생명단!B55)</f>
        <v/>
      </c>
      <c r="C55" s="23" t="str">
        <f aca="false">IF(학생명단!C55="","",학생명단!C55)</f>
        <v/>
      </c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15" t="str">
        <f aca="false">IF(COUNTA(D55:W55)=0,"",SUMPRODUCT((D55:W55=$D$2:$W$2)*(D55:W55&lt;&gt;"")))</f>
        <v/>
      </c>
      <c r="Y55" s="34" t="str">
        <f aca="false">IF(COUNTA(D55:W55)=0,"",SUMPRODUCT((D55:W55=$D$2:$W$2)*(D55:W55&lt;&gt;"")*$D$3:$W$3))</f>
        <v/>
      </c>
      <c r="Z55" s="15" t="str">
        <f aca="false">IF($Y55="","",SUMPRODUCT(($D55:$W55=$D$2:$W$2)*($D55:$W55&lt;&gt;"")*$D$3:$W$3*($D$4:$W$4=Z$6)))</f>
        <v/>
      </c>
      <c r="AA55" s="15" t="str">
        <f aca="false">IF($Y55="","",SUMPRODUCT(($D55:$W55=$D$2:$W$2)*($D55:$W55&lt;&gt;"")*$D$3:$W$3*($D$4:$W$4=AA$6)))</f>
        <v/>
      </c>
      <c r="AB55" s="15" t="str">
        <f aca="false">IF($Y55="","",SUMPRODUCT(($D55:$W55=$D$2:$W$2)*($D55:$W55&lt;&gt;"")*$D$3:$W$3*($D$4:$W$4=AB$6)))</f>
        <v/>
      </c>
    </row>
    <row r="56" customFormat="false" ht="15" hidden="false" customHeight="false" outlineLevel="0" collapsed="false">
      <c r="A56" s="6" t="n">
        <v>50</v>
      </c>
      <c r="B56" s="6" t="str">
        <f aca="false">IF(학생명단!B56="","",학생명단!B56)</f>
        <v/>
      </c>
      <c r="C56" s="23" t="str">
        <f aca="false">IF(학생명단!C56="","",학생명단!C56)</f>
        <v/>
      </c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15" t="str">
        <f aca="false">IF(COUNTA(D56:W56)=0,"",SUMPRODUCT((D56:W56=$D$2:$W$2)*(D56:W56&lt;&gt;"")))</f>
        <v/>
      </c>
      <c r="Y56" s="34" t="str">
        <f aca="false">IF(COUNTA(D56:W56)=0,"",SUMPRODUCT((D56:W56=$D$2:$W$2)*(D56:W56&lt;&gt;"")*$D$3:$W$3))</f>
        <v/>
      </c>
      <c r="Z56" s="15" t="str">
        <f aca="false">IF($Y56="","",SUMPRODUCT(($D56:$W56=$D$2:$W$2)*($D56:$W56&lt;&gt;"")*$D$3:$W$3*($D$4:$W$4=Z$6)))</f>
        <v/>
      </c>
      <c r="AA56" s="15" t="str">
        <f aca="false">IF($Y56="","",SUMPRODUCT(($D56:$W56=$D$2:$W$2)*($D56:$W56&lt;&gt;"")*$D$3:$W$3*($D$4:$W$4=AA$6)))</f>
        <v/>
      </c>
      <c r="AB56" s="15" t="str">
        <f aca="false">IF($Y56="","",SUMPRODUCT(($D56:$W56=$D$2:$W$2)*($D56:$W56&lt;&gt;"")*$D$3:$W$3*($D$4:$W$4=AB$6)))</f>
        <v/>
      </c>
    </row>
    <row r="57" customFormat="false" ht="15" hidden="false" customHeight="false" outlineLevel="0" collapsed="false">
      <c r="A57" s="6" t="n">
        <v>51</v>
      </c>
      <c r="B57" s="6" t="str">
        <f aca="false">IF(학생명단!B57="","",학생명단!B57)</f>
        <v/>
      </c>
      <c r="C57" s="23" t="str">
        <f aca="false">IF(학생명단!C57="","",학생명단!C57)</f>
        <v/>
      </c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15" t="str">
        <f aca="false">IF(COUNTA(D57:W57)=0,"",SUMPRODUCT((D57:W57=$D$2:$W$2)*(D57:W57&lt;&gt;"")))</f>
        <v/>
      </c>
      <c r="Y57" s="34" t="str">
        <f aca="false">IF(COUNTA(D57:W57)=0,"",SUMPRODUCT((D57:W57=$D$2:$W$2)*(D57:W57&lt;&gt;"")*$D$3:$W$3))</f>
        <v/>
      </c>
      <c r="Z57" s="15" t="str">
        <f aca="false">IF($Y57="","",SUMPRODUCT(($D57:$W57=$D$2:$W$2)*($D57:$W57&lt;&gt;"")*$D$3:$W$3*($D$4:$W$4=Z$6)))</f>
        <v/>
      </c>
      <c r="AA57" s="15" t="str">
        <f aca="false">IF($Y57="","",SUMPRODUCT(($D57:$W57=$D$2:$W$2)*($D57:$W57&lt;&gt;"")*$D$3:$W$3*($D$4:$W$4=AA$6)))</f>
        <v/>
      </c>
      <c r="AB57" s="15" t="str">
        <f aca="false">IF($Y57="","",SUMPRODUCT(($D57:$W57=$D$2:$W$2)*($D57:$W57&lt;&gt;"")*$D$3:$W$3*($D$4:$W$4=AB$6)))</f>
        <v/>
      </c>
    </row>
    <row r="58" customFormat="false" ht="15" hidden="false" customHeight="false" outlineLevel="0" collapsed="false">
      <c r="A58" s="6" t="n">
        <v>52</v>
      </c>
      <c r="B58" s="6" t="str">
        <f aca="false">IF(학생명단!B58="","",학생명단!B58)</f>
        <v/>
      </c>
      <c r="C58" s="23" t="str">
        <f aca="false">IF(학생명단!C58="","",학생명단!C58)</f>
        <v/>
      </c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15" t="str">
        <f aca="false">IF(COUNTA(D58:W58)=0,"",SUMPRODUCT((D58:W58=$D$2:$W$2)*(D58:W58&lt;&gt;"")))</f>
        <v/>
      </c>
      <c r="Y58" s="34" t="str">
        <f aca="false">IF(COUNTA(D58:W58)=0,"",SUMPRODUCT((D58:W58=$D$2:$W$2)*(D58:W58&lt;&gt;"")*$D$3:$W$3))</f>
        <v/>
      </c>
      <c r="Z58" s="15" t="str">
        <f aca="false">IF($Y58="","",SUMPRODUCT(($D58:$W58=$D$2:$W$2)*($D58:$W58&lt;&gt;"")*$D$3:$W$3*($D$4:$W$4=Z$6)))</f>
        <v/>
      </c>
      <c r="AA58" s="15" t="str">
        <f aca="false">IF($Y58="","",SUMPRODUCT(($D58:$W58=$D$2:$W$2)*($D58:$W58&lt;&gt;"")*$D$3:$W$3*($D$4:$W$4=AA$6)))</f>
        <v/>
      </c>
      <c r="AB58" s="15" t="str">
        <f aca="false">IF($Y58="","",SUMPRODUCT(($D58:$W58=$D$2:$W$2)*($D58:$W58&lt;&gt;"")*$D$3:$W$3*($D$4:$W$4=AB$6)))</f>
        <v/>
      </c>
    </row>
    <row r="59" customFormat="false" ht="15" hidden="false" customHeight="false" outlineLevel="0" collapsed="false">
      <c r="A59" s="6" t="n">
        <v>53</v>
      </c>
      <c r="B59" s="6" t="str">
        <f aca="false">IF(학생명단!B59="","",학생명단!B59)</f>
        <v/>
      </c>
      <c r="C59" s="23" t="str">
        <f aca="false">IF(학생명단!C59="","",학생명단!C59)</f>
        <v/>
      </c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15" t="str">
        <f aca="false">IF(COUNTA(D59:W59)=0,"",SUMPRODUCT((D59:W59=$D$2:$W$2)*(D59:W59&lt;&gt;"")))</f>
        <v/>
      </c>
      <c r="Y59" s="34" t="str">
        <f aca="false">IF(COUNTA(D59:W59)=0,"",SUMPRODUCT((D59:W59=$D$2:$W$2)*(D59:W59&lt;&gt;"")*$D$3:$W$3))</f>
        <v/>
      </c>
      <c r="Z59" s="15" t="str">
        <f aca="false">IF($Y59="","",SUMPRODUCT(($D59:$W59=$D$2:$W$2)*($D59:$W59&lt;&gt;"")*$D$3:$W$3*($D$4:$W$4=Z$6)))</f>
        <v/>
      </c>
      <c r="AA59" s="15" t="str">
        <f aca="false">IF($Y59="","",SUMPRODUCT(($D59:$W59=$D$2:$W$2)*($D59:$W59&lt;&gt;"")*$D$3:$W$3*($D$4:$W$4=AA$6)))</f>
        <v/>
      </c>
      <c r="AB59" s="15" t="str">
        <f aca="false">IF($Y59="","",SUMPRODUCT(($D59:$W59=$D$2:$W$2)*($D59:$W59&lt;&gt;"")*$D$3:$W$3*($D$4:$W$4=AB$6)))</f>
        <v/>
      </c>
    </row>
    <row r="60" customFormat="false" ht="15" hidden="false" customHeight="false" outlineLevel="0" collapsed="false">
      <c r="A60" s="6" t="n">
        <v>54</v>
      </c>
      <c r="B60" s="6" t="str">
        <f aca="false">IF(학생명단!B60="","",학생명단!B60)</f>
        <v/>
      </c>
      <c r="C60" s="23" t="str">
        <f aca="false">IF(학생명단!C60="","",학생명단!C60)</f>
        <v/>
      </c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15" t="str">
        <f aca="false">IF(COUNTA(D60:W60)=0,"",SUMPRODUCT((D60:W60=$D$2:$W$2)*(D60:W60&lt;&gt;"")))</f>
        <v/>
      </c>
      <c r="Y60" s="34" t="str">
        <f aca="false">IF(COUNTA(D60:W60)=0,"",SUMPRODUCT((D60:W60=$D$2:$W$2)*(D60:W60&lt;&gt;"")*$D$3:$W$3))</f>
        <v/>
      </c>
      <c r="Z60" s="15" t="str">
        <f aca="false">IF($Y60="","",SUMPRODUCT(($D60:$W60=$D$2:$W$2)*($D60:$W60&lt;&gt;"")*$D$3:$W$3*($D$4:$W$4=Z$6)))</f>
        <v/>
      </c>
      <c r="AA60" s="15" t="str">
        <f aca="false">IF($Y60="","",SUMPRODUCT(($D60:$W60=$D$2:$W$2)*($D60:$W60&lt;&gt;"")*$D$3:$W$3*($D$4:$W$4=AA$6)))</f>
        <v/>
      </c>
      <c r="AB60" s="15" t="str">
        <f aca="false">IF($Y60="","",SUMPRODUCT(($D60:$W60=$D$2:$W$2)*($D60:$W60&lt;&gt;"")*$D$3:$W$3*($D$4:$W$4=AB$6)))</f>
        <v/>
      </c>
    </row>
    <row r="61" customFormat="false" ht="15" hidden="false" customHeight="false" outlineLevel="0" collapsed="false">
      <c r="A61" s="6" t="n">
        <v>55</v>
      </c>
      <c r="B61" s="6" t="str">
        <f aca="false">IF(학생명단!B61="","",학생명단!B61)</f>
        <v/>
      </c>
      <c r="C61" s="23" t="str">
        <f aca="false">IF(학생명단!C61="","",학생명단!C61)</f>
        <v/>
      </c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15" t="str">
        <f aca="false">IF(COUNTA(D61:W61)=0,"",SUMPRODUCT((D61:W61=$D$2:$W$2)*(D61:W61&lt;&gt;"")))</f>
        <v/>
      </c>
      <c r="Y61" s="34" t="str">
        <f aca="false">IF(COUNTA(D61:W61)=0,"",SUMPRODUCT((D61:W61=$D$2:$W$2)*(D61:W61&lt;&gt;"")*$D$3:$W$3))</f>
        <v/>
      </c>
      <c r="Z61" s="15" t="str">
        <f aca="false">IF($Y61="","",SUMPRODUCT(($D61:$W61=$D$2:$W$2)*($D61:$W61&lt;&gt;"")*$D$3:$W$3*($D$4:$W$4=Z$6)))</f>
        <v/>
      </c>
      <c r="AA61" s="15" t="str">
        <f aca="false">IF($Y61="","",SUMPRODUCT(($D61:$W61=$D$2:$W$2)*($D61:$W61&lt;&gt;"")*$D$3:$W$3*($D$4:$W$4=AA$6)))</f>
        <v/>
      </c>
      <c r="AB61" s="15" t="str">
        <f aca="false">IF($Y61="","",SUMPRODUCT(($D61:$W61=$D$2:$W$2)*($D61:$W61&lt;&gt;"")*$D$3:$W$3*($D$4:$W$4=AB$6)))</f>
        <v/>
      </c>
    </row>
    <row r="62" customFormat="false" ht="15" hidden="false" customHeight="false" outlineLevel="0" collapsed="false">
      <c r="A62" s="6" t="n">
        <v>56</v>
      </c>
      <c r="B62" s="6" t="str">
        <f aca="false">IF(학생명단!B62="","",학생명단!B62)</f>
        <v/>
      </c>
      <c r="C62" s="23" t="str">
        <f aca="false">IF(학생명단!C62="","",학생명단!C62)</f>
        <v/>
      </c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15" t="str">
        <f aca="false">IF(COUNTA(D62:W62)=0,"",SUMPRODUCT((D62:W62=$D$2:$W$2)*(D62:W62&lt;&gt;"")))</f>
        <v/>
      </c>
      <c r="Y62" s="34" t="str">
        <f aca="false">IF(COUNTA(D62:W62)=0,"",SUMPRODUCT((D62:W62=$D$2:$W$2)*(D62:W62&lt;&gt;"")*$D$3:$W$3))</f>
        <v/>
      </c>
      <c r="Z62" s="15" t="str">
        <f aca="false">IF($Y62="","",SUMPRODUCT(($D62:$W62=$D$2:$W$2)*($D62:$W62&lt;&gt;"")*$D$3:$W$3*($D$4:$W$4=Z$6)))</f>
        <v/>
      </c>
      <c r="AA62" s="15" t="str">
        <f aca="false">IF($Y62="","",SUMPRODUCT(($D62:$W62=$D$2:$W$2)*($D62:$W62&lt;&gt;"")*$D$3:$W$3*($D$4:$W$4=AA$6)))</f>
        <v/>
      </c>
      <c r="AB62" s="15" t="str">
        <f aca="false">IF($Y62="","",SUMPRODUCT(($D62:$W62=$D$2:$W$2)*($D62:$W62&lt;&gt;"")*$D$3:$W$3*($D$4:$W$4=AB$6)))</f>
        <v/>
      </c>
    </row>
    <row r="63" customFormat="false" ht="15" hidden="false" customHeight="false" outlineLevel="0" collapsed="false">
      <c r="A63" s="6" t="n">
        <v>57</v>
      </c>
      <c r="B63" s="6" t="str">
        <f aca="false">IF(학생명단!B63="","",학생명단!B63)</f>
        <v/>
      </c>
      <c r="C63" s="23" t="str">
        <f aca="false">IF(학생명단!C63="","",학생명단!C63)</f>
        <v/>
      </c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15" t="str">
        <f aca="false">IF(COUNTA(D63:W63)=0,"",SUMPRODUCT((D63:W63=$D$2:$W$2)*(D63:W63&lt;&gt;"")))</f>
        <v/>
      </c>
      <c r="Y63" s="34" t="str">
        <f aca="false">IF(COUNTA(D63:W63)=0,"",SUMPRODUCT((D63:W63=$D$2:$W$2)*(D63:W63&lt;&gt;"")*$D$3:$W$3))</f>
        <v/>
      </c>
      <c r="Z63" s="15" t="str">
        <f aca="false">IF($Y63="","",SUMPRODUCT(($D63:$W63=$D$2:$W$2)*($D63:$W63&lt;&gt;"")*$D$3:$W$3*($D$4:$W$4=Z$6)))</f>
        <v/>
      </c>
      <c r="AA63" s="15" t="str">
        <f aca="false">IF($Y63="","",SUMPRODUCT(($D63:$W63=$D$2:$W$2)*($D63:$W63&lt;&gt;"")*$D$3:$W$3*($D$4:$W$4=AA$6)))</f>
        <v/>
      </c>
      <c r="AB63" s="15" t="str">
        <f aca="false">IF($Y63="","",SUMPRODUCT(($D63:$W63=$D$2:$W$2)*($D63:$W63&lt;&gt;"")*$D$3:$W$3*($D$4:$W$4=AB$6)))</f>
        <v/>
      </c>
    </row>
    <row r="64" customFormat="false" ht="15" hidden="false" customHeight="false" outlineLevel="0" collapsed="false">
      <c r="A64" s="6" t="n">
        <v>58</v>
      </c>
      <c r="B64" s="6" t="str">
        <f aca="false">IF(학생명단!B64="","",학생명단!B64)</f>
        <v/>
      </c>
      <c r="C64" s="23" t="str">
        <f aca="false">IF(학생명단!C64="","",학생명단!C64)</f>
        <v/>
      </c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15" t="str">
        <f aca="false">IF(COUNTA(D64:W64)=0,"",SUMPRODUCT((D64:W64=$D$2:$W$2)*(D64:W64&lt;&gt;"")))</f>
        <v/>
      </c>
      <c r="Y64" s="34" t="str">
        <f aca="false">IF(COUNTA(D64:W64)=0,"",SUMPRODUCT((D64:W64=$D$2:$W$2)*(D64:W64&lt;&gt;"")*$D$3:$W$3))</f>
        <v/>
      </c>
      <c r="Z64" s="15" t="str">
        <f aca="false">IF($Y64="","",SUMPRODUCT(($D64:$W64=$D$2:$W$2)*($D64:$W64&lt;&gt;"")*$D$3:$W$3*($D$4:$W$4=Z$6)))</f>
        <v/>
      </c>
      <c r="AA64" s="15" t="str">
        <f aca="false">IF($Y64="","",SUMPRODUCT(($D64:$W64=$D$2:$W$2)*($D64:$W64&lt;&gt;"")*$D$3:$W$3*($D$4:$W$4=AA$6)))</f>
        <v/>
      </c>
      <c r="AB64" s="15" t="str">
        <f aca="false">IF($Y64="","",SUMPRODUCT(($D64:$W64=$D$2:$W$2)*($D64:$W64&lt;&gt;"")*$D$3:$W$3*($D$4:$W$4=AB$6)))</f>
        <v/>
      </c>
    </row>
    <row r="65" customFormat="false" ht="15" hidden="false" customHeight="false" outlineLevel="0" collapsed="false">
      <c r="A65" s="6" t="n">
        <v>59</v>
      </c>
      <c r="B65" s="6" t="str">
        <f aca="false">IF(학생명단!B65="","",학생명단!B65)</f>
        <v/>
      </c>
      <c r="C65" s="23" t="str">
        <f aca="false">IF(학생명단!C65="","",학생명단!C65)</f>
        <v/>
      </c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15" t="str">
        <f aca="false">IF(COUNTA(D65:W65)=0,"",SUMPRODUCT((D65:W65=$D$2:$W$2)*(D65:W65&lt;&gt;"")))</f>
        <v/>
      </c>
      <c r="Y65" s="34" t="str">
        <f aca="false">IF(COUNTA(D65:W65)=0,"",SUMPRODUCT((D65:W65=$D$2:$W$2)*(D65:W65&lt;&gt;"")*$D$3:$W$3))</f>
        <v/>
      </c>
      <c r="Z65" s="15" t="str">
        <f aca="false">IF($Y65="","",SUMPRODUCT(($D65:$W65=$D$2:$W$2)*($D65:$W65&lt;&gt;"")*$D$3:$W$3*($D$4:$W$4=Z$6)))</f>
        <v/>
      </c>
      <c r="AA65" s="15" t="str">
        <f aca="false">IF($Y65="","",SUMPRODUCT(($D65:$W65=$D$2:$W$2)*($D65:$W65&lt;&gt;"")*$D$3:$W$3*($D$4:$W$4=AA$6)))</f>
        <v/>
      </c>
      <c r="AB65" s="15" t="str">
        <f aca="false">IF($Y65="","",SUMPRODUCT(($D65:$W65=$D$2:$W$2)*($D65:$W65&lt;&gt;"")*$D$3:$W$3*($D$4:$W$4=AB$6)))</f>
        <v/>
      </c>
    </row>
    <row r="66" customFormat="false" ht="15" hidden="false" customHeight="false" outlineLevel="0" collapsed="false">
      <c r="A66" s="6" t="n">
        <v>60</v>
      </c>
      <c r="B66" s="6" t="str">
        <f aca="false">IF(학생명단!B66="","",학생명단!B66)</f>
        <v/>
      </c>
      <c r="C66" s="23" t="str">
        <f aca="false">IF(학생명단!C66="","",학생명단!C66)</f>
        <v/>
      </c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15" t="str">
        <f aca="false">IF(COUNTA(D66:W66)=0,"",SUMPRODUCT((D66:W66=$D$2:$W$2)*(D66:W66&lt;&gt;"")))</f>
        <v/>
      </c>
      <c r="Y66" s="34" t="str">
        <f aca="false">IF(COUNTA(D66:W66)=0,"",SUMPRODUCT((D66:W66=$D$2:$W$2)*(D66:W66&lt;&gt;"")*$D$3:$W$3))</f>
        <v/>
      </c>
      <c r="Z66" s="15" t="str">
        <f aca="false">IF($Y66="","",SUMPRODUCT(($D66:$W66=$D$2:$W$2)*($D66:$W66&lt;&gt;"")*$D$3:$W$3*($D$4:$W$4=Z$6)))</f>
        <v/>
      </c>
      <c r="AA66" s="15" t="str">
        <f aca="false">IF($Y66="","",SUMPRODUCT(($D66:$W66=$D$2:$W$2)*($D66:$W66&lt;&gt;"")*$D$3:$W$3*($D$4:$W$4=AA$6)))</f>
        <v/>
      </c>
      <c r="AB66" s="15" t="str">
        <f aca="false">IF($Y66="","",SUMPRODUCT(($D66:$W66=$D$2:$W$2)*($D66:$W66&lt;&gt;"")*$D$3:$W$3*($D$4:$W$4=AB$6)))</f>
        <v/>
      </c>
    </row>
    <row r="67" customFormat="false" ht="15" hidden="false" customHeight="false" outlineLevel="0" collapsed="false">
      <c r="A67" s="6" t="n">
        <v>61</v>
      </c>
      <c r="B67" s="6" t="str">
        <f aca="false">IF(학생명단!B67="","",학생명단!B67)</f>
        <v/>
      </c>
      <c r="C67" s="23" t="str">
        <f aca="false">IF(학생명단!C67="","",학생명단!C67)</f>
        <v/>
      </c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15" t="str">
        <f aca="false">IF(COUNTA(D67:W67)=0,"",SUMPRODUCT((D67:W67=$D$2:$W$2)*(D67:W67&lt;&gt;"")))</f>
        <v/>
      </c>
      <c r="Y67" s="34" t="str">
        <f aca="false">IF(COUNTA(D67:W67)=0,"",SUMPRODUCT((D67:W67=$D$2:$W$2)*(D67:W67&lt;&gt;"")*$D$3:$W$3))</f>
        <v/>
      </c>
      <c r="Z67" s="15" t="str">
        <f aca="false">IF($Y67="","",SUMPRODUCT(($D67:$W67=$D$2:$W$2)*($D67:$W67&lt;&gt;"")*$D$3:$W$3*($D$4:$W$4=Z$6)))</f>
        <v/>
      </c>
      <c r="AA67" s="15" t="str">
        <f aca="false">IF($Y67="","",SUMPRODUCT(($D67:$W67=$D$2:$W$2)*($D67:$W67&lt;&gt;"")*$D$3:$W$3*($D$4:$W$4=AA$6)))</f>
        <v/>
      </c>
      <c r="AB67" s="15" t="str">
        <f aca="false">IF($Y67="","",SUMPRODUCT(($D67:$W67=$D$2:$W$2)*($D67:$W67&lt;&gt;"")*$D$3:$W$3*($D$4:$W$4=AB$6)))</f>
        <v/>
      </c>
    </row>
    <row r="68" customFormat="false" ht="15" hidden="false" customHeight="false" outlineLevel="0" collapsed="false">
      <c r="A68" s="6" t="n">
        <v>62</v>
      </c>
      <c r="B68" s="6" t="str">
        <f aca="false">IF(학생명단!B68="","",학생명단!B68)</f>
        <v/>
      </c>
      <c r="C68" s="23" t="str">
        <f aca="false">IF(학생명단!C68="","",학생명단!C68)</f>
        <v/>
      </c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15" t="str">
        <f aca="false">IF(COUNTA(D68:W68)=0,"",SUMPRODUCT((D68:W68=$D$2:$W$2)*(D68:W68&lt;&gt;"")))</f>
        <v/>
      </c>
      <c r="Y68" s="34" t="str">
        <f aca="false">IF(COUNTA(D68:W68)=0,"",SUMPRODUCT((D68:W68=$D$2:$W$2)*(D68:W68&lt;&gt;"")*$D$3:$W$3))</f>
        <v/>
      </c>
      <c r="Z68" s="15" t="str">
        <f aca="false">IF($Y68="","",SUMPRODUCT(($D68:$W68=$D$2:$W$2)*($D68:$W68&lt;&gt;"")*$D$3:$W$3*($D$4:$W$4=Z$6)))</f>
        <v/>
      </c>
      <c r="AA68" s="15" t="str">
        <f aca="false">IF($Y68="","",SUMPRODUCT(($D68:$W68=$D$2:$W$2)*($D68:$W68&lt;&gt;"")*$D$3:$W$3*($D$4:$W$4=AA$6)))</f>
        <v/>
      </c>
      <c r="AB68" s="15" t="str">
        <f aca="false">IF($Y68="","",SUMPRODUCT(($D68:$W68=$D$2:$W$2)*($D68:$W68&lt;&gt;"")*$D$3:$W$3*($D$4:$W$4=AB$6)))</f>
        <v/>
      </c>
    </row>
    <row r="69" customFormat="false" ht="15" hidden="false" customHeight="false" outlineLevel="0" collapsed="false">
      <c r="A69" s="6" t="n">
        <v>63</v>
      </c>
      <c r="B69" s="6" t="str">
        <f aca="false">IF(학생명단!B69="","",학생명단!B69)</f>
        <v/>
      </c>
      <c r="C69" s="23" t="str">
        <f aca="false">IF(학생명단!C69="","",학생명단!C69)</f>
        <v/>
      </c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15" t="str">
        <f aca="false">IF(COUNTA(D69:W69)=0,"",SUMPRODUCT((D69:W69=$D$2:$W$2)*(D69:W69&lt;&gt;"")))</f>
        <v/>
      </c>
      <c r="Y69" s="34" t="str">
        <f aca="false">IF(COUNTA(D69:W69)=0,"",SUMPRODUCT((D69:W69=$D$2:$W$2)*(D69:W69&lt;&gt;"")*$D$3:$W$3))</f>
        <v/>
      </c>
      <c r="Z69" s="15" t="str">
        <f aca="false">IF($Y69="","",SUMPRODUCT(($D69:$W69=$D$2:$W$2)*($D69:$W69&lt;&gt;"")*$D$3:$W$3*($D$4:$W$4=Z$6)))</f>
        <v/>
      </c>
      <c r="AA69" s="15" t="str">
        <f aca="false">IF($Y69="","",SUMPRODUCT(($D69:$W69=$D$2:$W$2)*($D69:$W69&lt;&gt;"")*$D$3:$W$3*($D$4:$W$4=AA$6)))</f>
        <v/>
      </c>
      <c r="AB69" s="15" t="str">
        <f aca="false">IF($Y69="","",SUMPRODUCT(($D69:$W69=$D$2:$W$2)*($D69:$W69&lt;&gt;"")*$D$3:$W$3*($D$4:$W$4=AB$6)))</f>
        <v/>
      </c>
    </row>
    <row r="70" customFormat="false" ht="15" hidden="false" customHeight="false" outlineLevel="0" collapsed="false">
      <c r="A70" s="6" t="n">
        <v>64</v>
      </c>
      <c r="B70" s="6" t="str">
        <f aca="false">IF(학생명단!B70="","",학생명단!B70)</f>
        <v/>
      </c>
      <c r="C70" s="23" t="str">
        <f aca="false">IF(학생명단!C70="","",학생명단!C70)</f>
        <v/>
      </c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15" t="str">
        <f aca="false">IF(COUNTA(D70:W70)=0,"",SUMPRODUCT((D70:W70=$D$2:$W$2)*(D70:W70&lt;&gt;"")))</f>
        <v/>
      </c>
      <c r="Y70" s="34" t="str">
        <f aca="false">IF(COUNTA(D70:W70)=0,"",SUMPRODUCT((D70:W70=$D$2:$W$2)*(D70:W70&lt;&gt;"")*$D$3:$W$3))</f>
        <v/>
      </c>
      <c r="Z70" s="15" t="str">
        <f aca="false">IF($Y70="","",SUMPRODUCT(($D70:$W70=$D$2:$W$2)*($D70:$W70&lt;&gt;"")*$D$3:$W$3*($D$4:$W$4=Z$6)))</f>
        <v/>
      </c>
      <c r="AA70" s="15" t="str">
        <f aca="false">IF($Y70="","",SUMPRODUCT(($D70:$W70=$D$2:$W$2)*($D70:$W70&lt;&gt;"")*$D$3:$W$3*($D$4:$W$4=AA$6)))</f>
        <v/>
      </c>
      <c r="AB70" s="15" t="str">
        <f aca="false">IF($Y70="","",SUMPRODUCT(($D70:$W70=$D$2:$W$2)*($D70:$W70&lt;&gt;"")*$D$3:$W$3*($D$4:$W$4=AB$6)))</f>
        <v/>
      </c>
    </row>
    <row r="71" customFormat="false" ht="15" hidden="false" customHeight="false" outlineLevel="0" collapsed="false">
      <c r="A71" s="6" t="n">
        <v>65</v>
      </c>
      <c r="B71" s="6" t="str">
        <f aca="false">IF(학생명단!B71="","",학생명단!B71)</f>
        <v/>
      </c>
      <c r="C71" s="23" t="str">
        <f aca="false">IF(학생명단!C71="","",학생명단!C71)</f>
        <v/>
      </c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15" t="str">
        <f aca="false">IF(COUNTA(D71:W71)=0,"",SUMPRODUCT((D71:W71=$D$2:$W$2)*(D71:W71&lt;&gt;"")))</f>
        <v/>
      </c>
      <c r="Y71" s="34" t="str">
        <f aca="false">IF(COUNTA(D71:W71)=0,"",SUMPRODUCT((D71:W71=$D$2:$W$2)*(D71:W71&lt;&gt;"")*$D$3:$W$3))</f>
        <v/>
      </c>
      <c r="Z71" s="15" t="str">
        <f aca="false">IF($Y71="","",SUMPRODUCT(($D71:$W71=$D$2:$W$2)*($D71:$W71&lt;&gt;"")*$D$3:$W$3*($D$4:$W$4=Z$6)))</f>
        <v/>
      </c>
      <c r="AA71" s="15" t="str">
        <f aca="false">IF($Y71="","",SUMPRODUCT(($D71:$W71=$D$2:$W$2)*($D71:$W71&lt;&gt;"")*$D$3:$W$3*($D$4:$W$4=AA$6)))</f>
        <v/>
      </c>
      <c r="AB71" s="15" t="str">
        <f aca="false">IF($Y71="","",SUMPRODUCT(($D71:$W71=$D$2:$W$2)*($D71:$W71&lt;&gt;"")*$D$3:$W$3*($D$4:$W$4=AB$6)))</f>
        <v/>
      </c>
    </row>
    <row r="72" customFormat="false" ht="15" hidden="false" customHeight="false" outlineLevel="0" collapsed="false">
      <c r="A72" s="6" t="n">
        <v>66</v>
      </c>
      <c r="B72" s="6" t="str">
        <f aca="false">IF(학생명단!B72="","",학생명단!B72)</f>
        <v/>
      </c>
      <c r="C72" s="23" t="str">
        <f aca="false">IF(학생명단!C72="","",학생명단!C72)</f>
        <v/>
      </c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15" t="str">
        <f aca="false">IF(COUNTA(D72:W72)=0,"",SUMPRODUCT((D72:W72=$D$2:$W$2)*(D72:W72&lt;&gt;"")))</f>
        <v/>
      </c>
      <c r="Y72" s="34" t="str">
        <f aca="false">IF(COUNTA(D72:W72)=0,"",SUMPRODUCT((D72:W72=$D$2:$W$2)*(D72:W72&lt;&gt;"")*$D$3:$W$3))</f>
        <v/>
      </c>
      <c r="Z72" s="15" t="str">
        <f aca="false">IF($Y72="","",SUMPRODUCT(($D72:$W72=$D$2:$W$2)*($D72:$W72&lt;&gt;"")*$D$3:$W$3*($D$4:$W$4=Z$6)))</f>
        <v/>
      </c>
      <c r="AA72" s="15" t="str">
        <f aca="false">IF($Y72="","",SUMPRODUCT(($D72:$W72=$D$2:$W$2)*($D72:$W72&lt;&gt;"")*$D$3:$W$3*($D$4:$W$4=AA$6)))</f>
        <v/>
      </c>
      <c r="AB72" s="15" t="str">
        <f aca="false">IF($Y72="","",SUMPRODUCT(($D72:$W72=$D$2:$W$2)*($D72:$W72&lt;&gt;"")*$D$3:$W$3*($D$4:$W$4=AB$6)))</f>
        <v/>
      </c>
    </row>
    <row r="73" customFormat="false" ht="15" hidden="false" customHeight="false" outlineLevel="0" collapsed="false">
      <c r="A73" s="6" t="n">
        <v>67</v>
      </c>
      <c r="B73" s="6" t="str">
        <f aca="false">IF(학생명단!B73="","",학생명단!B73)</f>
        <v/>
      </c>
      <c r="C73" s="23" t="str">
        <f aca="false">IF(학생명단!C73="","",학생명단!C73)</f>
        <v/>
      </c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15" t="str">
        <f aca="false">IF(COUNTA(D73:W73)=0,"",SUMPRODUCT((D73:W73=$D$2:$W$2)*(D73:W73&lt;&gt;"")))</f>
        <v/>
      </c>
      <c r="Y73" s="34" t="str">
        <f aca="false">IF(COUNTA(D73:W73)=0,"",SUMPRODUCT((D73:W73=$D$2:$W$2)*(D73:W73&lt;&gt;"")*$D$3:$W$3))</f>
        <v/>
      </c>
      <c r="Z73" s="15" t="str">
        <f aca="false">IF($Y73="","",SUMPRODUCT(($D73:$W73=$D$2:$W$2)*($D73:$W73&lt;&gt;"")*$D$3:$W$3*($D$4:$W$4=Z$6)))</f>
        <v/>
      </c>
      <c r="AA73" s="15" t="str">
        <f aca="false">IF($Y73="","",SUMPRODUCT(($D73:$W73=$D$2:$W$2)*($D73:$W73&lt;&gt;"")*$D$3:$W$3*($D$4:$W$4=AA$6)))</f>
        <v/>
      </c>
      <c r="AB73" s="15" t="str">
        <f aca="false">IF($Y73="","",SUMPRODUCT(($D73:$W73=$D$2:$W$2)*($D73:$W73&lt;&gt;"")*$D$3:$W$3*($D$4:$W$4=AB$6)))</f>
        <v/>
      </c>
    </row>
    <row r="74" customFormat="false" ht="15" hidden="false" customHeight="false" outlineLevel="0" collapsed="false">
      <c r="A74" s="6" t="n">
        <v>68</v>
      </c>
      <c r="B74" s="6" t="str">
        <f aca="false">IF(학생명단!B74="","",학생명단!B74)</f>
        <v/>
      </c>
      <c r="C74" s="23" t="str">
        <f aca="false">IF(학생명단!C74="","",학생명단!C74)</f>
        <v/>
      </c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15" t="str">
        <f aca="false">IF(COUNTA(D74:W74)=0,"",SUMPRODUCT((D74:W74=$D$2:$W$2)*(D74:W74&lt;&gt;"")))</f>
        <v/>
      </c>
      <c r="Y74" s="34" t="str">
        <f aca="false">IF(COUNTA(D74:W74)=0,"",SUMPRODUCT((D74:W74=$D$2:$W$2)*(D74:W74&lt;&gt;"")*$D$3:$W$3))</f>
        <v/>
      </c>
      <c r="Z74" s="15" t="str">
        <f aca="false">IF($Y74="","",SUMPRODUCT(($D74:$W74=$D$2:$W$2)*($D74:$W74&lt;&gt;"")*$D$3:$W$3*($D$4:$W$4=Z$6)))</f>
        <v/>
      </c>
      <c r="AA74" s="15" t="str">
        <f aca="false">IF($Y74="","",SUMPRODUCT(($D74:$W74=$D$2:$W$2)*($D74:$W74&lt;&gt;"")*$D$3:$W$3*($D$4:$W$4=AA$6)))</f>
        <v/>
      </c>
      <c r="AB74" s="15" t="str">
        <f aca="false">IF($Y74="","",SUMPRODUCT(($D74:$W74=$D$2:$W$2)*($D74:$W74&lt;&gt;"")*$D$3:$W$3*($D$4:$W$4=AB$6)))</f>
        <v/>
      </c>
    </row>
    <row r="75" customFormat="false" ht="15" hidden="false" customHeight="false" outlineLevel="0" collapsed="false">
      <c r="A75" s="6" t="n">
        <v>69</v>
      </c>
      <c r="B75" s="6" t="str">
        <f aca="false">IF(학생명단!B75="","",학생명단!B75)</f>
        <v/>
      </c>
      <c r="C75" s="23" t="str">
        <f aca="false">IF(학생명단!C75="","",학생명단!C75)</f>
        <v/>
      </c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15" t="str">
        <f aca="false">IF(COUNTA(D75:W75)=0,"",SUMPRODUCT((D75:W75=$D$2:$W$2)*(D75:W75&lt;&gt;"")))</f>
        <v/>
      </c>
      <c r="Y75" s="34" t="str">
        <f aca="false">IF(COUNTA(D75:W75)=0,"",SUMPRODUCT((D75:W75=$D$2:$W$2)*(D75:W75&lt;&gt;"")*$D$3:$W$3))</f>
        <v/>
      </c>
      <c r="Z75" s="15" t="str">
        <f aca="false">IF($Y75="","",SUMPRODUCT(($D75:$W75=$D$2:$W$2)*($D75:$W75&lt;&gt;"")*$D$3:$W$3*($D$4:$W$4=Z$6)))</f>
        <v/>
      </c>
      <c r="AA75" s="15" t="str">
        <f aca="false">IF($Y75="","",SUMPRODUCT(($D75:$W75=$D$2:$W$2)*($D75:$W75&lt;&gt;"")*$D$3:$W$3*($D$4:$W$4=AA$6)))</f>
        <v/>
      </c>
      <c r="AB75" s="15" t="str">
        <f aca="false">IF($Y75="","",SUMPRODUCT(($D75:$W75=$D$2:$W$2)*($D75:$W75&lt;&gt;"")*$D$3:$W$3*($D$4:$W$4=AB$6)))</f>
        <v/>
      </c>
    </row>
    <row r="76" customFormat="false" ht="15" hidden="false" customHeight="false" outlineLevel="0" collapsed="false">
      <c r="A76" s="6" t="n">
        <v>70</v>
      </c>
      <c r="B76" s="6" t="str">
        <f aca="false">IF(학생명단!B76="","",학생명단!B76)</f>
        <v/>
      </c>
      <c r="C76" s="23" t="str">
        <f aca="false">IF(학생명단!C76="","",학생명단!C76)</f>
        <v/>
      </c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15" t="str">
        <f aca="false">IF(COUNTA(D76:W76)=0,"",SUMPRODUCT((D76:W76=$D$2:$W$2)*(D76:W76&lt;&gt;"")))</f>
        <v/>
      </c>
      <c r="Y76" s="34" t="str">
        <f aca="false">IF(COUNTA(D76:W76)=0,"",SUMPRODUCT((D76:W76=$D$2:$W$2)*(D76:W76&lt;&gt;"")*$D$3:$W$3))</f>
        <v/>
      </c>
      <c r="Z76" s="15" t="str">
        <f aca="false">IF($Y76="","",SUMPRODUCT(($D76:$W76=$D$2:$W$2)*($D76:$W76&lt;&gt;"")*$D$3:$W$3*($D$4:$W$4=Z$6)))</f>
        <v/>
      </c>
      <c r="AA76" s="15" t="str">
        <f aca="false">IF($Y76="","",SUMPRODUCT(($D76:$W76=$D$2:$W$2)*($D76:$W76&lt;&gt;"")*$D$3:$W$3*($D$4:$W$4=AA$6)))</f>
        <v/>
      </c>
      <c r="AB76" s="15" t="str">
        <f aca="false">IF($Y76="","",SUMPRODUCT(($D76:$W76=$D$2:$W$2)*($D76:$W76&lt;&gt;"")*$D$3:$W$3*($D$4:$W$4=AB$6)))</f>
        <v/>
      </c>
    </row>
    <row r="77" customFormat="false" ht="15" hidden="false" customHeight="false" outlineLevel="0" collapsed="false">
      <c r="A77" s="6" t="n">
        <v>71</v>
      </c>
      <c r="B77" s="6" t="str">
        <f aca="false">IF(학생명단!B77="","",학생명단!B77)</f>
        <v/>
      </c>
      <c r="C77" s="23" t="str">
        <f aca="false">IF(학생명단!C77="","",학생명단!C77)</f>
        <v/>
      </c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15" t="str">
        <f aca="false">IF(COUNTA(D77:W77)=0,"",SUMPRODUCT((D77:W77=$D$2:$W$2)*(D77:W77&lt;&gt;"")))</f>
        <v/>
      </c>
      <c r="Y77" s="34" t="str">
        <f aca="false">IF(COUNTA(D77:W77)=0,"",SUMPRODUCT((D77:W77=$D$2:$W$2)*(D77:W77&lt;&gt;"")*$D$3:$W$3))</f>
        <v/>
      </c>
      <c r="Z77" s="15" t="str">
        <f aca="false">IF($Y77="","",SUMPRODUCT(($D77:$W77=$D$2:$W$2)*($D77:$W77&lt;&gt;"")*$D$3:$W$3*($D$4:$W$4=Z$6)))</f>
        <v/>
      </c>
      <c r="AA77" s="15" t="str">
        <f aca="false">IF($Y77="","",SUMPRODUCT(($D77:$W77=$D$2:$W$2)*($D77:$W77&lt;&gt;"")*$D$3:$W$3*($D$4:$W$4=AA$6)))</f>
        <v/>
      </c>
      <c r="AB77" s="15" t="str">
        <f aca="false">IF($Y77="","",SUMPRODUCT(($D77:$W77=$D$2:$W$2)*($D77:$W77&lt;&gt;"")*$D$3:$W$3*($D$4:$W$4=AB$6)))</f>
        <v/>
      </c>
    </row>
    <row r="78" customFormat="false" ht="15" hidden="false" customHeight="false" outlineLevel="0" collapsed="false">
      <c r="A78" s="6" t="n">
        <v>72</v>
      </c>
      <c r="B78" s="6" t="str">
        <f aca="false">IF(학생명단!B78="","",학생명단!B78)</f>
        <v/>
      </c>
      <c r="C78" s="23" t="str">
        <f aca="false">IF(학생명단!C78="","",학생명단!C78)</f>
        <v/>
      </c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15" t="str">
        <f aca="false">IF(COUNTA(D78:W78)=0,"",SUMPRODUCT((D78:W78=$D$2:$W$2)*(D78:W78&lt;&gt;"")))</f>
        <v/>
      </c>
      <c r="Y78" s="34" t="str">
        <f aca="false">IF(COUNTA(D78:W78)=0,"",SUMPRODUCT((D78:W78=$D$2:$W$2)*(D78:W78&lt;&gt;"")*$D$3:$W$3))</f>
        <v/>
      </c>
      <c r="Z78" s="15" t="str">
        <f aca="false">IF($Y78="","",SUMPRODUCT(($D78:$W78=$D$2:$W$2)*($D78:$W78&lt;&gt;"")*$D$3:$W$3*($D$4:$W$4=Z$6)))</f>
        <v/>
      </c>
      <c r="AA78" s="15" t="str">
        <f aca="false">IF($Y78="","",SUMPRODUCT(($D78:$W78=$D$2:$W$2)*($D78:$W78&lt;&gt;"")*$D$3:$W$3*($D$4:$W$4=AA$6)))</f>
        <v/>
      </c>
      <c r="AB78" s="15" t="str">
        <f aca="false">IF($Y78="","",SUMPRODUCT(($D78:$W78=$D$2:$W$2)*($D78:$W78&lt;&gt;"")*$D$3:$W$3*($D$4:$W$4=AB$6)))</f>
        <v/>
      </c>
    </row>
    <row r="79" customFormat="false" ht="15" hidden="false" customHeight="false" outlineLevel="0" collapsed="false">
      <c r="A79" s="6" t="n">
        <v>73</v>
      </c>
      <c r="B79" s="6" t="str">
        <f aca="false">IF(학생명단!B79="","",학생명단!B79)</f>
        <v/>
      </c>
      <c r="C79" s="23" t="str">
        <f aca="false">IF(학생명단!C79="","",학생명단!C79)</f>
        <v/>
      </c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15" t="str">
        <f aca="false">IF(COUNTA(D79:W79)=0,"",SUMPRODUCT((D79:W79=$D$2:$W$2)*(D79:W79&lt;&gt;"")))</f>
        <v/>
      </c>
      <c r="Y79" s="34" t="str">
        <f aca="false">IF(COUNTA(D79:W79)=0,"",SUMPRODUCT((D79:W79=$D$2:$W$2)*(D79:W79&lt;&gt;"")*$D$3:$W$3))</f>
        <v/>
      </c>
      <c r="Z79" s="15" t="str">
        <f aca="false">IF($Y79="","",SUMPRODUCT(($D79:$W79=$D$2:$W$2)*($D79:$W79&lt;&gt;"")*$D$3:$W$3*($D$4:$W$4=Z$6)))</f>
        <v/>
      </c>
      <c r="AA79" s="15" t="str">
        <f aca="false">IF($Y79="","",SUMPRODUCT(($D79:$W79=$D$2:$W$2)*($D79:$W79&lt;&gt;"")*$D$3:$W$3*($D$4:$W$4=AA$6)))</f>
        <v/>
      </c>
      <c r="AB79" s="15" t="str">
        <f aca="false">IF($Y79="","",SUMPRODUCT(($D79:$W79=$D$2:$W$2)*($D79:$W79&lt;&gt;"")*$D$3:$W$3*($D$4:$W$4=AB$6)))</f>
        <v/>
      </c>
    </row>
    <row r="80" customFormat="false" ht="15" hidden="false" customHeight="false" outlineLevel="0" collapsed="false">
      <c r="A80" s="6" t="n">
        <v>74</v>
      </c>
      <c r="B80" s="6" t="str">
        <f aca="false">IF(학생명단!B80="","",학생명단!B80)</f>
        <v/>
      </c>
      <c r="C80" s="23" t="str">
        <f aca="false">IF(학생명단!C80="","",학생명단!C80)</f>
        <v/>
      </c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15" t="str">
        <f aca="false">IF(COUNTA(D80:W80)=0,"",SUMPRODUCT((D80:W80=$D$2:$W$2)*(D80:W80&lt;&gt;"")))</f>
        <v/>
      </c>
      <c r="Y80" s="34" t="str">
        <f aca="false">IF(COUNTA(D80:W80)=0,"",SUMPRODUCT((D80:W80=$D$2:$W$2)*(D80:W80&lt;&gt;"")*$D$3:$W$3))</f>
        <v/>
      </c>
      <c r="Z80" s="15" t="str">
        <f aca="false">IF($Y80="","",SUMPRODUCT(($D80:$W80=$D$2:$W$2)*($D80:$W80&lt;&gt;"")*$D$3:$W$3*($D$4:$W$4=Z$6)))</f>
        <v/>
      </c>
      <c r="AA80" s="15" t="str">
        <f aca="false">IF($Y80="","",SUMPRODUCT(($D80:$W80=$D$2:$W$2)*($D80:$W80&lt;&gt;"")*$D$3:$W$3*($D$4:$W$4=AA$6)))</f>
        <v/>
      </c>
      <c r="AB80" s="15" t="str">
        <f aca="false">IF($Y80="","",SUMPRODUCT(($D80:$W80=$D$2:$W$2)*($D80:$W80&lt;&gt;"")*$D$3:$W$3*($D$4:$W$4=AB$6)))</f>
        <v/>
      </c>
    </row>
    <row r="81" customFormat="false" ht="15" hidden="false" customHeight="false" outlineLevel="0" collapsed="false">
      <c r="A81" s="6" t="n">
        <v>75</v>
      </c>
      <c r="B81" s="6" t="str">
        <f aca="false">IF(학생명단!B81="","",학생명단!B81)</f>
        <v/>
      </c>
      <c r="C81" s="23" t="str">
        <f aca="false">IF(학생명단!C81="","",학생명단!C81)</f>
        <v/>
      </c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15" t="str">
        <f aca="false">IF(COUNTA(D81:W81)=0,"",SUMPRODUCT((D81:W81=$D$2:$W$2)*(D81:W81&lt;&gt;"")))</f>
        <v/>
      </c>
      <c r="Y81" s="34" t="str">
        <f aca="false">IF(COUNTA(D81:W81)=0,"",SUMPRODUCT((D81:W81=$D$2:$W$2)*(D81:W81&lt;&gt;"")*$D$3:$W$3))</f>
        <v/>
      </c>
      <c r="Z81" s="15" t="str">
        <f aca="false">IF($Y81="","",SUMPRODUCT(($D81:$W81=$D$2:$W$2)*($D81:$W81&lt;&gt;"")*$D$3:$W$3*($D$4:$W$4=Z$6)))</f>
        <v/>
      </c>
      <c r="AA81" s="15" t="str">
        <f aca="false">IF($Y81="","",SUMPRODUCT(($D81:$W81=$D$2:$W$2)*($D81:$W81&lt;&gt;"")*$D$3:$W$3*($D$4:$W$4=AA$6)))</f>
        <v/>
      </c>
      <c r="AB81" s="15" t="str">
        <f aca="false">IF($Y81="","",SUMPRODUCT(($D81:$W81=$D$2:$W$2)*($D81:$W81&lt;&gt;"")*$D$3:$W$3*($D$4:$W$4=AB$6)))</f>
        <v/>
      </c>
    </row>
    <row r="82" customFormat="false" ht="15" hidden="false" customHeight="false" outlineLevel="0" collapsed="false">
      <c r="A82" s="6" t="n">
        <v>76</v>
      </c>
      <c r="B82" s="6" t="str">
        <f aca="false">IF(학생명단!B82="","",학생명단!B82)</f>
        <v/>
      </c>
      <c r="C82" s="23" t="str">
        <f aca="false">IF(학생명단!C82="","",학생명단!C82)</f>
        <v/>
      </c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15" t="str">
        <f aca="false">IF(COUNTA(D82:W82)=0,"",SUMPRODUCT((D82:W82=$D$2:$W$2)*(D82:W82&lt;&gt;"")))</f>
        <v/>
      </c>
      <c r="Y82" s="34" t="str">
        <f aca="false">IF(COUNTA(D82:W82)=0,"",SUMPRODUCT((D82:W82=$D$2:$W$2)*(D82:W82&lt;&gt;"")*$D$3:$W$3))</f>
        <v/>
      </c>
      <c r="Z82" s="15" t="str">
        <f aca="false">IF($Y82="","",SUMPRODUCT(($D82:$W82=$D$2:$W$2)*($D82:$W82&lt;&gt;"")*$D$3:$W$3*($D$4:$W$4=Z$6)))</f>
        <v/>
      </c>
      <c r="AA82" s="15" t="str">
        <f aca="false">IF($Y82="","",SUMPRODUCT(($D82:$W82=$D$2:$W$2)*($D82:$W82&lt;&gt;"")*$D$3:$W$3*($D$4:$W$4=AA$6)))</f>
        <v/>
      </c>
      <c r="AB82" s="15" t="str">
        <f aca="false">IF($Y82="","",SUMPRODUCT(($D82:$W82=$D$2:$W$2)*($D82:$W82&lt;&gt;"")*$D$3:$W$3*($D$4:$W$4=AB$6)))</f>
        <v/>
      </c>
    </row>
    <row r="83" customFormat="false" ht="15" hidden="false" customHeight="false" outlineLevel="0" collapsed="false">
      <c r="A83" s="6" t="n">
        <v>77</v>
      </c>
      <c r="B83" s="6" t="str">
        <f aca="false">IF(학생명단!B83="","",학생명단!B83)</f>
        <v/>
      </c>
      <c r="C83" s="23" t="str">
        <f aca="false">IF(학생명단!C83="","",학생명단!C83)</f>
        <v/>
      </c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15" t="str">
        <f aca="false">IF(COUNTA(D83:W83)=0,"",SUMPRODUCT((D83:W83=$D$2:$W$2)*(D83:W83&lt;&gt;"")))</f>
        <v/>
      </c>
      <c r="Y83" s="34" t="str">
        <f aca="false">IF(COUNTA(D83:W83)=0,"",SUMPRODUCT((D83:W83=$D$2:$W$2)*(D83:W83&lt;&gt;"")*$D$3:$W$3))</f>
        <v/>
      </c>
      <c r="Z83" s="15" t="str">
        <f aca="false">IF($Y83="","",SUMPRODUCT(($D83:$W83=$D$2:$W$2)*($D83:$W83&lt;&gt;"")*$D$3:$W$3*($D$4:$W$4=Z$6)))</f>
        <v/>
      </c>
      <c r="AA83" s="15" t="str">
        <f aca="false">IF($Y83="","",SUMPRODUCT(($D83:$W83=$D$2:$W$2)*($D83:$W83&lt;&gt;"")*$D$3:$W$3*($D$4:$W$4=AA$6)))</f>
        <v/>
      </c>
      <c r="AB83" s="15" t="str">
        <f aca="false">IF($Y83="","",SUMPRODUCT(($D83:$W83=$D$2:$W$2)*($D83:$W83&lt;&gt;"")*$D$3:$W$3*($D$4:$W$4=AB$6)))</f>
        <v/>
      </c>
    </row>
    <row r="84" customFormat="false" ht="15" hidden="false" customHeight="false" outlineLevel="0" collapsed="false">
      <c r="A84" s="6" t="n">
        <v>78</v>
      </c>
      <c r="B84" s="6" t="str">
        <f aca="false">IF(학생명단!B84="","",학생명단!B84)</f>
        <v/>
      </c>
      <c r="C84" s="23" t="str">
        <f aca="false">IF(학생명단!C84="","",학생명단!C84)</f>
        <v/>
      </c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15" t="str">
        <f aca="false">IF(COUNTA(D84:W84)=0,"",SUMPRODUCT((D84:W84=$D$2:$W$2)*(D84:W84&lt;&gt;"")))</f>
        <v/>
      </c>
      <c r="Y84" s="34" t="str">
        <f aca="false">IF(COUNTA(D84:W84)=0,"",SUMPRODUCT((D84:W84=$D$2:$W$2)*(D84:W84&lt;&gt;"")*$D$3:$W$3))</f>
        <v/>
      </c>
      <c r="Z84" s="15" t="str">
        <f aca="false">IF($Y84="","",SUMPRODUCT(($D84:$W84=$D$2:$W$2)*($D84:$W84&lt;&gt;"")*$D$3:$W$3*($D$4:$W$4=Z$6)))</f>
        <v/>
      </c>
      <c r="AA84" s="15" t="str">
        <f aca="false">IF($Y84="","",SUMPRODUCT(($D84:$W84=$D$2:$W$2)*($D84:$W84&lt;&gt;"")*$D$3:$W$3*($D$4:$W$4=AA$6)))</f>
        <v/>
      </c>
      <c r="AB84" s="15" t="str">
        <f aca="false">IF($Y84="","",SUMPRODUCT(($D84:$W84=$D$2:$W$2)*($D84:$W84&lt;&gt;"")*$D$3:$W$3*($D$4:$W$4=AB$6)))</f>
        <v/>
      </c>
    </row>
    <row r="85" customFormat="false" ht="15" hidden="false" customHeight="false" outlineLevel="0" collapsed="false">
      <c r="A85" s="6" t="n">
        <v>79</v>
      </c>
      <c r="B85" s="6" t="str">
        <f aca="false">IF(학생명단!B85="","",학생명단!B85)</f>
        <v/>
      </c>
      <c r="C85" s="23" t="str">
        <f aca="false">IF(학생명단!C85="","",학생명단!C85)</f>
        <v/>
      </c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15" t="str">
        <f aca="false">IF(COUNTA(D85:W85)=0,"",SUMPRODUCT((D85:W85=$D$2:$W$2)*(D85:W85&lt;&gt;"")))</f>
        <v/>
      </c>
      <c r="Y85" s="34" t="str">
        <f aca="false">IF(COUNTA(D85:W85)=0,"",SUMPRODUCT((D85:W85=$D$2:$W$2)*(D85:W85&lt;&gt;"")*$D$3:$W$3))</f>
        <v/>
      </c>
      <c r="Z85" s="15" t="str">
        <f aca="false">IF($Y85="","",SUMPRODUCT(($D85:$W85=$D$2:$W$2)*($D85:$W85&lt;&gt;"")*$D$3:$W$3*($D$4:$W$4=Z$6)))</f>
        <v/>
      </c>
      <c r="AA85" s="15" t="str">
        <f aca="false">IF($Y85="","",SUMPRODUCT(($D85:$W85=$D$2:$W$2)*($D85:$W85&lt;&gt;"")*$D$3:$W$3*($D$4:$W$4=AA$6)))</f>
        <v/>
      </c>
      <c r="AB85" s="15" t="str">
        <f aca="false">IF($Y85="","",SUMPRODUCT(($D85:$W85=$D$2:$W$2)*($D85:$W85&lt;&gt;"")*$D$3:$W$3*($D$4:$W$4=AB$6)))</f>
        <v/>
      </c>
    </row>
    <row r="86" customFormat="false" ht="15" hidden="false" customHeight="false" outlineLevel="0" collapsed="false">
      <c r="A86" s="6" t="n">
        <v>80</v>
      </c>
      <c r="B86" s="6" t="str">
        <f aca="false">IF(학생명단!B86="","",학생명단!B86)</f>
        <v/>
      </c>
      <c r="C86" s="23" t="str">
        <f aca="false">IF(학생명단!C86="","",학생명단!C86)</f>
        <v/>
      </c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15" t="str">
        <f aca="false">IF(COUNTA(D86:W86)=0,"",SUMPRODUCT((D86:W86=$D$2:$W$2)*(D86:W86&lt;&gt;"")))</f>
        <v/>
      </c>
      <c r="Y86" s="34" t="str">
        <f aca="false">IF(COUNTA(D86:W86)=0,"",SUMPRODUCT((D86:W86=$D$2:$W$2)*(D86:W86&lt;&gt;"")*$D$3:$W$3))</f>
        <v/>
      </c>
      <c r="Z86" s="15" t="str">
        <f aca="false">IF($Y86="","",SUMPRODUCT(($D86:$W86=$D$2:$W$2)*($D86:$W86&lt;&gt;"")*$D$3:$W$3*($D$4:$W$4=Z$6)))</f>
        <v/>
      </c>
      <c r="AA86" s="15" t="str">
        <f aca="false">IF($Y86="","",SUMPRODUCT(($D86:$W86=$D$2:$W$2)*($D86:$W86&lt;&gt;"")*$D$3:$W$3*($D$4:$W$4=AA$6)))</f>
        <v/>
      </c>
      <c r="AB86" s="15" t="str">
        <f aca="false">IF($Y86="","",SUMPRODUCT(($D86:$W86=$D$2:$W$2)*($D86:$W86&lt;&gt;"")*$D$3:$W$3*($D$4:$W$4=AB$6)))</f>
        <v/>
      </c>
    </row>
  </sheetData>
  <mergeCells count="6">
    <mergeCell ref="A1:C1"/>
    <mergeCell ref="D1:AB1"/>
    <mergeCell ref="A2:C2"/>
    <mergeCell ref="A3:C3"/>
    <mergeCell ref="A4:C4"/>
    <mergeCell ref="A5:C5"/>
  </mergeCells>
  <conditionalFormatting sqref="D7:W86">
    <cfRule type="expression" priority="2" aboveAverage="0" equalAverage="0" bottom="0" percent="0" rank="0" text="" dxfId="0">
      <formula>AND(D7&lt;&gt;"",D$2&lt;&gt;"",D7&lt;&gt;D$2)</formula>
    </cfRule>
  </conditionalFormatting>
  <conditionalFormatting sqref="D2:W2">
    <cfRule type="expression" priority="3" aboveAverage="0" equalAverage="0" bottom="0" percent="0" rank="0" text="" dxfId="1">
      <formula>D2=""</formula>
    </cfRule>
  </conditionalFormatting>
  <dataValidations count="4">
    <dataValidation allowBlank="true" errorStyle="stop" operator="between" showDropDown="false" showErrorMessage="false" showInputMessage="false" sqref="D4:W4" type="list">
      <formula1>설정!$B$24:$B$26</formula1>
      <formula2>0</formula2>
    </dataValidation>
    <dataValidation allowBlank="true" errorStyle="stop" operator="between" showDropDown="false" showErrorMessage="false" showInputMessage="false" sqref="D5:W5" type="list">
      <formula1>"하,중하,중,중상,상,최상"</formula1>
      <formula2>0</formula2>
    </dataValidation>
    <dataValidation allowBlank="true" error="객관식은 1~5 사이 정수만 입력" errorStyle="stop" errorTitle="입력 오류" operator="between" showDropDown="false" showErrorMessage="true" showInputMessage="false" sqref="D2:Q2 D7:Q86" type="whole">
      <formula1>1</formula1>
      <formula2>5</formula2>
    </dataValidation>
    <dataValidation allowBlank="true" error="단답형은 0~999 사이 정수만 입력" errorStyle="stop" errorTitle="입력 오류" operator="between" showDropDown="false" showErrorMessage="true" showInputMessage="false" sqref="R2:W2 R7:W86" type="whole">
      <formula1>0</formula1>
      <formula2>999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9"/>
    <col collapsed="false" customWidth="true" hidden="false" outlineLevel="0" max="6" min="6" style="0" width="22"/>
    <col collapsed="false" customWidth="true" hidden="false" outlineLevel="0" max="8" min="7" style="0" width="7"/>
    <col collapsed="false" customWidth="true" hidden="false" outlineLevel="0" max="9" min="9" style="0" width="8"/>
    <col collapsed="false" customWidth="true" hidden="false" outlineLevel="0" max="10" min="10" style="0" width="6"/>
    <col collapsed="false" customWidth="true" hidden="false" outlineLevel="0" max="11" min="11" style="0" width="10"/>
    <col collapsed="false" customWidth="true" hidden="false" outlineLevel="0" max="12" min="12" style="0" width="6"/>
    <col collapsed="false" customWidth="true" hidden="false" outlineLevel="0" max="15" min="13" style="0" width="10"/>
    <col collapsed="false" customWidth="true" hidden="false" outlineLevel="0" max="16" min="16" style="0" width="12"/>
    <col collapsed="false" customWidth="true" hidden="true" outlineLevel="0" max="17" min="17" style="0" width="13"/>
    <col collapsed="false" customWidth="true" hidden="false" outlineLevel="0" max="19" min="19" style="0" width="10"/>
    <col collapsed="false" customWidth="true" hidden="false" outlineLevel="0" max="25" min="20" style="0" width="8"/>
  </cols>
  <sheetData>
    <row r="1" customFormat="false" ht="25.5" hidden="false" customHeight="true" outlineLevel="0" collapsed="false">
      <c r="A1" s="1" t="s">
        <v>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customFormat="false" ht="30" hidden="false" customHeight="true" outlineLevel="0" collapsed="false">
      <c r="A2" s="2" t="s">
        <v>142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5" customFormat="false" ht="43.25" hidden="false" customHeight="false" outlineLevel="0" collapsed="false">
      <c r="S5" s="3" t="s">
        <v>143</v>
      </c>
    </row>
    <row r="6" customFormat="false" ht="26.85" hidden="false" customHeight="false" outlineLevel="0" collapsed="false">
      <c r="A6" s="24" t="s">
        <v>89</v>
      </c>
      <c r="B6" s="4" t="s">
        <v>90</v>
      </c>
      <c r="C6" s="4" t="s">
        <v>91</v>
      </c>
      <c r="D6" s="4" t="s">
        <v>92</v>
      </c>
      <c r="E6" s="4" t="s">
        <v>144</v>
      </c>
      <c r="F6" s="4" t="s">
        <v>94</v>
      </c>
      <c r="G6" s="4" t="s">
        <v>145</v>
      </c>
      <c r="H6" s="4" t="s">
        <v>146</v>
      </c>
      <c r="I6" s="4" t="s">
        <v>147</v>
      </c>
      <c r="J6" s="4" t="s">
        <v>148</v>
      </c>
      <c r="K6" s="4" t="s">
        <v>149</v>
      </c>
      <c r="L6" s="4" t="s">
        <v>150</v>
      </c>
      <c r="M6" s="4" t="s">
        <v>151</v>
      </c>
      <c r="N6" s="4" t="s">
        <v>152</v>
      </c>
      <c r="O6" s="4" t="s">
        <v>153</v>
      </c>
      <c r="P6" s="4" t="s">
        <v>154</v>
      </c>
      <c r="S6" s="4" t="s">
        <v>155</v>
      </c>
      <c r="T6" s="4" t="s">
        <v>156</v>
      </c>
      <c r="U6" s="4" t="s">
        <v>157</v>
      </c>
      <c r="V6" s="4" t="s">
        <v>158</v>
      </c>
      <c r="W6" s="4" t="s">
        <v>159</v>
      </c>
      <c r="X6" s="4" t="s">
        <v>160</v>
      </c>
      <c r="Y6" s="4" t="s">
        <v>99</v>
      </c>
    </row>
    <row r="7" customFormat="false" ht="25.35" hidden="false" customHeight="false" outlineLevel="0" collapsed="false">
      <c r="A7" s="6" t="n">
        <v>1</v>
      </c>
      <c r="B7" s="35" t="str">
        <f aca="false">IF(학생명단!B7="","",학생명단!B7)</f>
        <v>홍길동(예시)</v>
      </c>
      <c r="C7" s="35" t="str">
        <f aca="false">IF(학생명단!C7="","",학생명단!C7)</f>
        <v>OO중</v>
      </c>
      <c r="D7" s="35" t="str">
        <f aca="false">IF(학생명단!D7="","",학생명단!D7)</f>
        <v>외부</v>
      </c>
      <c r="E7" s="35" t="str">
        <f aca="false">IF(학생명단!E7="","",학생명단!E7)</f>
        <v>신규</v>
      </c>
      <c r="F7" s="16" t="str">
        <f aca="false">IF(학생명단!F7="","",학생명단!F7)</f>
        <v>공통수학1 1회독 완료, 공통수학2 집합까지</v>
      </c>
      <c r="G7" s="35" t="str">
        <f aca="false">공수1!Y7</f>
        <v/>
      </c>
      <c r="H7" s="35" t="str">
        <f aca="false">공수2!Y7</f>
        <v/>
      </c>
      <c r="I7" s="36" t="str">
        <f aca="false">IF(AND(G7="",H7=""),"",N(G7)*설정!$C$13+N(H7)*설정!$C$14)</f>
        <v/>
      </c>
      <c r="J7" s="35" t="str">
        <f aca="false">IF(I7="","",COUNTIF($I$7:$I$86,"&gt;"&amp;I7)+1)</f>
        <v/>
      </c>
      <c r="K7" s="34" t="str">
        <f aca="false">IF(I7="","",IF(OR(G7="",H7=""),설정!$B$9,IF(AND(OR(설정!$C$6="",G7&gt;=설정!$C$6),OR(설정!$D$6="",G7&lt;설정!$D$6),OR(설정!$E$6="",H7&gt;=설정!$E$6),OR(설정!$F$6="",H7&lt;설정!$F$6)),설정!$B$6,IF(AND(OR(설정!$C$7="",G7&gt;=설정!$C$7),OR(설정!$D$7="",G7&lt;설정!$D$7),OR(설정!$E$7="",H7&gt;=설정!$E$7),OR(설정!$F$7="",H7&lt;설정!$F$7)),설정!$B$7,IF(AND(OR(설정!$C$8="",G7&gt;=설정!$C$8),OR(설정!$D$8="",G7&lt;설정!$D$8),OR(설정!$E$8="",H7&gt;=설정!$E$8),OR(설정!$F$8="",H7&lt;설정!$F$8)),설정!$B$8,설정!$B$9)))))</f>
        <v/>
      </c>
      <c r="L7" s="37" t="str">
        <f aca="false">IF(OR(G7="",H7=""),"",IF(SUMPRODUCT(ISNUMBER(설정!$C$6:$D$8)*(ABS(G7-설정!$C$6:$D$8)&lt;=설정!$C$15))+SUMPRODUCT(ISNUMBER(설정!$E$6:$F$8)*(ABS(H7-설정!$E$6:$F$8)&lt;=설정!$C$15))&gt;0,"경계",""))</f>
        <v/>
      </c>
      <c r="M7" s="8"/>
      <c r="N7" s="8"/>
      <c r="O7" s="34" t="str">
        <f aca="false">IF(M7&lt;&gt;"",M7,K7)</f>
        <v/>
      </c>
      <c r="P7" s="38" t="str">
        <f aca="false">IF(I7="","",IF(G7="","공수1 미응시",IF(H7="","공수2 미응시","")))</f>
        <v/>
      </c>
      <c r="Q7" s="15" t="str">
        <f aca="false">IF(J7="","",J7+ROW()/100000)</f>
        <v/>
      </c>
      <c r="S7" s="39" t="str">
        <f aca="false">설정!$B$6</f>
        <v>TF1반</v>
      </c>
      <c r="T7" s="15" t="n">
        <f aca="false">COUNTIF($K$7:$K$86,S7)</f>
        <v>0</v>
      </c>
      <c r="U7" s="34" t="n">
        <f aca="false">COUNTIF($O$7:$O$86,S7)</f>
        <v>0</v>
      </c>
      <c r="V7" s="40" t="str">
        <f aca="false">IFERROR(AVERAGEIF($O$7:$O$86,S7,$G$7:$G$86),"")</f>
        <v/>
      </c>
      <c r="W7" s="40" t="str">
        <f aca="false">IFERROR(AVERAGEIF($O$7:$O$86,S7,$H$7:$H$86),"")</f>
        <v/>
      </c>
      <c r="X7" s="15" t="n">
        <f aca="false">COUNTIFS($O$7:$O$86,S7,$D$7:$D$86,"재원")</f>
        <v>0</v>
      </c>
      <c r="Y7" s="15" t="n">
        <f aca="false">COUNTIFS($O$7:$O$86,S7,$D$7:$D$86,"외부")</f>
        <v>0</v>
      </c>
    </row>
    <row r="8" customFormat="false" ht="15" hidden="false" customHeight="false" outlineLevel="0" collapsed="false">
      <c r="A8" s="6" t="n">
        <v>2</v>
      </c>
      <c r="B8" s="35" t="str">
        <f aca="false">IF(학생명단!B8="","",학생명단!B8)</f>
        <v/>
      </c>
      <c r="C8" s="35" t="str">
        <f aca="false">IF(학생명단!C8="","",학생명단!C8)</f>
        <v/>
      </c>
      <c r="D8" s="35" t="str">
        <f aca="false">IF(학생명단!D8="","",학생명단!D8)</f>
        <v/>
      </c>
      <c r="E8" s="35" t="str">
        <f aca="false">IF(학생명단!E8="","",학생명단!E8)</f>
        <v/>
      </c>
      <c r="F8" s="16" t="str">
        <f aca="false">IF(학생명단!F8="","",학생명단!F8)</f>
        <v/>
      </c>
      <c r="G8" s="35" t="str">
        <f aca="false">공수1!Y8</f>
        <v/>
      </c>
      <c r="H8" s="35" t="str">
        <f aca="false">공수2!Y8</f>
        <v/>
      </c>
      <c r="I8" s="36" t="str">
        <f aca="false">IF(AND(G8="",H8=""),"",N(G8)*설정!$C$13+N(H8)*설정!$C$14)</f>
        <v/>
      </c>
      <c r="J8" s="35" t="str">
        <f aca="false">IF(I8="","",COUNTIF($I$7:$I$86,"&gt;"&amp;I8)+1)</f>
        <v/>
      </c>
      <c r="K8" s="34" t="str">
        <f aca="false">IF(I8="","",IF(OR(G8="",H8=""),설정!$B$9,IF(AND(OR(설정!$C$6="",G8&gt;=설정!$C$6),OR(설정!$D$6="",G8&lt;설정!$D$6),OR(설정!$E$6="",H8&gt;=설정!$E$6),OR(설정!$F$6="",H8&lt;설정!$F$6)),설정!$B$6,IF(AND(OR(설정!$C$7="",G8&gt;=설정!$C$7),OR(설정!$D$7="",G8&lt;설정!$D$7),OR(설정!$E$7="",H8&gt;=설정!$E$7),OR(설정!$F$7="",H8&lt;설정!$F$7)),설정!$B$7,IF(AND(OR(설정!$C$8="",G8&gt;=설정!$C$8),OR(설정!$D$8="",G8&lt;설정!$D$8),OR(설정!$E$8="",H8&gt;=설정!$E$8),OR(설정!$F$8="",H8&lt;설정!$F$8)),설정!$B$8,설정!$B$9)))))</f>
        <v/>
      </c>
      <c r="L8" s="37" t="str">
        <f aca="false">IF(OR(G8="",H8=""),"",IF(SUMPRODUCT(ISNUMBER(설정!$C$6:$D$8)*(ABS(G8-설정!$C$6:$D$8)&lt;=설정!$C$15))+SUMPRODUCT(ISNUMBER(설정!$E$6:$F$8)*(ABS(H8-설정!$E$6:$F$8)&lt;=설정!$C$15))&gt;0,"경계",""))</f>
        <v/>
      </c>
      <c r="M8" s="8"/>
      <c r="N8" s="8"/>
      <c r="O8" s="34" t="str">
        <f aca="false">IF(M8&lt;&gt;"",M8,K8)</f>
        <v/>
      </c>
      <c r="P8" s="38" t="str">
        <f aca="false">IF(I8="","",IF(G8="","공수1 미응시",IF(H8="","공수2 미응시","")))</f>
        <v/>
      </c>
      <c r="Q8" s="15" t="str">
        <f aca="false">IF(J8="","",J8+ROW()/100000)</f>
        <v/>
      </c>
      <c r="S8" s="41" t="str">
        <f aca="false">설정!$B$7</f>
        <v>TF2반</v>
      </c>
      <c r="T8" s="15" t="n">
        <f aca="false">COUNTIF($K$7:$K$86,S8)</f>
        <v>0</v>
      </c>
      <c r="U8" s="34" t="n">
        <f aca="false">COUNTIF($O$7:$O$86,S8)</f>
        <v>0</v>
      </c>
      <c r="V8" s="40" t="str">
        <f aca="false">IFERROR(AVERAGEIF($O$7:$O$86,S8,$G$7:$G$86),"")</f>
        <v/>
      </c>
      <c r="W8" s="40" t="str">
        <f aca="false">IFERROR(AVERAGEIF($O$7:$O$86,S8,$H$7:$H$86),"")</f>
        <v/>
      </c>
      <c r="X8" s="15" t="n">
        <f aca="false">COUNTIFS($O$7:$O$86,S8,$D$7:$D$86,"재원")</f>
        <v>0</v>
      </c>
      <c r="Y8" s="15" t="n">
        <f aca="false">COUNTIFS($O$7:$O$86,S8,$D$7:$D$86,"외부")</f>
        <v>0</v>
      </c>
    </row>
    <row r="9" customFormat="false" ht="15" hidden="false" customHeight="false" outlineLevel="0" collapsed="false">
      <c r="A9" s="6" t="n">
        <v>3</v>
      </c>
      <c r="B9" s="35" t="str">
        <f aca="false">IF(학생명단!B9="","",학생명단!B9)</f>
        <v/>
      </c>
      <c r="C9" s="35" t="str">
        <f aca="false">IF(학생명단!C9="","",학생명단!C9)</f>
        <v/>
      </c>
      <c r="D9" s="35" t="str">
        <f aca="false">IF(학생명단!D9="","",학생명단!D9)</f>
        <v/>
      </c>
      <c r="E9" s="35" t="str">
        <f aca="false">IF(학생명단!E9="","",학생명단!E9)</f>
        <v/>
      </c>
      <c r="F9" s="16" t="str">
        <f aca="false">IF(학생명단!F9="","",학생명단!F9)</f>
        <v/>
      </c>
      <c r="G9" s="35" t="str">
        <f aca="false">공수1!Y9</f>
        <v/>
      </c>
      <c r="H9" s="35" t="str">
        <f aca="false">공수2!Y9</f>
        <v/>
      </c>
      <c r="I9" s="36" t="str">
        <f aca="false">IF(AND(G9="",H9=""),"",N(G9)*설정!$C$13+N(H9)*설정!$C$14)</f>
        <v/>
      </c>
      <c r="J9" s="35" t="str">
        <f aca="false">IF(I9="","",COUNTIF($I$7:$I$86,"&gt;"&amp;I9)+1)</f>
        <v/>
      </c>
      <c r="K9" s="34" t="str">
        <f aca="false">IF(I9="","",IF(OR(G9="",H9=""),설정!$B$9,IF(AND(OR(설정!$C$6="",G9&gt;=설정!$C$6),OR(설정!$D$6="",G9&lt;설정!$D$6),OR(설정!$E$6="",H9&gt;=설정!$E$6),OR(설정!$F$6="",H9&lt;설정!$F$6)),설정!$B$6,IF(AND(OR(설정!$C$7="",G9&gt;=설정!$C$7),OR(설정!$D$7="",G9&lt;설정!$D$7),OR(설정!$E$7="",H9&gt;=설정!$E$7),OR(설정!$F$7="",H9&lt;설정!$F$7)),설정!$B$7,IF(AND(OR(설정!$C$8="",G9&gt;=설정!$C$8),OR(설정!$D$8="",G9&lt;설정!$D$8),OR(설정!$E$8="",H9&gt;=설정!$E$8),OR(설정!$F$8="",H9&lt;설정!$F$8)),설정!$B$8,설정!$B$9)))))</f>
        <v/>
      </c>
      <c r="L9" s="37" t="str">
        <f aca="false">IF(OR(G9="",H9=""),"",IF(SUMPRODUCT(ISNUMBER(설정!$C$6:$D$8)*(ABS(G9-설정!$C$6:$D$8)&lt;=설정!$C$15))+SUMPRODUCT(ISNUMBER(설정!$E$6:$F$8)*(ABS(H9-설정!$E$6:$F$8)&lt;=설정!$C$15))&gt;0,"경계",""))</f>
        <v/>
      </c>
      <c r="M9" s="8"/>
      <c r="N9" s="8"/>
      <c r="O9" s="34" t="str">
        <f aca="false">IF(M9&lt;&gt;"",M9,K9)</f>
        <v/>
      </c>
      <c r="P9" s="38" t="str">
        <f aca="false">IF(I9="","",IF(G9="","공수1 미응시",IF(H9="","공수2 미응시","")))</f>
        <v/>
      </c>
      <c r="Q9" s="15" t="str">
        <f aca="false">IF(J9="","",J9+ROW()/100000)</f>
        <v/>
      </c>
      <c r="S9" s="42" t="str">
        <f aca="false">설정!$B$8</f>
        <v>TF3반</v>
      </c>
      <c r="T9" s="15" t="n">
        <f aca="false">COUNTIF($K$7:$K$86,S9)</f>
        <v>0</v>
      </c>
      <c r="U9" s="34" t="n">
        <f aca="false">COUNTIF($O$7:$O$86,S9)</f>
        <v>0</v>
      </c>
      <c r="V9" s="40" t="str">
        <f aca="false">IFERROR(AVERAGEIF($O$7:$O$86,S9,$G$7:$G$86),"")</f>
        <v/>
      </c>
      <c r="W9" s="40" t="str">
        <f aca="false">IFERROR(AVERAGEIF($O$7:$O$86,S9,$H$7:$H$86),"")</f>
        <v/>
      </c>
      <c r="X9" s="15" t="n">
        <f aca="false">COUNTIFS($O$7:$O$86,S9,$D$7:$D$86,"재원")</f>
        <v>0</v>
      </c>
      <c r="Y9" s="15" t="n">
        <f aca="false">COUNTIFS($O$7:$O$86,S9,$D$7:$D$86,"외부")</f>
        <v>0</v>
      </c>
    </row>
    <row r="10" customFormat="false" ht="15" hidden="false" customHeight="false" outlineLevel="0" collapsed="false">
      <c r="A10" s="6" t="n">
        <v>4</v>
      </c>
      <c r="B10" s="35" t="str">
        <f aca="false">IF(학생명단!B10="","",학생명단!B10)</f>
        <v/>
      </c>
      <c r="C10" s="35" t="str">
        <f aca="false">IF(학생명단!C10="","",학생명단!C10)</f>
        <v/>
      </c>
      <c r="D10" s="35" t="str">
        <f aca="false">IF(학생명단!D10="","",학생명단!D10)</f>
        <v/>
      </c>
      <c r="E10" s="35" t="str">
        <f aca="false">IF(학생명단!E10="","",학생명단!E10)</f>
        <v/>
      </c>
      <c r="F10" s="16" t="str">
        <f aca="false">IF(학생명단!F10="","",학생명단!F10)</f>
        <v/>
      </c>
      <c r="G10" s="35" t="str">
        <f aca="false">공수1!Y10</f>
        <v/>
      </c>
      <c r="H10" s="35" t="str">
        <f aca="false">공수2!Y10</f>
        <v/>
      </c>
      <c r="I10" s="36" t="str">
        <f aca="false">IF(AND(G10="",H10=""),"",N(G10)*설정!$C$13+N(H10)*설정!$C$14)</f>
        <v/>
      </c>
      <c r="J10" s="35" t="str">
        <f aca="false">IF(I10="","",COUNTIF($I$7:$I$86,"&gt;"&amp;I10)+1)</f>
        <v/>
      </c>
      <c r="K10" s="34" t="str">
        <f aca="false">IF(I10="","",IF(OR(G10="",H10=""),설정!$B$9,IF(AND(OR(설정!$C$6="",G10&gt;=설정!$C$6),OR(설정!$D$6="",G10&lt;설정!$D$6),OR(설정!$E$6="",H10&gt;=설정!$E$6),OR(설정!$F$6="",H10&lt;설정!$F$6)),설정!$B$6,IF(AND(OR(설정!$C$7="",G10&gt;=설정!$C$7),OR(설정!$D$7="",G10&lt;설정!$D$7),OR(설정!$E$7="",H10&gt;=설정!$E$7),OR(설정!$F$7="",H10&lt;설정!$F$7)),설정!$B$7,IF(AND(OR(설정!$C$8="",G10&gt;=설정!$C$8),OR(설정!$D$8="",G10&lt;설정!$D$8),OR(설정!$E$8="",H10&gt;=설정!$E$8),OR(설정!$F$8="",H10&lt;설정!$F$8)),설정!$B$8,설정!$B$9)))))</f>
        <v/>
      </c>
      <c r="L10" s="37" t="str">
        <f aca="false">IF(OR(G10="",H10=""),"",IF(SUMPRODUCT(ISNUMBER(설정!$C$6:$D$8)*(ABS(G10-설정!$C$6:$D$8)&lt;=설정!$C$15))+SUMPRODUCT(ISNUMBER(설정!$E$6:$F$8)*(ABS(H10-설정!$E$6:$F$8)&lt;=설정!$C$15))&gt;0,"경계",""))</f>
        <v/>
      </c>
      <c r="M10" s="8"/>
      <c r="N10" s="8"/>
      <c r="O10" s="34" t="str">
        <f aca="false">IF(M10&lt;&gt;"",M10,K10)</f>
        <v/>
      </c>
      <c r="P10" s="38" t="str">
        <f aca="false">IF(I10="","",IF(G10="","공수1 미응시",IF(H10="","공수2 미응시","")))</f>
        <v/>
      </c>
      <c r="Q10" s="15" t="str">
        <f aca="false">IF(J10="","",J10+ROW()/100000)</f>
        <v/>
      </c>
      <c r="S10" s="43" t="str">
        <f aca="false">설정!$B$9</f>
        <v>보류</v>
      </c>
      <c r="T10" s="15" t="n">
        <f aca="false">COUNTIF($K$7:$K$86,S10)</f>
        <v>0</v>
      </c>
      <c r="U10" s="34" t="n">
        <f aca="false">COUNTIF($O$7:$O$86,S10)</f>
        <v>0</v>
      </c>
      <c r="V10" s="40" t="str">
        <f aca="false">IFERROR(AVERAGEIF($O$7:$O$86,S10,$G$7:$G$86),"")</f>
        <v/>
      </c>
      <c r="W10" s="40" t="str">
        <f aca="false">IFERROR(AVERAGEIF($O$7:$O$86,S10,$H$7:$H$86),"")</f>
        <v/>
      </c>
      <c r="X10" s="15" t="n">
        <f aca="false">COUNTIFS($O$7:$O$86,S10,$D$7:$D$86,"재원")</f>
        <v>0</v>
      </c>
      <c r="Y10" s="15" t="n">
        <f aca="false">COUNTIFS($O$7:$O$86,S10,$D$7:$D$86,"외부")</f>
        <v>0</v>
      </c>
    </row>
    <row r="11" customFormat="false" ht="15" hidden="false" customHeight="false" outlineLevel="0" collapsed="false">
      <c r="A11" s="6" t="n">
        <v>5</v>
      </c>
      <c r="B11" s="35" t="str">
        <f aca="false">IF(학생명단!B11="","",학생명단!B11)</f>
        <v/>
      </c>
      <c r="C11" s="35" t="str">
        <f aca="false">IF(학생명단!C11="","",학생명단!C11)</f>
        <v/>
      </c>
      <c r="D11" s="35" t="str">
        <f aca="false">IF(학생명단!D11="","",학생명단!D11)</f>
        <v/>
      </c>
      <c r="E11" s="35" t="str">
        <f aca="false">IF(학생명단!E11="","",학생명단!E11)</f>
        <v/>
      </c>
      <c r="F11" s="16" t="str">
        <f aca="false">IF(학생명단!F11="","",학생명단!F11)</f>
        <v/>
      </c>
      <c r="G11" s="35" t="str">
        <f aca="false">공수1!Y11</f>
        <v/>
      </c>
      <c r="H11" s="35" t="str">
        <f aca="false">공수2!Y11</f>
        <v/>
      </c>
      <c r="I11" s="36" t="str">
        <f aca="false">IF(AND(G11="",H11=""),"",N(G11)*설정!$C$13+N(H11)*설정!$C$14)</f>
        <v/>
      </c>
      <c r="J11" s="35" t="str">
        <f aca="false">IF(I11="","",COUNTIF($I$7:$I$86,"&gt;"&amp;I11)+1)</f>
        <v/>
      </c>
      <c r="K11" s="34" t="str">
        <f aca="false">IF(I11="","",IF(OR(G11="",H11=""),설정!$B$9,IF(AND(OR(설정!$C$6="",G11&gt;=설정!$C$6),OR(설정!$D$6="",G11&lt;설정!$D$6),OR(설정!$E$6="",H11&gt;=설정!$E$6),OR(설정!$F$6="",H11&lt;설정!$F$6)),설정!$B$6,IF(AND(OR(설정!$C$7="",G11&gt;=설정!$C$7),OR(설정!$D$7="",G11&lt;설정!$D$7),OR(설정!$E$7="",H11&gt;=설정!$E$7),OR(설정!$F$7="",H11&lt;설정!$F$7)),설정!$B$7,IF(AND(OR(설정!$C$8="",G11&gt;=설정!$C$8),OR(설정!$D$8="",G11&lt;설정!$D$8),OR(설정!$E$8="",H11&gt;=설정!$E$8),OR(설정!$F$8="",H11&lt;설정!$F$8)),설정!$B$8,설정!$B$9)))))</f>
        <v/>
      </c>
      <c r="L11" s="37" t="str">
        <f aca="false">IF(OR(G11="",H11=""),"",IF(SUMPRODUCT(ISNUMBER(설정!$C$6:$D$8)*(ABS(G11-설정!$C$6:$D$8)&lt;=설정!$C$15))+SUMPRODUCT(ISNUMBER(설정!$E$6:$F$8)*(ABS(H11-설정!$E$6:$F$8)&lt;=설정!$C$15))&gt;0,"경계",""))</f>
        <v/>
      </c>
      <c r="M11" s="8"/>
      <c r="N11" s="8"/>
      <c r="O11" s="34" t="str">
        <f aca="false">IF(M11&lt;&gt;"",M11,K11)</f>
        <v/>
      </c>
      <c r="P11" s="38" t="str">
        <f aca="false">IF(I11="","",IF(G11="","공수1 미응시",IF(H11="","공수2 미응시","")))</f>
        <v/>
      </c>
      <c r="Q11" s="15" t="str">
        <f aca="false">IF(J11="","",J11+ROW()/100000)</f>
        <v/>
      </c>
      <c r="S11" s="9" t="s">
        <v>44</v>
      </c>
      <c r="T11" s="9" t="n">
        <f aca="false">SUM(T7:T10)</f>
        <v>0</v>
      </c>
      <c r="U11" s="9" t="n">
        <f aca="false">SUM(U7:U10)</f>
        <v>0</v>
      </c>
      <c r="V11" s="44" t="str">
        <f aca="false">IFERROR(AVERAGE($G$7:$G$86),"")</f>
        <v/>
      </c>
      <c r="W11" s="44" t="str">
        <f aca="false">IFERROR(AVERAGE($H$7:$H$86),"")</f>
        <v/>
      </c>
      <c r="X11" s="9" t="n">
        <f aca="false">SUM(X7:X10)</f>
        <v>0</v>
      </c>
      <c r="Y11" s="9" t="n">
        <f aca="false">SUM(Y7:Y10)</f>
        <v>0</v>
      </c>
    </row>
    <row r="12" customFormat="false" ht="15" hidden="false" customHeight="false" outlineLevel="0" collapsed="false">
      <c r="A12" s="6" t="n">
        <v>6</v>
      </c>
      <c r="B12" s="35" t="str">
        <f aca="false">IF(학생명단!B12="","",학생명단!B12)</f>
        <v/>
      </c>
      <c r="C12" s="35" t="str">
        <f aca="false">IF(학생명단!C12="","",학생명단!C12)</f>
        <v/>
      </c>
      <c r="D12" s="35" t="str">
        <f aca="false">IF(학생명단!D12="","",학생명단!D12)</f>
        <v/>
      </c>
      <c r="E12" s="35" t="str">
        <f aca="false">IF(학생명단!E12="","",학생명단!E12)</f>
        <v/>
      </c>
      <c r="F12" s="16" t="str">
        <f aca="false">IF(학생명단!F12="","",학생명단!F12)</f>
        <v/>
      </c>
      <c r="G12" s="35" t="str">
        <f aca="false">공수1!Y12</f>
        <v/>
      </c>
      <c r="H12" s="35" t="str">
        <f aca="false">공수2!Y12</f>
        <v/>
      </c>
      <c r="I12" s="36" t="str">
        <f aca="false">IF(AND(G12="",H12=""),"",N(G12)*설정!$C$13+N(H12)*설정!$C$14)</f>
        <v/>
      </c>
      <c r="J12" s="35" t="str">
        <f aca="false">IF(I12="","",COUNTIF($I$7:$I$86,"&gt;"&amp;I12)+1)</f>
        <v/>
      </c>
      <c r="K12" s="34" t="str">
        <f aca="false">IF(I12="","",IF(OR(G12="",H12=""),설정!$B$9,IF(AND(OR(설정!$C$6="",G12&gt;=설정!$C$6),OR(설정!$D$6="",G12&lt;설정!$D$6),OR(설정!$E$6="",H12&gt;=설정!$E$6),OR(설정!$F$6="",H12&lt;설정!$F$6)),설정!$B$6,IF(AND(OR(설정!$C$7="",G12&gt;=설정!$C$7),OR(설정!$D$7="",G12&lt;설정!$D$7),OR(설정!$E$7="",H12&gt;=설정!$E$7),OR(설정!$F$7="",H12&lt;설정!$F$7)),설정!$B$7,IF(AND(OR(설정!$C$8="",G12&gt;=설정!$C$8),OR(설정!$D$8="",G12&lt;설정!$D$8),OR(설정!$E$8="",H12&gt;=설정!$E$8),OR(설정!$F$8="",H12&lt;설정!$F$8)),설정!$B$8,설정!$B$9)))))</f>
        <v/>
      </c>
      <c r="L12" s="37" t="str">
        <f aca="false">IF(OR(G12="",H12=""),"",IF(SUMPRODUCT(ISNUMBER(설정!$C$6:$D$8)*(ABS(G12-설정!$C$6:$D$8)&lt;=설정!$C$15))+SUMPRODUCT(ISNUMBER(설정!$E$6:$F$8)*(ABS(H12-설정!$E$6:$F$8)&lt;=설정!$C$15))&gt;0,"경계",""))</f>
        <v/>
      </c>
      <c r="M12" s="8"/>
      <c r="N12" s="8"/>
      <c r="O12" s="34" t="str">
        <f aca="false">IF(M12&lt;&gt;"",M12,K12)</f>
        <v/>
      </c>
      <c r="P12" s="38" t="str">
        <f aca="false">IF(I12="","",IF(G12="","공수1 미응시",IF(H12="","공수2 미응시","")))</f>
        <v/>
      </c>
      <c r="Q12" s="15" t="str">
        <f aca="false">IF(J12="","",J12+ROW()/100000)</f>
        <v/>
      </c>
    </row>
    <row r="13" customFormat="false" ht="15" hidden="false" customHeight="true" outlineLevel="0" collapsed="false">
      <c r="A13" s="6" t="n">
        <v>7</v>
      </c>
      <c r="B13" s="35" t="str">
        <f aca="false">IF(학생명단!B13="","",학생명단!B13)</f>
        <v/>
      </c>
      <c r="C13" s="35" t="str">
        <f aca="false">IF(학생명단!C13="","",학생명단!C13)</f>
        <v/>
      </c>
      <c r="D13" s="35" t="str">
        <f aca="false">IF(학생명단!D13="","",학생명단!D13)</f>
        <v/>
      </c>
      <c r="E13" s="35" t="str">
        <f aca="false">IF(학생명단!E13="","",학생명단!E13)</f>
        <v/>
      </c>
      <c r="F13" s="16" t="str">
        <f aca="false">IF(학생명단!F13="","",학생명단!F13)</f>
        <v/>
      </c>
      <c r="G13" s="35" t="str">
        <f aca="false">공수1!Y13</f>
        <v/>
      </c>
      <c r="H13" s="35" t="str">
        <f aca="false">공수2!Y13</f>
        <v/>
      </c>
      <c r="I13" s="36" t="str">
        <f aca="false">IF(AND(G13="",H13=""),"",N(G13)*설정!$C$13+N(H13)*설정!$C$14)</f>
        <v/>
      </c>
      <c r="J13" s="35" t="str">
        <f aca="false">IF(I13="","",COUNTIF($I$7:$I$86,"&gt;"&amp;I13)+1)</f>
        <v/>
      </c>
      <c r="K13" s="34" t="str">
        <f aca="false">IF(I13="","",IF(OR(G13="",H13=""),설정!$B$9,IF(AND(OR(설정!$C$6="",G13&gt;=설정!$C$6),OR(설정!$D$6="",G13&lt;설정!$D$6),OR(설정!$E$6="",H13&gt;=설정!$E$6),OR(설정!$F$6="",H13&lt;설정!$F$6)),설정!$B$6,IF(AND(OR(설정!$C$7="",G13&gt;=설정!$C$7),OR(설정!$D$7="",G13&lt;설정!$D$7),OR(설정!$E$7="",H13&gt;=설정!$E$7),OR(설정!$F$7="",H13&lt;설정!$F$7)),설정!$B$7,IF(AND(OR(설정!$C$8="",G13&gt;=설정!$C$8),OR(설정!$D$8="",G13&lt;설정!$D$8),OR(설정!$E$8="",H13&gt;=설정!$E$8),OR(설정!$F$8="",H13&lt;설정!$F$8)),설정!$B$8,설정!$B$9)))))</f>
        <v/>
      </c>
      <c r="L13" s="37" t="str">
        <f aca="false">IF(OR(G13="",H13=""),"",IF(SUMPRODUCT(ISNUMBER(설정!$C$6:$D$8)*(ABS(G13-설정!$C$6:$D$8)&lt;=설정!$C$15))+SUMPRODUCT(ISNUMBER(설정!$E$6:$F$8)*(ABS(H13-설정!$E$6:$F$8)&lt;=설정!$C$15))&gt;0,"경계",""))</f>
        <v/>
      </c>
      <c r="M13" s="8"/>
      <c r="N13" s="8"/>
      <c r="O13" s="34" t="str">
        <f aca="false">IF(M13&lt;&gt;"",M13,K13)</f>
        <v/>
      </c>
      <c r="P13" s="38" t="str">
        <f aca="false">IF(I13="","",IF(G13="","공수1 미응시",IF(H13="","공수2 미응시","")))</f>
        <v/>
      </c>
      <c r="Q13" s="15" t="str">
        <f aca="false">IF(J13="","",J13+ROW()/100000)</f>
        <v/>
      </c>
      <c r="S13" s="5" t="s">
        <v>161</v>
      </c>
      <c r="T13" s="5"/>
      <c r="U13" s="5"/>
      <c r="V13" s="5"/>
      <c r="W13" s="5"/>
      <c r="X13" s="5"/>
      <c r="Y13" s="5"/>
    </row>
    <row r="14" customFormat="false" ht="15" hidden="false" customHeight="false" outlineLevel="0" collapsed="false">
      <c r="A14" s="6" t="n">
        <v>8</v>
      </c>
      <c r="B14" s="35" t="str">
        <f aca="false">IF(학생명단!B14="","",학생명단!B14)</f>
        <v/>
      </c>
      <c r="C14" s="35" t="str">
        <f aca="false">IF(학생명단!C14="","",학생명단!C14)</f>
        <v/>
      </c>
      <c r="D14" s="35" t="str">
        <f aca="false">IF(학생명단!D14="","",학생명단!D14)</f>
        <v/>
      </c>
      <c r="E14" s="35" t="str">
        <f aca="false">IF(학생명단!E14="","",학생명단!E14)</f>
        <v/>
      </c>
      <c r="F14" s="16" t="str">
        <f aca="false">IF(학생명단!F14="","",학생명단!F14)</f>
        <v/>
      </c>
      <c r="G14" s="35" t="str">
        <f aca="false">공수1!Y14</f>
        <v/>
      </c>
      <c r="H14" s="35" t="str">
        <f aca="false">공수2!Y14</f>
        <v/>
      </c>
      <c r="I14" s="36" t="str">
        <f aca="false">IF(AND(G14="",H14=""),"",N(G14)*설정!$C$13+N(H14)*설정!$C$14)</f>
        <v/>
      </c>
      <c r="J14" s="35" t="str">
        <f aca="false">IF(I14="","",COUNTIF($I$7:$I$86,"&gt;"&amp;I14)+1)</f>
        <v/>
      </c>
      <c r="K14" s="34" t="str">
        <f aca="false">IF(I14="","",IF(OR(G14="",H14=""),설정!$B$9,IF(AND(OR(설정!$C$6="",G14&gt;=설정!$C$6),OR(설정!$D$6="",G14&lt;설정!$D$6),OR(설정!$E$6="",H14&gt;=설정!$E$6),OR(설정!$F$6="",H14&lt;설정!$F$6)),설정!$B$6,IF(AND(OR(설정!$C$7="",G14&gt;=설정!$C$7),OR(설정!$D$7="",G14&lt;설정!$D$7),OR(설정!$E$7="",H14&gt;=설정!$E$7),OR(설정!$F$7="",H14&lt;설정!$F$7)),설정!$B$7,IF(AND(OR(설정!$C$8="",G14&gt;=설정!$C$8),OR(설정!$D$8="",G14&lt;설정!$D$8),OR(설정!$E$8="",H14&gt;=설정!$E$8),OR(설정!$F$8="",H14&lt;설정!$F$8)),설정!$B$8,설정!$B$9)))))</f>
        <v/>
      </c>
      <c r="L14" s="37" t="str">
        <f aca="false">IF(OR(G14="",H14=""),"",IF(SUMPRODUCT(ISNUMBER(설정!$C$6:$D$8)*(ABS(G14-설정!$C$6:$D$8)&lt;=설정!$C$15))+SUMPRODUCT(ISNUMBER(설정!$E$6:$F$8)*(ABS(H14-설정!$E$6:$F$8)&lt;=설정!$C$15))&gt;0,"경계",""))</f>
        <v/>
      </c>
      <c r="M14" s="8"/>
      <c r="N14" s="8"/>
      <c r="O14" s="34" t="str">
        <f aca="false">IF(M14&lt;&gt;"",M14,K14)</f>
        <v/>
      </c>
      <c r="P14" s="38" t="str">
        <f aca="false">IF(I14="","",IF(G14="","공수1 미응시",IF(H14="","공수2 미응시","")))</f>
        <v/>
      </c>
      <c r="Q14" s="15" t="str">
        <f aca="false">IF(J14="","",J14+ROW()/100000)</f>
        <v/>
      </c>
      <c r="S14" s="5"/>
      <c r="T14" s="5"/>
      <c r="U14" s="5"/>
      <c r="V14" s="5"/>
      <c r="W14" s="5"/>
      <c r="X14" s="5"/>
      <c r="Y14" s="5"/>
    </row>
    <row r="15" customFormat="false" ht="15" hidden="false" customHeight="false" outlineLevel="0" collapsed="false">
      <c r="A15" s="6" t="n">
        <v>9</v>
      </c>
      <c r="B15" s="35" t="str">
        <f aca="false">IF(학생명단!B15="","",학생명단!B15)</f>
        <v/>
      </c>
      <c r="C15" s="35" t="str">
        <f aca="false">IF(학생명단!C15="","",학생명단!C15)</f>
        <v/>
      </c>
      <c r="D15" s="35" t="str">
        <f aca="false">IF(학생명단!D15="","",학생명단!D15)</f>
        <v/>
      </c>
      <c r="E15" s="35" t="str">
        <f aca="false">IF(학생명단!E15="","",학생명단!E15)</f>
        <v/>
      </c>
      <c r="F15" s="16" t="str">
        <f aca="false">IF(학생명단!F15="","",학생명단!F15)</f>
        <v/>
      </c>
      <c r="G15" s="35" t="str">
        <f aca="false">공수1!Y15</f>
        <v/>
      </c>
      <c r="H15" s="35" t="str">
        <f aca="false">공수2!Y15</f>
        <v/>
      </c>
      <c r="I15" s="36" t="str">
        <f aca="false">IF(AND(G15="",H15=""),"",N(G15)*설정!$C$13+N(H15)*설정!$C$14)</f>
        <v/>
      </c>
      <c r="J15" s="35" t="str">
        <f aca="false">IF(I15="","",COUNTIF($I$7:$I$86,"&gt;"&amp;I15)+1)</f>
        <v/>
      </c>
      <c r="K15" s="34" t="str">
        <f aca="false">IF(I15="","",IF(OR(G15="",H15=""),설정!$B$9,IF(AND(OR(설정!$C$6="",G15&gt;=설정!$C$6),OR(설정!$D$6="",G15&lt;설정!$D$6),OR(설정!$E$6="",H15&gt;=설정!$E$6),OR(설정!$F$6="",H15&lt;설정!$F$6)),설정!$B$6,IF(AND(OR(설정!$C$7="",G15&gt;=설정!$C$7),OR(설정!$D$7="",G15&lt;설정!$D$7),OR(설정!$E$7="",H15&gt;=설정!$E$7),OR(설정!$F$7="",H15&lt;설정!$F$7)),설정!$B$7,IF(AND(OR(설정!$C$8="",G15&gt;=설정!$C$8),OR(설정!$D$8="",G15&lt;설정!$D$8),OR(설정!$E$8="",H15&gt;=설정!$E$8),OR(설정!$F$8="",H15&lt;설정!$F$8)),설정!$B$8,설정!$B$9)))))</f>
        <v/>
      </c>
      <c r="L15" s="37" t="str">
        <f aca="false">IF(OR(G15="",H15=""),"",IF(SUMPRODUCT(ISNUMBER(설정!$C$6:$D$8)*(ABS(G15-설정!$C$6:$D$8)&lt;=설정!$C$15))+SUMPRODUCT(ISNUMBER(설정!$E$6:$F$8)*(ABS(H15-설정!$E$6:$F$8)&lt;=설정!$C$15))&gt;0,"경계",""))</f>
        <v/>
      </c>
      <c r="M15" s="8"/>
      <c r="N15" s="8"/>
      <c r="O15" s="34" t="str">
        <f aca="false">IF(M15&lt;&gt;"",M15,K15)</f>
        <v/>
      </c>
      <c r="P15" s="38" t="str">
        <f aca="false">IF(I15="","",IF(G15="","공수1 미응시",IF(H15="","공수2 미응시","")))</f>
        <v/>
      </c>
      <c r="Q15" s="15" t="str">
        <f aca="false">IF(J15="","",J15+ROW()/100000)</f>
        <v/>
      </c>
      <c r="S15" s="5"/>
      <c r="T15" s="5"/>
      <c r="U15" s="5"/>
      <c r="V15" s="5"/>
      <c r="W15" s="5"/>
      <c r="X15" s="5"/>
      <c r="Y15" s="5"/>
    </row>
    <row r="16" customFormat="false" ht="15" hidden="false" customHeight="false" outlineLevel="0" collapsed="false">
      <c r="A16" s="6" t="n">
        <v>10</v>
      </c>
      <c r="B16" s="35" t="str">
        <f aca="false">IF(학생명단!B16="","",학생명단!B16)</f>
        <v/>
      </c>
      <c r="C16" s="35" t="str">
        <f aca="false">IF(학생명단!C16="","",학생명단!C16)</f>
        <v/>
      </c>
      <c r="D16" s="35" t="str">
        <f aca="false">IF(학생명단!D16="","",학생명단!D16)</f>
        <v/>
      </c>
      <c r="E16" s="35" t="str">
        <f aca="false">IF(학생명단!E16="","",학생명단!E16)</f>
        <v/>
      </c>
      <c r="F16" s="16" t="str">
        <f aca="false">IF(학생명단!F16="","",학생명단!F16)</f>
        <v/>
      </c>
      <c r="G16" s="35" t="str">
        <f aca="false">공수1!Y16</f>
        <v/>
      </c>
      <c r="H16" s="35" t="str">
        <f aca="false">공수2!Y16</f>
        <v/>
      </c>
      <c r="I16" s="36" t="str">
        <f aca="false">IF(AND(G16="",H16=""),"",N(G16)*설정!$C$13+N(H16)*설정!$C$14)</f>
        <v/>
      </c>
      <c r="J16" s="35" t="str">
        <f aca="false">IF(I16="","",COUNTIF($I$7:$I$86,"&gt;"&amp;I16)+1)</f>
        <v/>
      </c>
      <c r="K16" s="34" t="str">
        <f aca="false">IF(I16="","",IF(OR(G16="",H16=""),설정!$B$9,IF(AND(OR(설정!$C$6="",G16&gt;=설정!$C$6),OR(설정!$D$6="",G16&lt;설정!$D$6),OR(설정!$E$6="",H16&gt;=설정!$E$6),OR(설정!$F$6="",H16&lt;설정!$F$6)),설정!$B$6,IF(AND(OR(설정!$C$7="",G16&gt;=설정!$C$7),OR(설정!$D$7="",G16&lt;설정!$D$7),OR(설정!$E$7="",H16&gt;=설정!$E$7),OR(설정!$F$7="",H16&lt;설정!$F$7)),설정!$B$7,IF(AND(OR(설정!$C$8="",G16&gt;=설정!$C$8),OR(설정!$D$8="",G16&lt;설정!$D$8),OR(설정!$E$8="",H16&gt;=설정!$E$8),OR(설정!$F$8="",H16&lt;설정!$F$8)),설정!$B$8,설정!$B$9)))))</f>
        <v/>
      </c>
      <c r="L16" s="37" t="str">
        <f aca="false">IF(OR(G16="",H16=""),"",IF(SUMPRODUCT(ISNUMBER(설정!$C$6:$D$8)*(ABS(G16-설정!$C$6:$D$8)&lt;=설정!$C$15))+SUMPRODUCT(ISNUMBER(설정!$E$6:$F$8)*(ABS(H16-설정!$E$6:$F$8)&lt;=설정!$C$15))&gt;0,"경계",""))</f>
        <v/>
      </c>
      <c r="M16" s="8"/>
      <c r="N16" s="8"/>
      <c r="O16" s="34" t="str">
        <f aca="false">IF(M16&lt;&gt;"",M16,K16)</f>
        <v/>
      </c>
      <c r="P16" s="38" t="str">
        <f aca="false">IF(I16="","",IF(G16="","공수1 미응시",IF(H16="","공수2 미응시","")))</f>
        <v/>
      </c>
      <c r="Q16" s="15" t="str">
        <f aca="false">IF(J16="","",J16+ROW()/100000)</f>
        <v/>
      </c>
      <c r="S16" s="5"/>
      <c r="T16" s="5"/>
      <c r="U16" s="5"/>
      <c r="V16" s="5"/>
      <c r="W16" s="5"/>
      <c r="X16" s="5"/>
      <c r="Y16" s="5"/>
    </row>
    <row r="17" customFormat="false" ht="15" hidden="false" customHeight="false" outlineLevel="0" collapsed="false">
      <c r="A17" s="6" t="n">
        <v>11</v>
      </c>
      <c r="B17" s="35" t="str">
        <f aca="false">IF(학생명단!B17="","",학생명단!B17)</f>
        <v/>
      </c>
      <c r="C17" s="35" t="str">
        <f aca="false">IF(학생명단!C17="","",학생명단!C17)</f>
        <v/>
      </c>
      <c r="D17" s="35" t="str">
        <f aca="false">IF(학생명단!D17="","",학생명단!D17)</f>
        <v/>
      </c>
      <c r="E17" s="35" t="str">
        <f aca="false">IF(학생명단!E17="","",학생명단!E17)</f>
        <v/>
      </c>
      <c r="F17" s="16" t="str">
        <f aca="false">IF(학생명단!F17="","",학생명단!F17)</f>
        <v/>
      </c>
      <c r="G17" s="35" t="str">
        <f aca="false">공수1!Y17</f>
        <v/>
      </c>
      <c r="H17" s="35" t="str">
        <f aca="false">공수2!Y17</f>
        <v/>
      </c>
      <c r="I17" s="36" t="str">
        <f aca="false">IF(AND(G17="",H17=""),"",N(G17)*설정!$C$13+N(H17)*설정!$C$14)</f>
        <v/>
      </c>
      <c r="J17" s="35" t="str">
        <f aca="false">IF(I17="","",COUNTIF($I$7:$I$86,"&gt;"&amp;I17)+1)</f>
        <v/>
      </c>
      <c r="K17" s="34" t="str">
        <f aca="false">IF(I17="","",IF(OR(G17="",H17=""),설정!$B$9,IF(AND(OR(설정!$C$6="",G17&gt;=설정!$C$6),OR(설정!$D$6="",G17&lt;설정!$D$6),OR(설정!$E$6="",H17&gt;=설정!$E$6),OR(설정!$F$6="",H17&lt;설정!$F$6)),설정!$B$6,IF(AND(OR(설정!$C$7="",G17&gt;=설정!$C$7),OR(설정!$D$7="",G17&lt;설정!$D$7),OR(설정!$E$7="",H17&gt;=설정!$E$7),OR(설정!$F$7="",H17&lt;설정!$F$7)),설정!$B$7,IF(AND(OR(설정!$C$8="",G17&gt;=설정!$C$8),OR(설정!$D$8="",G17&lt;설정!$D$8),OR(설정!$E$8="",H17&gt;=설정!$E$8),OR(설정!$F$8="",H17&lt;설정!$F$8)),설정!$B$8,설정!$B$9)))))</f>
        <v/>
      </c>
      <c r="L17" s="37" t="str">
        <f aca="false">IF(OR(G17="",H17=""),"",IF(SUMPRODUCT(ISNUMBER(설정!$C$6:$D$8)*(ABS(G17-설정!$C$6:$D$8)&lt;=설정!$C$15))+SUMPRODUCT(ISNUMBER(설정!$E$6:$F$8)*(ABS(H17-설정!$E$6:$F$8)&lt;=설정!$C$15))&gt;0,"경계",""))</f>
        <v/>
      </c>
      <c r="M17" s="8"/>
      <c r="N17" s="8"/>
      <c r="O17" s="34" t="str">
        <f aca="false">IF(M17&lt;&gt;"",M17,K17)</f>
        <v/>
      </c>
      <c r="P17" s="38" t="str">
        <f aca="false">IF(I17="","",IF(G17="","공수1 미응시",IF(H17="","공수2 미응시","")))</f>
        <v/>
      </c>
      <c r="Q17" s="15" t="str">
        <f aca="false">IF(J17="","",J17+ROW()/100000)</f>
        <v/>
      </c>
      <c r="S17" s="5"/>
      <c r="T17" s="5"/>
      <c r="U17" s="5"/>
      <c r="V17" s="5"/>
      <c r="W17" s="5"/>
      <c r="X17" s="5"/>
      <c r="Y17" s="5"/>
    </row>
    <row r="18" customFormat="false" ht="15" hidden="false" customHeight="false" outlineLevel="0" collapsed="false">
      <c r="A18" s="6" t="n">
        <v>12</v>
      </c>
      <c r="B18" s="35" t="str">
        <f aca="false">IF(학생명단!B18="","",학생명단!B18)</f>
        <v/>
      </c>
      <c r="C18" s="35" t="str">
        <f aca="false">IF(학생명단!C18="","",학생명단!C18)</f>
        <v/>
      </c>
      <c r="D18" s="35" t="str">
        <f aca="false">IF(학생명단!D18="","",학생명단!D18)</f>
        <v/>
      </c>
      <c r="E18" s="35" t="str">
        <f aca="false">IF(학생명단!E18="","",학생명단!E18)</f>
        <v/>
      </c>
      <c r="F18" s="16" t="str">
        <f aca="false">IF(학생명단!F18="","",학생명단!F18)</f>
        <v/>
      </c>
      <c r="G18" s="35" t="str">
        <f aca="false">공수1!Y18</f>
        <v/>
      </c>
      <c r="H18" s="35" t="str">
        <f aca="false">공수2!Y18</f>
        <v/>
      </c>
      <c r="I18" s="36" t="str">
        <f aca="false">IF(AND(G18="",H18=""),"",N(G18)*설정!$C$13+N(H18)*설정!$C$14)</f>
        <v/>
      </c>
      <c r="J18" s="35" t="str">
        <f aca="false">IF(I18="","",COUNTIF($I$7:$I$86,"&gt;"&amp;I18)+1)</f>
        <v/>
      </c>
      <c r="K18" s="34" t="str">
        <f aca="false">IF(I18="","",IF(OR(G18="",H18=""),설정!$B$9,IF(AND(OR(설정!$C$6="",G18&gt;=설정!$C$6),OR(설정!$D$6="",G18&lt;설정!$D$6),OR(설정!$E$6="",H18&gt;=설정!$E$6),OR(설정!$F$6="",H18&lt;설정!$F$6)),설정!$B$6,IF(AND(OR(설정!$C$7="",G18&gt;=설정!$C$7),OR(설정!$D$7="",G18&lt;설정!$D$7),OR(설정!$E$7="",H18&gt;=설정!$E$7),OR(설정!$F$7="",H18&lt;설정!$F$7)),설정!$B$7,IF(AND(OR(설정!$C$8="",G18&gt;=설정!$C$8),OR(설정!$D$8="",G18&lt;설정!$D$8),OR(설정!$E$8="",H18&gt;=설정!$E$8),OR(설정!$F$8="",H18&lt;설정!$F$8)),설정!$B$8,설정!$B$9)))))</f>
        <v/>
      </c>
      <c r="L18" s="37" t="str">
        <f aca="false">IF(OR(G18="",H18=""),"",IF(SUMPRODUCT(ISNUMBER(설정!$C$6:$D$8)*(ABS(G18-설정!$C$6:$D$8)&lt;=설정!$C$15))+SUMPRODUCT(ISNUMBER(설정!$E$6:$F$8)*(ABS(H18-설정!$E$6:$F$8)&lt;=설정!$C$15))&gt;0,"경계",""))</f>
        <v/>
      </c>
      <c r="M18" s="8"/>
      <c r="N18" s="8"/>
      <c r="O18" s="34" t="str">
        <f aca="false">IF(M18&lt;&gt;"",M18,K18)</f>
        <v/>
      </c>
      <c r="P18" s="38" t="str">
        <f aca="false">IF(I18="","",IF(G18="","공수1 미응시",IF(H18="","공수2 미응시","")))</f>
        <v/>
      </c>
      <c r="Q18" s="15" t="str">
        <f aca="false">IF(J18="","",J18+ROW()/100000)</f>
        <v/>
      </c>
      <c r="S18" s="5"/>
      <c r="T18" s="5"/>
      <c r="U18" s="5"/>
      <c r="V18" s="5"/>
      <c r="W18" s="5"/>
      <c r="X18" s="5"/>
      <c r="Y18" s="5"/>
    </row>
    <row r="19" customFormat="false" ht="15" hidden="false" customHeight="false" outlineLevel="0" collapsed="false">
      <c r="A19" s="6" t="n">
        <v>13</v>
      </c>
      <c r="B19" s="35" t="str">
        <f aca="false">IF(학생명단!B19="","",학생명단!B19)</f>
        <v/>
      </c>
      <c r="C19" s="35" t="str">
        <f aca="false">IF(학생명단!C19="","",학생명단!C19)</f>
        <v/>
      </c>
      <c r="D19" s="35" t="str">
        <f aca="false">IF(학생명단!D19="","",학생명단!D19)</f>
        <v/>
      </c>
      <c r="E19" s="35" t="str">
        <f aca="false">IF(학생명단!E19="","",학생명단!E19)</f>
        <v/>
      </c>
      <c r="F19" s="16" t="str">
        <f aca="false">IF(학생명단!F19="","",학생명단!F19)</f>
        <v/>
      </c>
      <c r="G19" s="35" t="str">
        <f aca="false">공수1!Y19</f>
        <v/>
      </c>
      <c r="H19" s="35" t="str">
        <f aca="false">공수2!Y19</f>
        <v/>
      </c>
      <c r="I19" s="36" t="str">
        <f aca="false">IF(AND(G19="",H19=""),"",N(G19)*설정!$C$13+N(H19)*설정!$C$14)</f>
        <v/>
      </c>
      <c r="J19" s="35" t="str">
        <f aca="false">IF(I19="","",COUNTIF($I$7:$I$86,"&gt;"&amp;I19)+1)</f>
        <v/>
      </c>
      <c r="K19" s="34" t="str">
        <f aca="false">IF(I19="","",IF(OR(G19="",H19=""),설정!$B$9,IF(AND(OR(설정!$C$6="",G19&gt;=설정!$C$6),OR(설정!$D$6="",G19&lt;설정!$D$6),OR(설정!$E$6="",H19&gt;=설정!$E$6),OR(설정!$F$6="",H19&lt;설정!$F$6)),설정!$B$6,IF(AND(OR(설정!$C$7="",G19&gt;=설정!$C$7),OR(설정!$D$7="",G19&lt;설정!$D$7),OR(설정!$E$7="",H19&gt;=설정!$E$7),OR(설정!$F$7="",H19&lt;설정!$F$7)),설정!$B$7,IF(AND(OR(설정!$C$8="",G19&gt;=설정!$C$8),OR(설정!$D$8="",G19&lt;설정!$D$8),OR(설정!$E$8="",H19&gt;=설정!$E$8),OR(설정!$F$8="",H19&lt;설정!$F$8)),설정!$B$8,설정!$B$9)))))</f>
        <v/>
      </c>
      <c r="L19" s="37" t="str">
        <f aca="false">IF(OR(G19="",H19=""),"",IF(SUMPRODUCT(ISNUMBER(설정!$C$6:$D$8)*(ABS(G19-설정!$C$6:$D$8)&lt;=설정!$C$15))+SUMPRODUCT(ISNUMBER(설정!$E$6:$F$8)*(ABS(H19-설정!$E$6:$F$8)&lt;=설정!$C$15))&gt;0,"경계",""))</f>
        <v/>
      </c>
      <c r="M19" s="8"/>
      <c r="N19" s="8"/>
      <c r="O19" s="34" t="str">
        <f aca="false">IF(M19&lt;&gt;"",M19,K19)</f>
        <v/>
      </c>
      <c r="P19" s="38" t="str">
        <f aca="false">IF(I19="","",IF(G19="","공수1 미응시",IF(H19="","공수2 미응시","")))</f>
        <v/>
      </c>
      <c r="Q19" s="15" t="str">
        <f aca="false">IF(J19="","",J19+ROW()/100000)</f>
        <v/>
      </c>
    </row>
    <row r="20" customFormat="false" ht="15" hidden="false" customHeight="false" outlineLevel="0" collapsed="false">
      <c r="A20" s="6" t="n">
        <v>14</v>
      </c>
      <c r="B20" s="35" t="str">
        <f aca="false">IF(학생명단!B20="","",학생명단!B20)</f>
        <v/>
      </c>
      <c r="C20" s="35" t="str">
        <f aca="false">IF(학생명단!C20="","",학생명단!C20)</f>
        <v/>
      </c>
      <c r="D20" s="35" t="str">
        <f aca="false">IF(학생명단!D20="","",학생명단!D20)</f>
        <v/>
      </c>
      <c r="E20" s="35" t="str">
        <f aca="false">IF(학생명단!E20="","",학생명단!E20)</f>
        <v/>
      </c>
      <c r="F20" s="16" t="str">
        <f aca="false">IF(학생명단!F20="","",학생명단!F20)</f>
        <v/>
      </c>
      <c r="G20" s="35" t="str">
        <f aca="false">공수1!Y20</f>
        <v/>
      </c>
      <c r="H20" s="35" t="str">
        <f aca="false">공수2!Y20</f>
        <v/>
      </c>
      <c r="I20" s="36" t="str">
        <f aca="false">IF(AND(G20="",H20=""),"",N(G20)*설정!$C$13+N(H20)*설정!$C$14)</f>
        <v/>
      </c>
      <c r="J20" s="35" t="str">
        <f aca="false">IF(I20="","",COUNTIF($I$7:$I$86,"&gt;"&amp;I20)+1)</f>
        <v/>
      </c>
      <c r="K20" s="34" t="str">
        <f aca="false">IF(I20="","",IF(OR(G20="",H20=""),설정!$B$9,IF(AND(OR(설정!$C$6="",G20&gt;=설정!$C$6),OR(설정!$D$6="",G20&lt;설정!$D$6),OR(설정!$E$6="",H20&gt;=설정!$E$6),OR(설정!$F$6="",H20&lt;설정!$F$6)),설정!$B$6,IF(AND(OR(설정!$C$7="",G20&gt;=설정!$C$7),OR(설정!$D$7="",G20&lt;설정!$D$7),OR(설정!$E$7="",H20&gt;=설정!$E$7),OR(설정!$F$7="",H20&lt;설정!$F$7)),설정!$B$7,IF(AND(OR(설정!$C$8="",G20&gt;=설정!$C$8),OR(설정!$D$8="",G20&lt;설정!$D$8),OR(설정!$E$8="",H20&gt;=설정!$E$8),OR(설정!$F$8="",H20&lt;설정!$F$8)),설정!$B$8,설정!$B$9)))))</f>
        <v/>
      </c>
      <c r="L20" s="37" t="str">
        <f aca="false">IF(OR(G20="",H20=""),"",IF(SUMPRODUCT(ISNUMBER(설정!$C$6:$D$8)*(ABS(G20-설정!$C$6:$D$8)&lt;=설정!$C$15))+SUMPRODUCT(ISNUMBER(설정!$E$6:$F$8)*(ABS(H20-설정!$E$6:$F$8)&lt;=설정!$C$15))&gt;0,"경계",""))</f>
        <v/>
      </c>
      <c r="M20" s="8"/>
      <c r="N20" s="8"/>
      <c r="O20" s="34" t="str">
        <f aca="false">IF(M20&lt;&gt;"",M20,K20)</f>
        <v/>
      </c>
      <c r="P20" s="38" t="str">
        <f aca="false">IF(I20="","",IF(G20="","공수1 미응시",IF(H20="","공수2 미응시","")))</f>
        <v/>
      </c>
      <c r="Q20" s="15" t="str">
        <f aca="false">IF(J20="","",J20+ROW()/100000)</f>
        <v/>
      </c>
    </row>
    <row r="21" customFormat="false" ht="15" hidden="false" customHeight="false" outlineLevel="0" collapsed="false">
      <c r="A21" s="6" t="n">
        <v>15</v>
      </c>
      <c r="B21" s="35" t="str">
        <f aca="false">IF(학생명단!B21="","",학생명단!B21)</f>
        <v/>
      </c>
      <c r="C21" s="35" t="str">
        <f aca="false">IF(학생명단!C21="","",학생명단!C21)</f>
        <v/>
      </c>
      <c r="D21" s="35" t="str">
        <f aca="false">IF(학생명단!D21="","",학생명단!D21)</f>
        <v/>
      </c>
      <c r="E21" s="35" t="str">
        <f aca="false">IF(학생명단!E21="","",학생명단!E21)</f>
        <v/>
      </c>
      <c r="F21" s="16" t="str">
        <f aca="false">IF(학생명단!F21="","",학생명단!F21)</f>
        <v/>
      </c>
      <c r="G21" s="35" t="str">
        <f aca="false">공수1!Y21</f>
        <v/>
      </c>
      <c r="H21" s="35" t="str">
        <f aca="false">공수2!Y21</f>
        <v/>
      </c>
      <c r="I21" s="36" t="str">
        <f aca="false">IF(AND(G21="",H21=""),"",N(G21)*설정!$C$13+N(H21)*설정!$C$14)</f>
        <v/>
      </c>
      <c r="J21" s="35" t="str">
        <f aca="false">IF(I21="","",COUNTIF($I$7:$I$86,"&gt;"&amp;I21)+1)</f>
        <v/>
      </c>
      <c r="K21" s="34" t="str">
        <f aca="false">IF(I21="","",IF(OR(G21="",H21=""),설정!$B$9,IF(AND(OR(설정!$C$6="",G21&gt;=설정!$C$6),OR(설정!$D$6="",G21&lt;설정!$D$6),OR(설정!$E$6="",H21&gt;=설정!$E$6),OR(설정!$F$6="",H21&lt;설정!$F$6)),설정!$B$6,IF(AND(OR(설정!$C$7="",G21&gt;=설정!$C$7),OR(설정!$D$7="",G21&lt;설정!$D$7),OR(설정!$E$7="",H21&gt;=설정!$E$7),OR(설정!$F$7="",H21&lt;설정!$F$7)),설정!$B$7,IF(AND(OR(설정!$C$8="",G21&gt;=설정!$C$8),OR(설정!$D$8="",G21&lt;설정!$D$8),OR(설정!$E$8="",H21&gt;=설정!$E$8),OR(설정!$F$8="",H21&lt;설정!$F$8)),설정!$B$8,설정!$B$9)))))</f>
        <v/>
      </c>
      <c r="L21" s="37" t="str">
        <f aca="false">IF(OR(G21="",H21=""),"",IF(SUMPRODUCT(ISNUMBER(설정!$C$6:$D$8)*(ABS(G21-설정!$C$6:$D$8)&lt;=설정!$C$15))+SUMPRODUCT(ISNUMBER(설정!$E$6:$F$8)*(ABS(H21-설정!$E$6:$F$8)&lt;=설정!$C$15))&gt;0,"경계",""))</f>
        <v/>
      </c>
      <c r="M21" s="8"/>
      <c r="N21" s="8"/>
      <c r="O21" s="34" t="str">
        <f aca="false">IF(M21&lt;&gt;"",M21,K21)</f>
        <v/>
      </c>
      <c r="P21" s="38" t="str">
        <f aca="false">IF(I21="","",IF(G21="","공수1 미응시",IF(H21="","공수2 미응시","")))</f>
        <v/>
      </c>
      <c r="Q21" s="15" t="str">
        <f aca="false">IF(J21="","",J21+ROW()/100000)</f>
        <v/>
      </c>
    </row>
    <row r="22" customFormat="false" ht="15" hidden="false" customHeight="false" outlineLevel="0" collapsed="false">
      <c r="A22" s="6" t="n">
        <v>16</v>
      </c>
      <c r="B22" s="35" t="str">
        <f aca="false">IF(학생명단!B22="","",학생명단!B22)</f>
        <v/>
      </c>
      <c r="C22" s="35" t="str">
        <f aca="false">IF(학생명단!C22="","",학생명단!C22)</f>
        <v/>
      </c>
      <c r="D22" s="35" t="str">
        <f aca="false">IF(학생명단!D22="","",학생명단!D22)</f>
        <v/>
      </c>
      <c r="E22" s="35" t="str">
        <f aca="false">IF(학생명단!E22="","",학생명단!E22)</f>
        <v/>
      </c>
      <c r="F22" s="16" t="str">
        <f aca="false">IF(학생명단!F22="","",학생명단!F22)</f>
        <v/>
      </c>
      <c r="G22" s="35" t="str">
        <f aca="false">공수1!Y22</f>
        <v/>
      </c>
      <c r="H22" s="35" t="str">
        <f aca="false">공수2!Y22</f>
        <v/>
      </c>
      <c r="I22" s="36" t="str">
        <f aca="false">IF(AND(G22="",H22=""),"",N(G22)*설정!$C$13+N(H22)*설정!$C$14)</f>
        <v/>
      </c>
      <c r="J22" s="35" t="str">
        <f aca="false">IF(I22="","",COUNTIF($I$7:$I$86,"&gt;"&amp;I22)+1)</f>
        <v/>
      </c>
      <c r="K22" s="34" t="str">
        <f aca="false">IF(I22="","",IF(OR(G22="",H22=""),설정!$B$9,IF(AND(OR(설정!$C$6="",G22&gt;=설정!$C$6),OR(설정!$D$6="",G22&lt;설정!$D$6),OR(설정!$E$6="",H22&gt;=설정!$E$6),OR(설정!$F$6="",H22&lt;설정!$F$6)),설정!$B$6,IF(AND(OR(설정!$C$7="",G22&gt;=설정!$C$7),OR(설정!$D$7="",G22&lt;설정!$D$7),OR(설정!$E$7="",H22&gt;=설정!$E$7),OR(설정!$F$7="",H22&lt;설정!$F$7)),설정!$B$7,IF(AND(OR(설정!$C$8="",G22&gt;=설정!$C$8),OR(설정!$D$8="",G22&lt;설정!$D$8),OR(설정!$E$8="",H22&gt;=설정!$E$8),OR(설정!$F$8="",H22&lt;설정!$F$8)),설정!$B$8,설정!$B$9)))))</f>
        <v/>
      </c>
      <c r="L22" s="37" t="str">
        <f aca="false">IF(OR(G22="",H22=""),"",IF(SUMPRODUCT(ISNUMBER(설정!$C$6:$D$8)*(ABS(G22-설정!$C$6:$D$8)&lt;=설정!$C$15))+SUMPRODUCT(ISNUMBER(설정!$E$6:$F$8)*(ABS(H22-설정!$E$6:$F$8)&lt;=설정!$C$15))&gt;0,"경계",""))</f>
        <v/>
      </c>
      <c r="M22" s="8"/>
      <c r="N22" s="8"/>
      <c r="O22" s="34" t="str">
        <f aca="false">IF(M22&lt;&gt;"",M22,K22)</f>
        <v/>
      </c>
      <c r="P22" s="38" t="str">
        <f aca="false">IF(I22="","",IF(G22="","공수1 미응시",IF(H22="","공수2 미응시","")))</f>
        <v/>
      </c>
      <c r="Q22" s="15" t="str">
        <f aca="false">IF(J22="","",J22+ROW()/100000)</f>
        <v/>
      </c>
    </row>
    <row r="23" customFormat="false" ht="15" hidden="false" customHeight="false" outlineLevel="0" collapsed="false">
      <c r="A23" s="6" t="n">
        <v>17</v>
      </c>
      <c r="B23" s="35" t="str">
        <f aca="false">IF(학생명단!B23="","",학생명단!B23)</f>
        <v/>
      </c>
      <c r="C23" s="35" t="str">
        <f aca="false">IF(학생명단!C23="","",학생명단!C23)</f>
        <v/>
      </c>
      <c r="D23" s="35" t="str">
        <f aca="false">IF(학생명단!D23="","",학생명단!D23)</f>
        <v/>
      </c>
      <c r="E23" s="35" t="str">
        <f aca="false">IF(학생명단!E23="","",학생명단!E23)</f>
        <v/>
      </c>
      <c r="F23" s="16" t="str">
        <f aca="false">IF(학생명단!F23="","",학생명단!F23)</f>
        <v/>
      </c>
      <c r="G23" s="35" t="str">
        <f aca="false">공수1!Y23</f>
        <v/>
      </c>
      <c r="H23" s="35" t="str">
        <f aca="false">공수2!Y23</f>
        <v/>
      </c>
      <c r="I23" s="36" t="str">
        <f aca="false">IF(AND(G23="",H23=""),"",N(G23)*설정!$C$13+N(H23)*설정!$C$14)</f>
        <v/>
      </c>
      <c r="J23" s="35" t="str">
        <f aca="false">IF(I23="","",COUNTIF($I$7:$I$86,"&gt;"&amp;I23)+1)</f>
        <v/>
      </c>
      <c r="K23" s="34" t="str">
        <f aca="false">IF(I23="","",IF(OR(G23="",H23=""),설정!$B$9,IF(AND(OR(설정!$C$6="",G23&gt;=설정!$C$6),OR(설정!$D$6="",G23&lt;설정!$D$6),OR(설정!$E$6="",H23&gt;=설정!$E$6),OR(설정!$F$6="",H23&lt;설정!$F$6)),설정!$B$6,IF(AND(OR(설정!$C$7="",G23&gt;=설정!$C$7),OR(설정!$D$7="",G23&lt;설정!$D$7),OR(설정!$E$7="",H23&gt;=설정!$E$7),OR(설정!$F$7="",H23&lt;설정!$F$7)),설정!$B$7,IF(AND(OR(설정!$C$8="",G23&gt;=설정!$C$8),OR(설정!$D$8="",G23&lt;설정!$D$8),OR(설정!$E$8="",H23&gt;=설정!$E$8),OR(설정!$F$8="",H23&lt;설정!$F$8)),설정!$B$8,설정!$B$9)))))</f>
        <v/>
      </c>
      <c r="L23" s="37" t="str">
        <f aca="false">IF(OR(G23="",H23=""),"",IF(SUMPRODUCT(ISNUMBER(설정!$C$6:$D$8)*(ABS(G23-설정!$C$6:$D$8)&lt;=설정!$C$15))+SUMPRODUCT(ISNUMBER(설정!$E$6:$F$8)*(ABS(H23-설정!$E$6:$F$8)&lt;=설정!$C$15))&gt;0,"경계",""))</f>
        <v/>
      </c>
      <c r="M23" s="8"/>
      <c r="N23" s="8"/>
      <c r="O23" s="34" t="str">
        <f aca="false">IF(M23&lt;&gt;"",M23,K23)</f>
        <v/>
      </c>
      <c r="P23" s="38" t="str">
        <f aca="false">IF(I23="","",IF(G23="","공수1 미응시",IF(H23="","공수2 미응시","")))</f>
        <v/>
      </c>
      <c r="Q23" s="15" t="str">
        <f aca="false">IF(J23="","",J23+ROW()/100000)</f>
        <v/>
      </c>
    </row>
    <row r="24" customFormat="false" ht="15" hidden="false" customHeight="false" outlineLevel="0" collapsed="false">
      <c r="A24" s="6" t="n">
        <v>18</v>
      </c>
      <c r="B24" s="35" t="str">
        <f aca="false">IF(학생명단!B24="","",학생명단!B24)</f>
        <v/>
      </c>
      <c r="C24" s="35" t="str">
        <f aca="false">IF(학생명단!C24="","",학생명단!C24)</f>
        <v/>
      </c>
      <c r="D24" s="35" t="str">
        <f aca="false">IF(학생명단!D24="","",학생명단!D24)</f>
        <v/>
      </c>
      <c r="E24" s="35" t="str">
        <f aca="false">IF(학생명단!E24="","",학생명단!E24)</f>
        <v/>
      </c>
      <c r="F24" s="16" t="str">
        <f aca="false">IF(학생명단!F24="","",학생명단!F24)</f>
        <v/>
      </c>
      <c r="G24" s="35" t="str">
        <f aca="false">공수1!Y24</f>
        <v/>
      </c>
      <c r="H24" s="35" t="str">
        <f aca="false">공수2!Y24</f>
        <v/>
      </c>
      <c r="I24" s="36" t="str">
        <f aca="false">IF(AND(G24="",H24=""),"",N(G24)*설정!$C$13+N(H24)*설정!$C$14)</f>
        <v/>
      </c>
      <c r="J24" s="35" t="str">
        <f aca="false">IF(I24="","",COUNTIF($I$7:$I$86,"&gt;"&amp;I24)+1)</f>
        <v/>
      </c>
      <c r="K24" s="34" t="str">
        <f aca="false">IF(I24="","",IF(OR(G24="",H24=""),설정!$B$9,IF(AND(OR(설정!$C$6="",G24&gt;=설정!$C$6),OR(설정!$D$6="",G24&lt;설정!$D$6),OR(설정!$E$6="",H24&gt;=설정!$E$6),OR(설정!$F$6="",H24&lt;설정!$F$6)),설정!$B$6,IF(AND(OR(설정!$C$7="",G24&gt;=설정!$C$7),OR(설정!$D$7="",G24&lt;설정!$D$7),OR(설정!$E$7="",H24&gt;=설정!$E$7),OR(설정!$F$7="",H24&lt;설정!$F$7)),설정!$B$7,IF(AND(OR(설정!$C$8="",G24&gt;=설정!$C$8),OR(설정!$D$8="",G24&lt;설정!$D$8),OR(설정!$E$8="",H24&gt;=설정!$E$8),OR(설정!$F$8="",H24&lt;설정!$F$8)),설정!$B$8,설정!$B$9)))))</f>
        <v/>
      </c>
      <c r="L24" s="37" t="str">
        <f aca="false">IF(OR(G24="",H24=""),"",IF(SUMPRODUCT(ISNUMBER(설정!$C$6:$D$8)*(ABS(G24-설정!$C$6:$D$8)&lt;=설정!$C$15))+SUMPRODUCT(ISNUMBER(설정!$E$6:$F$8)*(ABS(H24-설정!$E$6:$F$8)&lt;=설정!$C$15))&gt;0,"경계",""))</f>
        <v/>
      </c>
      <c r="M24" s="8"/>
      <c r="N24" s="8"/>
      <c r="O24" s="34" t="str">
        <f aca="false">IF(M24&lt;&gt;"",M24,K24)</f>
        <v/>
      </c>
      <c r="P24" s="38" t="str">
        <f aca="false">IF(I24="","",IF(G24="","공수1 미응시",IF(H24="","공수2 미응시","")))</f>
        <v/>
      </c>
      <c r="Q24" s="15" t="str">
        <f aca="false">IF(J24="","",J24+ROW()/100000)</f>
        <v/>
      </c>
    </row>
    <row r="25" customFormat="false" ht="15" hidden="false" customHeight="false" outlineLevel="0" collapsed="false">
      <c r="A25" s="6" t="n">
        <v>19</v>
      </c>
      <c r="B25" s="35" t="str">
        <f aca="false">IF(학생명단!B25="","",학생명단!B25)</f>
        <v/>
      </c>
      <c r="C25" s="35" t="str">
        <f aca="false">IF(학생명단!C25="","",학생명단!C25)</f>
        <v/>
      </c>
      <c r="D25" s="35" t="str">
        <f aca="false">IF(학생명단!D25="","",학생명단!D25)</f>
        <v/>
      </c>
      <c r="E25" s="35" t="str">
        <f aca="false">IF(학생명단!E25="","",학생명단!E25)</f>
        <v/>
      </c>
      <c r="F25" s="16" t="str">
        <f aca="false">IF(학생명단!F25="","",학생명단!F25)</f>
        <v/>
      </c>
      <c r="G25" s="35" t="str">
        <f aca="false">공수1!Y25</f>
        <v/>
      </c>
      <c r="H25" s="35" t="str">
        <f aca="false">공수2!Y25</f>
        <v/>
      </c>
      <c r="I25" s="36" t="str">
        <f aca="false">IF(AND(G25="",H25=""),"",N(G25)*설정!$C$13+N(H25)*설정!$C$14)</f>
        <v/>
      </c>
      <c r="J25" s="35" t="str">
        <f aca="false">IF(I25="","",COUNTIF($I$7:$I$86,"&gt;"&amp;I25)+1)</f>
        <v/>
      </c>
      <c r="K25" s="34" t="str">
        <f aca="false">IF(I25="","",IF(OR(G25="",H25=""),설정!$B$9,IF(AND(OR(설정!$C$6="",G25&gt;=설정!$C$6),OR(설정!$D$6="",G25&lt;설정!$D$6),OR(설정!$E$6="",H25&gt;=설정!$E$6),OR(설정!$F$6="",H25&lt;설정!$F$6)),설정!$B$6,IF(AND(OR(설정!$C$7="",G25&gt;=설정!$C$7),OR(설정!$D$7="",G25&lt;설정!$D$7),OR(설정!$E$7="",H25&gt;=설정!$E$7),OR(설정!$F$7="",H25&lt;설정!$F$7)),설정!$B$7,IF(AND(OR(설정!$C$8="",G25&gt;=설정!$C$8),OR(설정!$D$8="",G25&lt;설정!$D$8),OR(설정!$E$8="",H25&gt;=설정!$E$8),OR(설정!$F$8="",H25&lt;설정!$F$8)),설정!$B$8,설정!$B$9)))))</f>
        <v/>
      </c>
      <c r="L25" s="37" t="str">
        <f aca="false">IF(OR(G25="",H25=""),"",IF(SUMPRODUCT(ISNUMBER(설정!$C$6:$D$8)*(ABS(G25-설정!$C$6:$D$8)&lt;=설정!$C$15))+SUMPRODUCT(ISNUMBER(설정!$E$6:$F$8)*(ABS(H25-설정!$E$6:$F$8)&lt;=설정!$C$15))&gt;0,"경계",""))</f>
        <v/>
      </c>
      <c r="M25" s="8"/>
      <c r="N25" s="8"/>
      <c r="O25" s="34" t="str">
        <f aca="false">IF(M25&lt;&gt;"",M25,K25)</f>
        <v/>
      </c>
      <c r="P25" s="38" t="str">
        <f aca="false">IF(I25="","",IF(G25="","공수1 미응시",IF(H25="","공수2 미응시","")))</f>
        <v/>
      </c>
      <c r="Q25" s="15" t="str">
        <f aca="false">IF(J25="","",J25+ROW()/100000)</f>
        <v/>
      </c>
    </row>
    <row r="26" customFormat="false" ht="15" hidden="false" customHeight="false" outlineLevel="0" collapsed="false">
      <c r="A26" s="6" t="n">
        <v>20</v>
      </c>
      <c r="B26" s="35" t="str">
        <f aca="false">IF(학생명단!B26="","",학생명단!B26)</f>
        <v/>
      </c>
      <c r="C26" s="35" t="str">
        <f aca="false">IF(학생명단!C26="","",학생명단!C26)</f>
        <v/>
      </c>
      <c r="D26" s="35" t="str">
        <f aca="false">IF(학생명단!D26="","",학생명단!D26)</f>
        <v/>
      </c>
      <c r="E26" s="35" t="str">
        <f aca="false">IF(학생명단!E26="","",학생명단!E26)</f>
        <v/>
      </c>
      <c r="F26" s="16" t="str">
        <f aca="false">IF(학생명단!F26="","",학생명단!F26)</f>
        <v/>
      </c>
      <c r="G26" s="35" t="str">
        <f aca="false">공수1!Y26</f>
        <v/>
      </c>
      <c r="H26" s="35" t="str">
        <f aca="false">공수2!Y26</f>
        <v/>
      </c>
      <c r="I26" s="36" t="str">
        <f aca="false">IF(AND(G26="",H26=""),"",N(G26)*설정!$C$13+N(H26)*설정!$C$14)</f>
        <v/>
      </c>
      <c r="J26" s="35" t="str">
        <f aca="false">IF(I26="","",COUNTIF($I$7:$I$86,"&gt;"&amp;I26)+1)</f>
        <v/>
      </c>
      <c r="K26" s="34" t="str">
        <f aca="false">IF(I26="","",IF(OR(G26="",H26=""),설정!$B$9,IF(AND(OR(설정!$C$6="",G26&gt;=설정!$C$6),OR(설정!$D$6="",G26&lt;설정!$D$6),OR(설정!$E$6="",H26&gt;=설정!$E$6),OR(설정!$F$6="",H26&lt;설정!$F$6)),설정!$B$6,IF(AND(OR(설정!$C$7="",G26&gt;=설정!$C$7),OR(설정!$D$7="",G26&lt;설정!$D$7),OR(설정!$E$7="",H26&gt;=설정!$E$7),OR(설정!$F$7="",H26&lt;설정!$F$7)),설정!$B$7,IF(AND(OR(설정!$C$8="",G26&gt;=설정!$C$8),OR(설정!$D$8="",G26&lt;설정!$D$8),OR(설정!$E$8="",H26&gt;=설정!$E$8),OR(설정!$F$8="",H26&lt;설정!$F$8)),설정!$B$8,설정!$B$9)))))</f>
        <v/>
      </c>
      <c r="L26" s="37" t="str">
        <f aca="false">IF(OR(G26="",H26=""),"",IF(SUMPRODUCT(ISNUMBER(설정!$C$6:$D$8)*(ABS(G26-설정!$C$6:$D$8)&lt;=설정!$C$15))+SUMPRODUCT(ISNUMBER(설정!$E$6:$F$8)*(ABS(H26-설정!$E$6:$F$8)&lt;=설정!$C$15))&gt;0,"경계",""))</f>
        <v/>
      </c>
      <c r="M26" s="8"/>
      <c r="N26" s="8"/>
      <c r="O26" s="34" t="str">
        <f aca="false">IF(M26&lt;&gt;"",M26,K26)</f>
        <v/>
      </c>
      <c r="P26" s="38" t="str">
        <f aca="false">IF(I26="","",IF(G26="","공수1 미응시",IF(H26="","공수2 미응시","")))</f>
        <v/>
      </c>
      <c r="Q26" s="15" t="str">
        <f aca="false">IF(J26="","",J26+ROW()/100000)</f>
        <v/>
      </c>
    </row>
    <row r="27" customFormat="false" ht="15" hidden="false" customHeight="false" outlineLevel="0" collapsed="false">
      <c r="A27" s="6" t="n">
        <v>21</v>
      </c>
      <c r="B27" s="35" t="str">
        <f aca="false">IF(학생명단!B27="","",학생명단!B27)</f>
        <v/>
      </c>
      <c r="C27" s="35" t="str">
        <f aca="false">IF(학생명단!C27="","",학생명단!C27)</f>
        <v/>
      </c>
      <c r="D27" s="35" t="str">
        <f aca="false">IF(학생명단!D27="","",학생명단!D27)</f>
        <v/>
      </c>
      <c r="E27" s="35" t="str">
        <f aca="false">IF(학생명단!E27="","",학생명단!E27)</f>
        <v/>
      </c>
      <c r="F27" s="16" t="str">
        <f aca="false">IF(학생명단!F27="","",학생명단!F27)</f>
        <v/>
      </c>
      <c r="G27" s="35" t="str">
        <f aca="false">공수1!Y27</f>
        <v/>
      </c>
      <c r="H27" s="35" t="str">
        <f aca="false">공수2!Y27</f>
        <v/>
      </c>
      <c r="I27" s="36" t="str">
        <f aca="false">IF(AND(G27="",H27=""),"",N(G27)*설정!$C$13+N(H27)*설정!$C$14)</f>
        <v/>
      </c>
      <c r="J27" s="35" t="str">
        <f aca="false">IF(I27="","",COUNTIF($I$7:$I$86,"&gt;"&amp;I27)+1)</f>
        <v/>
      </c>
      <c r="K27" s="34" t="str">
        <f aca="false">IF(I27="","",IF(OR(G27="",H27=""),설정!$B$9,IF(AND(OR(설정!$C$6="",G27&gt;=설정!$C$6),OR(설정!$D$6="",G27&lt;설정!$D$6),OR(설정!$E$6="",H27&gt;=설정!$E$6),OR(설정!$F$6="",H27&lt;설정!$F$6)),설정!$B$6,IF(AND(OR(설정!$C$7="",G27&gt;=설정!$C$7),OR(설정!$D$7="",G27&lt;설정!$D$7),OR(설정!$E$7="",H27&gt;=설정!$E$7),OR(설정!$F$7="",H27&lt;설정!$F$7)),설정!$B$7,IF(AND(OR(설정!$C$8="",G27&gt;=설정!$C$8),OR(설정!$D$8="",G27&lt;설정!$D$8),OR(설정!$E$8="",H27&gt;=설정!$E$8),OR(설정!$F$8="",H27&lt;설정!$F$8)),설정!$B$8,설정!$B$9)))))</f>
        <v/>
      </c>
      <c r="L27" s="37" t="str">
        <f aca="false">IF(OR(G27="",H27=""),"",IF(SUMPRODUCT(ISNUMBER(설정!$C$6:$D$8)*(ABS(G27-설정!$C$6:$D$8)&lt;=설정!$C$15))+SUMPRODUCT(ISNUMBER(설정!$E$6:$F$8)*(ABS(H27-설정!$E$6:$F$8)&lt;=설정!$C$15))&gt;0,"경계",""))</f>
        <v/>
      </c>
      <c r="M27" s="8"/>
      <c r="N27" s="8"/>
      <c r="O27" s="34" t="str">
        <f aca="false">IF(M27&lt;&gt;"",M27,K27)</f>
        <v/>
      </c>
      <c r="P27" s="38" t="str">
        <f aca="false">IF(I27="","",IF(G27="","공수1 미응시",IF(H27="","공수2 미응시","")))</f>
        <v/>
      </c>
      <c r="Q27" s="15" t="str">
        <f aca="false">IF(J27="","",J27+ROW()/100000)</f>
        <v/>
      </c>
    </row>
    <row r="28" customFormat="false" ht="15" hidden="false" customHeight="false" outlineLevel="0" collapsed="false">
      <c r="A28" s="6" t="n">
        <v>22</v>
      </c>
      <c r="B28" s="35" t="str">
        <f aca="false">IF(학생명단!B28="","",학생명단!B28)</f>
        <v/>
      </c>
      <c r="C28" s="35" t="str">
        <f aca="false">IF(학생명단!C28="","",학생명단!C28)</f>
        <v/>
      </c>
      <c r="D28" s="35" t="str">
        <f aca="false">IF(학생명단!D28="","",학생명단!D28)</f>
        <v/>
      </c>
      <c r="E28" s="35" t="str">
        <f aca="false">IF(학생명단!E28="","",학생명단!E28)</f>
        <v/>
      </c>
      <c r="F28" s="16" t="str">
        <f aca="false">IF(학생명단!F28="","",학생명단!F28)</f>
        <v/>
      </c>
      <c r="G28" s="35" t="str">
        <f aca="false">공수1!Y28</f>
        <v/>
      </c>
      <c r="H28" s="35" t="str">
        <f aca="false">공수2!Y28</f>
        <v/>
      </c>
      <c r="I28" s="36" t="str">
        <f aca="false">IF(AND(G28="",H28=""),"",N(G28)*설정!$C$13+N(H28)*설정!$C$14)</f>
        <v/>
      </c>
      <c r="J28" s="35" t="str">
        <f aca="false">IF(I28="","",COUNTIF($I$7:$I$86,"&gt;"&amp;I28)+1)</f>
        <v/>
      </c>
      <c r="K28" s="34" t="str">
        <f aca="false">IF(I28="","",IF(OR(G28="",H28=""),설정!$B$9,IF(AND(OR(설정!$C$6="",G28&gt;=설정!$C$6),OR(설정!$D$6="",G28&lt;설정!$D$6),OR(설정!$E$6="",H28&gt;=설정!$E$6),OR(설정!$F$6="",H28&lt;설정!$F$6)),설정!$B$6,IF(AND(OR(설정!$C$7="",G28&gt;=설정!$C$7),OR(설정!$D$7="",G28&lt;설정!$D$7),OR(설정!$E$7="",H28&gt;=설정!$E$7),OR(설정!$F$7="",H28&lt;설정!$F$7)),설정!$B$7,IF(AND(OR(설정!$C$8="",G28&gt;=설정!$C$8),OR(설정!$D$8="",G28&lt;설정!$D$8),OR(설정!$E$8="",H28&gt;=설정!$E$8),OR(설정!$F$8="",H28&lt;설정!$F$8)),설정!$B$8,설정!$B$9)))))</f>
        <v/>
      </c>
      <c r="L28" s="37" t="str">
        <f aca="false">IF(OR(G28="",H28=""),"",IF(SUMPRODUCT(ISNUMBER(설정!$C$6:$D$8)*(ABS(G28-설정!$C$6:$D$8)&lt;=설정!$C$15))+SUMPRODUCT(ISNUMBER(설정!$E$6:$F$8)*(ABS(H28-설정!$E$6:$F$8)&lt;=설정!$C$15))&gt;0,"경계",""))</f>
        <v/>
      </c>
      <c r="M28" s="8"/>
      <c r="N28" s="8"/>
      <c r="O28" s="34" t="str">
        <f aca="false">IF(M28&lt;&gt;"",M28,K28)</f>
        <v/>
      </c>
      <c r="P28" s="38" t="str">
        <f aca="false">IF(I28="","",IF(G28="","공수1 미응시",IF(H28="","공수2 미응시","")))</f>
        <v/>
      </c>
      <c r="Q28" s="15" t="str">
        <f aca="false">IF(J28="","",J28+ROW()/100000)</f>
        <v/>
      </c>
    </row>
    <row r="29" customFormat="false" ht="15" hidden="false" customHeight="false" outlineLevel="0" collapsed="false">
      <c r="A29" s="6" t="n">
        <v>23</v>
      </c>
      <c r="B29" s="35" t="str">
        <f aca="false">IF(학생명단!B29="","",학생명단!B29)</f>
        <v/>
      </c>
      <c r="C29" s="35" t="str">
        <f aca="false">IF(학생명단!C29="","",학생명단!C29)</f>
        <v/>
      </c>
      <c r="D29" s="35" t="str">
        <f aca="false">IF(학생명단!D29="","",학생명단!D29)</f>
        <v/>
      </c>
      <c r="E29" s="35" t="str">
        <f aca="false">IF(학생명단!E29="","",학생명단!E29)</f>
        <v/>
      </c>
      <c r="F29" s="16" t="str">
        <f aca="false">IF(학생명단!F29="","",학생명단!F29)</f>
        <v/>
      </c>
      <c r="G29" s="35" t="str">
        <f aca="false">공수1!Y29</f>
        <v/>
      </c>
      <c r="H29" s="35" t="str">
        <f aca="false">공수2!Y29</f>
        <v/>
      </c>
      <c r="I29" s="36" t="str">
        <f aca="false">IF(AND(G29="",H29=""),"",N(G29)*설정!$C$13+N(H29)*설정!$C$14)</f>
        <v/>
      </c>
      <c r="J29" s="35" t="str">
        <f aca="false">IF(I29="","",COUNTIF($I$7:$I$86,"&gt;"&amp;I29)+1)</f>
        <v/>
      </c>
      <c r="K29" s="34" t="str">
        <f aca="false">IF(I29="","",IF(OR(G29="",H29=""),설정!$B$9,IF(AND(OR(설정!$C$6="",G29&gt;=설정!$C$6),OR(설정!$D$6="",G29&lt;설정!$D$6),OR(설정!$E$6="",H29&gt;=설정!$E$6),OR(설정!$F$6="",H29&lt;설정!$F$6)),설정!$B$6,IF(AND(OR(설정!$C$7="",G29&gt;=설정!$C$7),OR(설정!$D$7="",G29&lt;설정!$D$7),OR(설정!$E$7="",H29&gt;=설정!$E$7),OR(설정!$F$7="",H29&lt;설정!$F$7)),설정!$B$7,IF(AND(OR(설정!$C$8="",G29&gt;=설정!$C$8),OR(설정!$D$8="",G29&lt;설정!$D$8),OR(설정!$E$8="",H29&gt;=설정!$E$8),OR(설정!$F$8="",H29&lt;설정!$F$8)),설정!$B$8,설정!$B$9)))))</f>
        <v/>
      </c>
      <c r="L29" s="37" t="str">
        <f aca="false">IF(OR(G29="",H29=""),"",IF(SUMPRODUCT(ISNUMBER(설정!$C$6:$D$8)*(ABS(G29-설정!$C$6:$D$8)&lt;=설정!$C$15))+SUMPRODUCT(ISNUMBER(설정!$E$6:$F$8)*(ABS(H29-설정!$E$6:$F$8)&lt;=설정!$C$15))&gt;0,"경계",""))</f>
        <v/>
      </c>
      <c r="M29" s="8"/>
      <c r="N29" s="8"/>
      <c r="O29" s="34" t="str">
        <f aca="false">IF(M29&lt;&gt;"",M29,K29)</f>
        <v/>
      </c>
      <c r="P29" s="38" t="str">
        <f aca="false">IF(I29="","",IF(G29="","공수1 미응시",IF(H29="","공수2 미응시","")))</f>
        <v/>
      </c>
      <c r="Q29" s="15" t="str">
        <f aca="false">IF(J29="","",J29+ROW()/100000)</f>
        <v/>
      </c>
    </row>
    <row r="30" customFormat="false" ht="15" hidden="false" customHeight="false" outlineLevel="0" collapsed="false">
      <c r="A30" s="6" t="n">
        <v>24</v>
      </c>
      <c r="B30" s="35" t="str">
        <f aca="false">IF(학생명단!B30="","",학생명단!B30)</f>
        <v/>
      </c>
      <c r="C30" s="35" t="str">
        <f aca="false">IF(학생명단!C30="","",학생명단!C30)</f>
        <v/>
      </c>
      <c r="D30" s="35" t="str">
        <f aca="false">IF(학생명단!D30="","",학생명단!D30)</f>
        <v/>
      </c>
      <c r="E30" s="35" t="str">
        <f aca="false">IF(학생명단!E30="","",학생명단!E30)</f>
        <v/>
      </c>
      <c r="F30" s="16" t="str">
        <f aca="false">IF(학생명단!F30="","",학생명단!F30)</f>
        <v/>
      </c>
      <c r="G30" s="35" t="str">
        <f aca="false">공수1!Y30</f>
        <v/>
      </c>
      <c r="H30" s="35" t="str">
        <f aca="false">공수2!Y30</f>
        <v/>
      </c>
      <c r="I30" s="36" t="str">
        <f aca="false">IF(AND(G30="",H30=""),"",N(G30)*설정!$C$13+N(H30)*설정!$C$14)</f>
        <v/>
      </c>
      <c r="J30" s="35" t="str">
        <f aca="false">IF(I30="","",COUNTIF($I$7:$I$86,"&gt;"&amp;I30)+1)</f>
        <v/>
      </c>
      <c r="K30" s="34" t="str">
        <f aca="false">IF(I30="","",IF(OR(G30="",H30=""),설정!$B$9,IF(AND(OR(설정!$C$6="",G30&gt;=설정!$C$6),OR(설정!$D$6="",G30&lt;설정!$D$6),OR(설정!$E$6="",H30&gt;=설정!$E$6),OR(설정!$F$6="",H30&lt;설정!$F$6)),설정!$B$6,IF(AND(OR(설정!$C$7="",G30&gt;=설정!$C$7),OR(설정!$D$7="",G30&lt;설정!$D$7),OR(설정!$E$7="",H30&gt;=설정!$E$7),OR(설정!$F$7="",H30&lt;설정!$F$7)),설정!$B$7,IF(AND(OR(설정!$C$8="",G30&gt;=설정!$C$8),OR(설정!$D$8="",G30&lt;설정!$D$8),OR(설정!$E$8="",H30&gt;=설정!$E$8),OR(설정!$F$8="",H30&lt;설정!$F$8)),설정!$B$8,설정!$B$9)))))</f>
        <v/>
      </c>
      <c r="L30" s="37" t="str">
        <f aca="false">IF(OR(G30="",H30=""),"",IF(SUMPRODUCT(ISNUMBER(설정!$C$6:$D$8)*(ABS(G30-설정!$C$6:$D$8)&lt;=설정!$C$15))+SUMPRODUCT(ISNUMBER(설정!$E$6:$F$8)*(ABS(H30-설정!$E$6:$F$8)&lt;=설정!$C$15))&gt;0,"경계",""))</f>
        <v/>
      </c>
      <c r="M30" s="8"/>
      <c r="N30" s="8"/>
      <c r="O30" s="34" t="str">
        <f aca="false">IF(M30&lt;&gt;"",M30,K30)</f>
        <v/>
      </c>
      <c r="P30" s="38" t="str">
        <f aca="false">IF(I30="","",IF(G30="","공수1 미응시",IF(H30="","공수2 미응시","")))</f>
        <v/>
      </c>
      <c r="Q30" s="15" t="str">
        <f aca="false">IF(J30="","",J30+ROW()/100000)</f>
        <v/>
      </c>
    </row>
    <row r="31" customFormat="false" ht="15" hidden="false" customHeight="false" outlineLevel="0" collapsed="false">
      <c r="A31" s="6" t="n">
        <v>25</v>
      </c>
      <c r="B31" s="35" t="str">
        <f aca="false">IF(학생명단!B31="","",학생명단!B31)</f>
        <v/>
      </c>
      <c r="C31" s="35" t="str">
        <f aca="false">IF(학생명단!C31="","",학생명단!C31)</f>
        <v/>
      </c>
      <c r="D31" s="35" t="str">
        <f aca="false">IF(학생명단!D31="","",학생명단!D31)</f>
        <v/>
      </c>
      <c r="E31" s="35" t="str">
        <f aca="false">IF(학생명단!E31="","",학생명단!E31)</f>
        <v/>
      </c>
      <c r="F31" s="16" t="str">
        <f aca="false">IF(학생명단!F31="","",학생명단!F31)</f>
        <v/>
      </c>
      <c r="G31" s="35" t="str">
        <f aca="false">공수1!Y31</f>
        <v/>
      </c>
      <c r="H31" s="35" t="str">
        <f aca="false">공수2!Y31</f>
        <v/>
      </c>
      <c r="I31" s="36" t="str">
        <f aca="false">IF(AND(G31="",H31=""),"",N(G31)*설정!$C$13+N(H31)*설정!$C$14)</f>
        <v/>
      </c>
      <c r="J31" s="35" t="str">
        <f aca="false">IF(I31="","",COUNTIF($I$7:$I$86,"&gt;"&amp;I31)+1)</f>
        <v/>
      </c>
      <c r="K31" s="34" t="str">
        <f aca="false">IF(I31="","",IF(OR(G31="",H31=""),설정!$B$9,IF(AND(OR(설정!$C$6="",G31&gt;=설정!$C$6),OR(설정!$D$6="",G31&lt;설정!$D$6),OR(설정!$E$6="",H31&gt;=설정!$E$6),OR(설정!$F$6="",H31&lt;설정!$F$6)),설정!$B$6,IF(AND(OR(설정!$C$7="",G31&gt;=설정!$C$7),OR(설정!$D$7="",G31&lt;설정!$D$7),OR(설정!$E$7="",H31&gt;=설정!$E$7),OR(설정!$F$7="",H31&lt;설정!$F$7)),설정!$B$7,IF(AND(OR(설정!$C$8="",G31&gt;=설정!$C$8),OR(설정!$D$8="",G31&lt;설정!$D$8),OR(설정!$E$8="",H31&gt;=설정!$E$8),OR(설정!$F$8="",H31&lt;설정!$F$8)),설정!$B$8,설정!$B$9)))))</f>
        <v/>
      </c>
      <c r="L31" s="37" t="str">
        <f aca="false">IF(OR(G31="",H31=""),"",IF(SUMPRODUCT(ISNUMBER(설정!$C$6:$D$8)*(ABS(G31-설정!$C$6:$D$8)&lt;=설정!$C$15))+SUMPRODUCT(ISNUMBER(설정!$E$6:$F$8)*(ABS(H31-설정!$E$6:$F$8)&lt;=설정!$C$15))&gt;0,"경계",""))</f>
        <v/>
      </c>
      <c r="M31" s="8"/>
      <c r="N31" s="8"/>
      <c r="O31" s="34" t="str">
        <f aca="false">IF(M31&lt;&gt;"",M31,K31)</f>
        <v/>
      </c>
      <c r="P31" s="38" t="str">
        <f aca="false">IF(I31="","",IF(G31="","공수1 미응시",IF(H31="","공수2 미응시","")))</f>
        <v/>
      </c>
      <c r="Q31" s="15" t="str">
        <f aca="false">IF(J31="","",J31+ROW()/100000)</f>
        <v/>
      </c>
    </row>
    <row r="32" customFormat="false" ht="15" hidden="false" customHeight="false" outlineLevel="0" collapsed="false">
      <c r="A32" s="6" t="n">
        <v>26</v>
      </c>
      <c r="B32" s="35" t="str">
        <f aca="false">IF(학생명단!B32="","",학생명단!B32)</f>
        <v/>
      </c>
      <c r="C32" s="35" t="str">
        <f aca="false">IF(학생명단!C32="","",학생명단!C32)</f>
        <v/>
      </c>
      <c r="D32" s="35" t="str">
        <f aca="false">IF(학생명단!D32="","",학생명단!D32)</f>
        <v/>
      </c>
      <c r="E32" s="35" t="str">
        <f aca="false">IF(학생명단!E32="","",학생명단!E32)</f>
        <v/>
      </c>
      <c r="F32" s="16" t="str">
        <f aca="false">IF(학생명단!F32="","",학생명단!F32)</f>
        <v/>
      </c>
      <c r="G32" s="35" t="str">
        <f aca="false">공수1!Y32</f>
        <v/>
      </c>
      <c r="H32" s="35" t="str">
        <f aca="false">공수2!Y32</f>
        <v/>
      </c>
      <c r="I32" s="36" t="str">
        <f aca="false">IF(AND(G32="",H32=""),"",N(G32)*설정!$C$13+N(H32)*설정!$C$14)</f>
        <v/>
      </c>
      <c r="J32" s="35" t="str">
        <f aca="false">IF(I32="","",COUNTIF($I$7:$I$86,"&gt;"&amp;I32)+1)</f>
        <v/>
      </c>
      <c r="K32" s="34" t="str">
        <f aca="false">IF(I32="","",IF(OR(G32="",H32=""),설정!$B$9,IF(AND(OR(설정!$C$6="",G32&gt;=설정!$C$6),OR(설정!$D$6="",G32&lt;설정!$D$6),OR(설정!$E$6="",H32&gt;=설정!$E$6),OR(설정!$F$6="",H32&lt;설정!$F$6)),설정!$B$6,IF(AND(OR(설정!$C$7="",G32&gt;=설정!$C$7),OR(설정!$D$7="",G32&lt;설정!$D$7),OR(설정!$E$7="",H32&gt;=설정!$E$7),OR(설정!$F$7="",H32&lt;설정!$F$7)),설정!$B$7,IF(AND(OR(설정!$C$8="",G32&gt;=설정!$C$8),OR(설정!$D$8="",G32&lt;설정!$D$8),OR(설정!$E$8="",H32&gt;=설정!$E$8),OR(설정!$F$8="",H32&lt;설정!$F$8)),설정!$B$8,설정!$B$9)))))</f>
        <v/>
      </c>
      <c r="L32" s="37" t="str">
        <f aca="false">IF(OR(G32="",H32=""),"",IF(SUMPRODUCT(ISNUMBER(설정!$C$6:$D$8)*(ABS(G32-설정!$C$6:$D$8)&lt;=설정!$C$15))+SUMPRODUCT(ISNUMBER(설정!$E$6:$F$8)*(ABS(H32-설정!$E$6:$F$8)&lt;=설정!$C$15))&gt;0,"경계",""))</f>
        <v/>
      </c>
      <c r="M32" s="8"/>
      <c r="N32" s="8"/>
      <c r="O32" s="34" t="str">
        <f aca="false">IF(M32&lt;&gt;"",M32,K32)</f>
        <v/>
      </c>
      <c r="P32" s="38" t="str">
        <f aca="false">IF(I32="","",IF(G32="","공수1 미응시",IF(H32="","공수2 미응시","")))</f>
        <v/>
      </c>
      <c r="Q32" s="15" t="str">
        <f aca="false">IF(J32="","",J32+ROW()/100000)</f>
        <v/>
      </c>
    </row>
    <row r="33" customFormat="false" ht="15" hidden="false" customHeight="false" outlineLevel="0" collapsed="false">
      <c r="A33" s="6" t="n">
        <v>27</v>
      </c>
      <c r="B33" s="35" t="str">
        <f aca="false">IF(학생명단!B33="","",학생명단!B33)</f>
        <v/>
      </c>
      <c r="C33" s="35" t="str">
        <f aca="false">IF(학생명단!C33="","",학생명단!C33)</f>
        <v/>
      </c>
      <c r="D33" s="35" t="str">
        <f aca="false">IF(학생명단!D33="","",학생명단!D33)</f>
        <v/>
      </c>
      <c r="E33" s="35" t="str">
        <f aca="false">IF(학생명단!E33="","",학생명단!E33)</f>
        <v/>
      </c>
      <c r="F33" s="16" t="str">
        <f aca="false">IF(학생명단!F33="","",학생명단!F33)</f>
        <v/>
      </c>
      <c r="G33" s="35" t="str">
        <f aca="false">공수1!Y33</f>
        <v/>
      </c>
      <c r="H33" s="35" t="str">
        <f aca="false">공수2!Y33</f>
        <v/>
      </c>
      <c r="I33" s="36" t="str">
        <f aca="false">IF(AND(G33="",H33=""),"",N(G33)*설정!$C$13+N(H33)*설정!$C$14)</f>
        <v/>
      </c>
      <c r="J33" s="35" t="str">
        <f aca="false">IF(I33="","",COUNTIF($I$7:$I$86,"&gt;"&amp;I33)+1)</f>
        <v/>
      </c>
      <c r="K33" s="34" t="str">
        <f aca="false">IF(I33="","",IF(OR(G33="",H33=""),설정!$B$9,IF(AND(OR(설정!$C$6="",G33&gt;=설정!$C$6),OR(설정!$D$6="",G33&lt;설정!$D$6),OR(설정!$E$6="",H33&gt;=설정!$E$6),OR(설정!$F$6="",H33&lt;설정!$F$6)),설정!$B$6,IF(AND(OR(설정!$C$7="",G33&gt;=설정!$C$7),OR(설정!$D$7="",G33&lt;설정!$D$7),OR(설정!$E$7="",H33&gt;=설정!$E$7),OR(설정!$F$7="",H33&lt;설정!$F$7)),설정!$B$7,IF(AND(OR(설정!$C$8="",G33&gt;=설정!$C$8),OR(설정!$D$8="",G33&lt;설정!$D$8),OR(설정!$E$8="",H33&gt;=설정!$E$8),OR(설정!$F$8="",H33&lt;설정!$F$8)),설정!$B$8,설정!$B$9)))))</f>
        <v/>
      </c>
      <c r="L33" s="37" t="str">
        <f aca="false">IF(OR(G33="",H33=""),"",IF(SUMPRODUCT(ISNUMBER(설정!$C$6:$D$8)*(ABS(G33-설정!$C$6:$D$8)&lt;=설정!$C$15))+SUMPRODUCT(ISNUMBER(설정!$E$6:$F$8)*(ABS(H33-설정!$E$6:$F$8)&lt;=설정!$C$15))&gt;0,"경계",""))</f>
        <v/>
      </c>
      <c r="M33" s="8"/>
      <c r="N33" s="8"/>
      <c r="O33" s="34" t="str">
        <f aca="false">IF(M33&lt;&gt;"",M33,K33)</f>
        <v/>
      </c>
      <c r="P33" s="38" t="str">
        <f aca="false">IF(I33="","",IF(G33="","공수1 미응시",IF(H33="","공수2 미응시","")))</f>
        <v/>
      </c>
      <c r="Q33" s="15" t="str">
        <f aca="false">IF(J33="","",J33+ROW()/100000)</f>
        <v/>
      </c>
    </row>
    <row r="34" customFormat="false" ht="15" hidden="false" customHeight="false" outlineLevel="0" collapsed="false">
      <c r="A34" s="6" t="n">
        <v>28</v>
      </c>
      <c r="B34" s="35" t="str">
        <f aca="false">IF(학생명단!B34="","",학생명단!B34)</f>
        <v/>
      </c>
      <c r="C34" s="35" t="str">
        <f aca="false">IF(학생명단!C34="","",학생명단!C34)</f>
        <v/>
      </c>
      <c r="D34" s="35" t="str">
        <f aca="false">IF(학생명단!D34="","",학생명단!D34)</f>
        <v/>
      </c>
      <c r="E34" s="35" t="str">
        <f aca="false">IF(학생명단!E34="","",학생명단!E34)</f>
        <v/>
      </c>
      <c r="F34" s="16" t="str">
        <f aca="false">IF(학생명단!F34="","",학생명단!F34)</f>
        <v/>
      </c>
      <c r="G34" s="35" t="str">
        <f aca="false">공수1!Y34</f>
        <v/>
      </c>
      <c r="H34" s="35" t="str">
        <f aca="false">공수2!Y34</f>
        <v/>
      </c>
      <c r="I34" s="36" t="str">
        <f aca="false">IF(AND(G34="",H34=""),"",N(G34)*설정!$C$13+N(H34)*설정!$C$14)</f>
        <v/>
      </c>
      <c r="J34" s="35" t="str">
        <f aca="false">IF(I34="","",COUNTIF($I$7:$I$86,"&gt;"&amp;I34)+1)</f>
        <v/>
      </c>
      <c r="K34" s="34" t="str">
        <f aca="false">IF(I34="","",IF(OR(G34="",H34=""),설정!$B$9,IF(AND(OR(설정!$C$6="",G34&gt;=설정!$C$6),OR(설정!$D$6="",G34&lt;설정!$D$6),OR(설정!$E$6="",H34&gt;=설정!$E$6),OR(설정!$F$6="",H34&lt;설정!$F$6)),설정!$B$6,IF(AND(OR(설정!$C$7="",G34&gt;=설정!$C$7),OR(설정!$D$7="",G34&lt;설정!$D$7),OR(설정!$E$7="",H34&gt;=설정!$E$7),OR(설정!$F$7="",H34&lt;설정!$F$7)),설정!$B$7,IF(AND(OR(설정!$C$8="",G34&gt;=설정!$C$8),OR(설정!$D$8="",G34&lt;설정!$D$8),OR(설정!$E$8="",H34&gt;=설정!$E$8),OR(설정!$F$8="",H34&lt;설정!$F$8)),설정!$B$8,설정!$B$9)))))</f>
        <v/>
      </c>
      <c r="L34" s="37" t="str">
        <f aca="false">IF(OR(G34="",H34=""),"",IF(SUMPRODUCT(ISNUMBER(설정!$C$6:$D$8)*(ABS(G34-설정!$C$6:$D$8)&lt;=설정!$C$15))+SUMPRODUCT(ISNUMBER(설정!$E$6:$F$8)*(ABS(H34-설정!$E$6:$F$8)&lt;=설정!$C$15))&gt;0,"경계",""))</f>
        <v/>
      </c>
      <c r="M34" s="8"/>
      <c r="N34" s="8"/>
      <c r="O34" s="34" t="str">
        <f aca="false">IF(M34&lt;&gt;"",M34,K34)</f>
        <v/>
      </c>
      <c r="P34" s="38" t="str">
        <f aca="false">IF(I34="","",IF(G34="","공수1 미응시",IF(H34="","공수2 미응시","")))</f>
        <v/>
      </c>
      <c r="Q34" s="15" t="str">
        <f aca="false">IF(J34="","",J34+ROW()/100000)</f>
        <v/>
      </c>
    </row>
    <row r="35" customFormat="false" ht="15" hidden="false" customHeight="false" outlineLevel="0" collapsed="false">
      <c r="A35" s="6" t="n">
        <v>29</v>
      </c>
      <c r="B35" s="35" t="str">
        <f aca="false">IF(학생명단!B35="","",학생명단!B35)</f>
        <v/>
      </c>
      <c r="C35" s="35" t="str">
        <f aca="false">IF(학생명단!C35="","",학생명단!C35)</f>
        <v/>
      </c>
      <c r="D35" s="35" t="str">
        <f aca="false">IF(학생명단!D35="","",학생명단!D35)</f>
        <v/>
      </c>
      <c r="E35" s="35" t="str">
        <f aca="false">IF(학생명단!E35="","",학생명단!E35)</f>
        <v/>
      </c>
      <c r="F35" s="16" t="str">
        <f aca="false">IF(학생명단!F35="","",학생명단!F35)</f>
        <v/>
      </c>
      <c r="G35" s="35" t="str">
        <f aca="false">공수1!Y35</f>
        <v/>
      </c>
      <c r="H35" s="35" t="str">
        <f aca="false">공수2!Y35</f>
        <v/>
      </c>
      <c r="I35" s="36" t="str">
        <f aca="false">IF(AND(G35="",H35=""),"",N(G35)*설정!$C$13+N(H35)*설정!$C$14)</f>
        <v/>
      </c>
      <c r="J35" s="35" t="str">
        <f aca="false">IF(I35="","",COUNTIF($I$7:$I$86,"&gt;"&amp;I35)+1)</f>
        <v/>
      </c>
      <c r="K35" s="34" t="str">
        <f aca="false">IF(I35="","",IF(OR(G35="",H35=""),설정!$B$9,IF(AND(OR(설정!$C$6="",G35&gt;=설정!$C$6),OR(설정!$D$6="",G35&lt;설정!$D$6),OR(설정!$E$6="",H35&gt;=설정!$E$6),OR(설정!$F$6="",H35&lt;설정!$F$6)),설정!$B$6,IF(AND(OR(설정!$C$7="",G35&gt;=설정!$C$7),OR(설정!$D$7="",G35&lt;설정!$D$7),OR(설정!$E$7="",H35&gt;=설정!$E$7),OR(설정!$F$7="",H35&lt;설정!$F$7)),설정!$B$7,IF(AND(OR(설정!$C$8="",G35&gt;=설정!$C$8),OR(설정!$D$8="",G35&lt;설정!$D$8),OR(설정!$E$8="",H35&gt;=설정!$E$8),OR(설정!$F$8="",H35&lt;설정!$F$8)),설정!$B$8,설정!$B$9)))))</f>
        <v/>
      </c>
      <c r="L35" s="37" t="str">
        <f aca="false">IF(OR(G35="",H35=""),"",IF(SUMPRODUCT(ISNUMBER(설정!$C$6:$D$8)*(ABS(G35-설정!$C$6:$D$8)&lt;=설정!$C$15))+SUMPRODUCT(ISNUMBER(설정!$E$6:$F$8)*(ABS(H35-설정!$E$6:$F$8)&lt;=설정!$C$15))&gt;0,"경계",""))</f>
        <v/>
      </c>
      <c r="M35" s="8"/>
      <c r="N35" s="8"/>
      <c r="O35" s="34" t="str">
        <f aca="false">IF(M35&lt;&gt;"",M35,K35)</f>
        <v/>
      </c>
      <c r="P35" s="38" t="str">
        <f aca="false">IF(I35="","",IF(G35="","공수1 미응시",IF(H35="","공수2 미응시","")))</f>
        <v/>
      </c>
      <c r="Q35" s="15" t="str">
        <f aca="false">IF(J35="","",J35+ROW()/100000)</f>
        <v/>
      </c>
    </row>
    <row r="36" customFormat="false" ht="15" hidden="false" customHeight="false" outlineLevel="0" collapsed="false">
      <c r="A36" s="6" t="n">
        <v>30</v>
      </c>
      <c r="B36" s="35" t="str">
        <f aca="false">IF(학생명단!B36="","",학생명단!B36)</f>
        <v/>
      </c>
      <c r="C36" s="35" t="str">
        <f aca="false">IF(학생명단!C36="","",학생명단!C36)</f>
        <v/>
      </c>
      <c r="D36" s="35" t="str">
        <f aca="false">IF(학생명단!D36="","",학생명단!D36)</f>
        <v/>
      </c>
      <c r="E36" s="35" t="str">
        <f aca="false">IF(학생명단!E36="","",학생명단!E36)</f>
        <v/>
      </c>
      <c r="F36" s="16" t="str">
        <f aca="false">IF(학생명단!F36="","",학생명단!F36)</f>
        <v/>
      </c>
      <c r="G36" s="35" t="str">
        <f aca="false">공수1!Y36</f>
        <v/>
      </c>
      <c r="H36" s="35" t="str">
        <f aca="false">공수2!Y36</f>
        <v/>
      </c>
      <c r="I36" s="36" t="str">
        <f aca="false">IF(AND(G36="",H36=""),"",N(G36)*설정!$C$13+N(H36)*설정!$C$14)</f>
        <v/>
      </c>
      <c r="J36" s="35" t="str">
        <f aca="false">IF(I36="","",COUNTIF($I$7:$I$86,"&gt;"&amp;I36)+1)</f>
        <v/>
      </c>
      <c r="K36" s="34" t="str">
        <f aca="false">IF(I36="","",IF(OR(G36="",H36=""),설정!$B$9,IF(AND(OR(설정!$C$6="",G36&gt;=설정!$C$6),OR(설정!$D$6="",G36&lt;설정!$D$6),OR(설정!$E$6="",H36&gt;=설정!$E$6),OR(설정!$F$6="",H36&lt;설정!$F$6)),설정!$B$6,IF(AND(OR(설정!$C$7="",G36&gt;=설정!$C$7),OR(설정!$D$7="",G36&lt;설정!$D$7),OR(설정!$E$7="",H36&gt;=설정!$E$7),OR(설정!$F$7="",H36&lt;설정!$F$7)),설정!$B$7,IF(AND(OR(설정!$C$8="",G36&gt;=설정!$C$8),OR(설정!$D$8="",G36&lt;설정!$D$8),OR(설정!$E$8="",H36&gt;=설정!$E$8),OR(설정!$F$8="",H36&lt;설정!$F$8)),설정!$B$8,설정!$B$9)))))</f>
        <v/>
      </c>
      <c r="L36" s="37" t="str">
        <f aca="false">IF(OR(G36="",H36=""),"",IF(SUMPRODUCT(ISNUMBER(설정!$C$6:$D$8)*(ABS(G36-설정!$C$6:$D$8)&lt;=설정!$C$15))+SUMPRODUCT(ISNUMBER(설정!$E$6:$F$8)*(ABS(H36-설정!$E$6:$F$8)&lt;=설정!$C$15))&gt;0,"경계",""))</f>
        <v/>
      </c>
      <c r="M36" s="8"/>
      <c r="N36" s="8"/>
      <c r="O36" s="34" t="str">
        <f aca="false">IF(M36&lt;&gt;"",M36,K36)</f>
        <v/>
      </c>
      <c r="P36" s="38" t="str">
        <f aca="false">IF(I36="","",IF(G36="","공수1 미응시",IF(H36="","공수2 미응시","")))</f>
        <v/>
      </c>
      <c r="Q36" s="15" t="str">
        <f aca="false">IF(J36="","",J36+ROW()/100000)</f>
        <v/>
      </c>
    </row>
    <row r="37" customFormat="false" ht="15" hidden="false" customHeight="false" outlineLevel="0" collapsed="false">
      <c r="A37" s="6" t="n">
        <v>31</v>
      </c>
      <c r="B37" s="35" t="str">
        <f aca="false">IF(학생명단!B37="","",학생명단!B37)</f>
        <v/>
      </c>
      <c r="C37" s="35" t="str">
        <f aca="false">IF(학생명단!C37="","",학생명단!C37)</f>
        <v/>
      </c>
      <c r="D37" s="35" t="str">
        <f aca="false">IF(학생명단!D37="","",학생명단!D37)</f>
        <v/>
      </c>
      <c r="E37" s="35" t="str">
        <f aca="false">IF(학생명단!E37="","",학생명단!E37)</f>
        <v/>
      </c>
      <c r="F37" s="16" t="str">
        <f aca="false">IF(학생명단!F37="","",학생명단!F37)</f>
        <v/>
      </c>
      <c r="G37" s="35" t="str">
        <f aca="false">공수1!Y37</f>
        <v/>
      </c>
      <c r="H37" s="35" t="str">
        <f aca="false">공수2!Y37</f>
        <v/>
      </c>
      <c r="I37" s="36" t="str">
        <f aca="false">IF(AND(G37="",H37=""),"",N(G37)*설정!$C$13+N(H37)*설정!$C$14)</f>
        <v/>
      </c>
      <c r="J37" s="35" t="str">
        <f aca="false">IF(I37="","",COUNTIF($I$7:$I$86,"&gt;"&amp;I37)+1)</f>
        <v/>
      </c>
      <c r="K37" s="34" t="str">
        <f aca="false">IF(I37="","",IF(OR(G37="",H37=""),설정!$B$9,IF(AND(OR(설정!$C$6="",G37&gt;=설정!$C$6),OR(설정!$D$6="",G37&lt;설정!$D$6),OR(설정!$E$6="",H37&gt;=설정!$E$6),OR(설정!$F$6="",H37&lt;설정!$F$6)),설정!$B$6,IF(AND(OR(설정!$C$7="",G37&gt;=설정!$C$7),OR(설정!$D$7="",G37&lt;설정!$D$7),OR(설정!$E$7="",H37&gt;=설정!$E$7),OR(설정!$F$7="",H37&lt;설정!$F$7)),설정!$B$7,IF(AND(OR(설정!$C$8="",G37&gt;=설정!$C$8),OR(설정!$D$8="",G37&lt;설정!$D$8),OR(설정!$E$8="",H37&gt;=설정!$E$8),OR(설정!$F$8="",H37&lt;설정!$F$8)),설정!$B$8,설정!$B$9)))))</f>
        <v/>
      </c>
      <c r="L37" s="37" t="str">
        <f aca="false">IF(OR(G37="",H37=""),"",IF(SUMPRODUCT(ISNUMBER(설정!$C$6:$D$8)*(ABS(G37-설정!$C$6:$D$8)&lt;=설정!$C$15))+SUMPRODUCT(ISNUMBER(설정!$E$6:$F$8)*(ABS(H37-설정!$E$6:$F$8)&lt;=설정!$C$15))&gt;0,"경계",""))</f>
        <v/>
      </c>
      <c r="M37" s="8"/>
      <c r="N37" s="8"/>
      <c r="O37" s="34" t="str">
        <f aca="false">IF(M37&lt;&gt;"",M37,K37)</f>
        <v/>
      </c>
      <c r="P37" s="38" t="str">
        <f aca="false">IF(I37="","",IF(G37="","공수1 미응시",IF(H37="","공수2 미응시","")))</f>
        <v/>
      </c>
      <c r="Q37" s="15" t="str">
        <f aca="false">IF(J37="","",J37+ROW()/100000)</f>
        <v/>
      </c>
    </row>
    <row r="38" customFormat="false" ht="15" hidden="false" customHeight="false" outlineLevel="0" collapsed="false">
      <c r="A38" s="6" t="n">
        <v>32</v>
      </c>
      <c r="B38" s="35" t="str">
        <f aca="false">IF(학생명단!B38="","",학생명단!B38)</f>
        <v/>
      </c>
      <c r="C38" s="35" t="str">
        <f aca="false">IF(학생명단!C38="","",학생명단!C38)</f>
        <v/>
      </c>
      <c r="D38" s="35" t="str">
        <f aca="false">IF(학생명단!D38="","",학생명단!D38)</f>
        <v/>
      </c>
      <c r="E38" s="35" t="str">
        <f aca="false">IF(학생명단!E38="","",학생명단!E38)</f>
        <v/>
      </c>
      <c r="F38" s="16" t="str">
        <f aca="false">IF(학생명단!F38="","",학생명단!F38)</f>
        <v/>
      </c>
      <c r="G38" s="35" t="str">
        <f aca="false">공수1!Y38</f>
        <v/>
      </c>
      <c r="H38" s="35" t="str">
        <f aca="false">공수2!Y38</f>
        <v/>
      </c>
      <c r="I38" s="36" t="str">
        <f aca="false">IF(AND(G38="",H38=""),"",N(G38)*설정!$C$13+N(H38)*설정!$C$14)</f>
        <v/>
      </c>
      <c r="J38" s="35" t="str">
        <f aca="false">IF(I38="","",COUNTIF($I$7:$I$86,"&gt;"&amp;I38)+1)</f>
        <v/>
      </c>
      <c r="K38" s="34" t="str">
        <f aca="false">IF(I38="","",IF(OR(G38="",H38=""),설정!$B$9,IF(AND(OR(설정!$C$6="",G38&gt;=설정!$C$6),OR(설정!$D$6="",G38&lt;설정!$D$6),OR(설정!$E$6="",H38&gt;=설정!$E$6),OR(설정!$F$6="",H38&lt;설정!$F$6)),설정!$B$6,IF(AND(OR(설정!$C$7="",G38&gt;=설정!$C$7),OR(설정!$D$7="",G38&lt;설정!$D$7),OR(설정!$E$7="",H38&gt;=설정!$E$7),OR(설정!$F$7="",H38&lt;설정!$F$7)),설정!$B$7,IF(AND(OR(설정!$C$8="",G38&gt;=설정!$C$8),OR(설정!$D$8="",G38&lt;설정!$D$8),OR(설정!$E$8="",H38&gt;=설정!$E$8),OR(설정!$F$8="",H38&lt;설정!$F$8)),설정!$B$8,설정!$B$9)))))</f>
        <v/>
      </c>
      <c r="L38" s="37" t="str">
        <f aca="false">IF(OR(G38="",H38=""),"",IF(SUMPRODUCT(ISNUMBER(설정!$C$6:$D$8)*(ABS(G38-설정!$C$6:$D$8)&lt;=설정!$C$15))+SUMPRODUCT(ISNUMBER(설정!$E$6:$F$8)*(ABS(H38-설정!$E$6:$F$8)&lt;=설정!$C$15))&gt;0,"경계",""))</f>
        <v/>
      </c>
      <c r="M38" s="8"/>
      <c r="N38" s="8"/>
      <c r="O38" s="34" t="str">
        <f aca="false">IF(M38&lt;&gt;"",M38,K38)</f>
        <v/>
      </c>
      <c r="P38" s="38" t="str">
        <f aca="false">IF(I38="","",IF(G38="","공수1 미응시",IF(H38="","공수2 미응시","")))</f>
        <v/>
      </c>
      <c r="Q38" s="15" t="str">
        <f aca="false">IF(J38="","",J38+ROW()/100000)</f>
        <v/>
      </c>
    </row>
    <row r="39" customFormat="false" ht="15" hidden="false" customHeight="false" outlineLevel="0" collapsed="false">
      <c r="A39" s="6" t="n">
        <v>33</v>
      </c>
      <c r="B39" s="35" t="str">
        <f aca="false">IF(학생명단!B39="","",학생명단!B39)</f>
        <v/>
      </c>
      <c r="C39" s="35" t="str">
        <f aca="false">IF(학생명단!C39="","",학생명단!C39)</f>
        <v/>
      </c>
      <c r="D39" s="35" t="str">
        <f aca="false">IF(학생명단!D39="","",학생명단!D39)</f>
        <v/>
      </c>
      <c r="E39" s="35" t="str">
        <f aca="false">IF(학생명단!E39="","",학생명단!E39)</f>
        <v/>
      </c>
      <c r="F39" s="16" t="str">
        <f aca="false">IF(학생명단!F39="","",학생명단!F39)</f>
        <v/>
      </c>
      <c r="G39" s="35" t="str">
        <f aca="false">공수1!Y39</f>
        <v/>
      </c>
      <c r="H39" s="35" t="str">
        <f aca="false">공수2!Y39</f>
        <v/>
      </c>
      <c r="I39" s="36" t="str">
        <f aca="false">IF(AND(G39="",H39=""),"",N(G39)*설정!$C$13+N(H39)*설정!$C$14)</f>
        <v/>
      </c>
      <c r="J39" s="35" t="str">
        <f aca="false">IF(I39="","",COUNTIF($I$7:$I$86,"&gt;"&amp;I39)+1)</f>
        <v/>
      </c>
      <c r="K39" s="34" t="str">
        <f aca="false">IF(I39="","",IF(OR(G39="",H39=""),설정!$B$9,IF(AND(OR(설정!$C$6="",G39&gt;=설정!$C$6),OR(설정!$D$6="",G39&lt;설정!$D$6),OR(설정!$E$6="",H39&gt;=설정!$E$6),OR(설정!$F$6="",H39&lt;설정!$F$6)),설정!$B$6,IF(AND(OR(설정!$C$7="",G39&gt;=설정!$C$7),OR(설정!$D$7="",G39&lt;설정!$D$7),OR(설정!$E$7="",H39&gt;=설정!$E$7),OR(설정!$F$7="",H39&lt;설정!$F$7)),설정!$B$7,IF(AND(OR(설정!$C$8="",G39&gt;=설정!$C$8),OR(설정!$D$8="",G39&lt;설정!$D$8),OR(설정!$E$8="",H39&gt;=설정!$E$8),OR(설정!$F$8="",H39&lt;설정!$F$8)),설정!$B$8,설정!$B$9)))))</f>
        <v/>
      </c>
      <c r="L39" s="37" t="str">
        <f aca="false">IF(OR(G39="",H39=""),"",IF(SUMPRODUCT(ISNUMBER(설정!$C$6:$D$8)*(ABS(G39-설정!$C$6:$D$8)&lt;=설정!$C$15))+SUMPRODUCT(ISNUMBER(설정!$E$6:$F$8)*(ABS(H39-설정!$E$6:$F$8)&lt;=설정!$C$15))&gt;0,"경계",""))</f>
        <v/>
      </c>
      <c r="M39" s="8"/>
      <c r="N39" s="8"/>
      <c r="O39" s="34" t="str">
        <f aca="false">IF(M39&lt;&gt;"",M39,K39)</f>
        <v/>
      </c>
      <c r="P39" s="38" t="str">
        <f aca="false">IF(I39="","",IF(G39="","공수1 미응시",IF(H39="","공수2 미응시","")))</f>
        <v/>
      </c>
      <c r="Q39" s="15" t="str">
        <f aca="false">IF(J39="","",J39+ROW()/100000)</f>
        <v/>
      </c>
    </row>
    <row r="40" customFormat="false" ht="15" hidden="false" customHeight="false" outlineLevel="0" collapsed="false">
      <c r="A40" s="6" t="n">
        <v>34</v>
      </c>
      <c r="B40" s="35" t="str">
        <f aca="false">IF(학생명단!B40="","",학생명단!B40)</f>
        <v/>
      </c>
      <c r="C40" s="35" t="str">
        <f aca="false">IF(학생명단!C40="","",학생명단!C40)</f>
        <v/>
      </c>
      <c r="D40" s="35" t="str">
        <f aca="false">IF(학생명단!D40="","",학생명단!D40)</f>
        <v/>
      </c>
      <c r="E40" s="35" t="str">
        <f aca="false">IF(학생명단!E40="","",학생명단!E40)</f>
        <v/>
      </c>
      <c r="F40" s="16" t="str">
        <f aca="false">IF(학생명단!F40="","",학생명단!F40)</f>
        <v/>
      </c>
      <c r="G40" s="35" t="str">
        <f aca="false">공수1!Y40</f>
        <v/>
      </c>
      <c r="H40" s="35" t="str">
        <f aca="false">공수2!Y40</f>
        <v/>
      </c>
      <c r="I40" s="36" t="str">
        <f aca="false">IF(AND(G40="",H40=""),"",N(G40)*설정!$C$13+N(H40)*설정!$C$14)</f>
        <v/>
      </c>
      <c r="J40" s="35" t="str">
        <f aca="false">IF(I40="","",COUNTIF($I$7:$I$86,"&gt;"&amp;I40)+1)</f>
        <v/>
      </c>
      <c r="K40" s="34" t="str">
        <f aca="false">IF(I40="","",IF(OR(G40="",H40=""),설정!$B$9,IF(AND(OR(설정!$C$6="",G40&gt;=설정!$C$6),OR(설정!$D$6="",G40&lt;설정!$D$6),OR(설정!$E$6="",H40&gt;=설정!$E$6),OR(설정!$F$6="",H40&lt;설정!$F$6)),설정!$B$6,IF(AND(OR(설정!$C$7="",G40&gt;=설정!$C$7),OR(설정!$D$7="",G40&lt;설정!$D$7),OR(설정!$E$7="",H40&gt;=설정!$E$7),OR(설정!$F$7="",H40&lt;설정!$F$7)),설정!$B$7,IF(AND(OR(설정!$C$8="",G40&gt;=설정!$C$8),OR(설정!$D$8="",G40&lt;설정!$D$8),OR(설정!$E$8="",H40&gt;=설정!$E$8),OR(설정!$F$8="",H40&lt;설정!$F$8)),설정!$B$8,설정!$B$9)))))</f>
        <v/>
      </c>
      <c r="L40" s="37" t="str">
        <f aca="false">IF(OR(G40="",H40=""),"",IF(SUMPRODUCT(ISNUMBER(설정!$C$6:$D$8)*(ABS(G40-설정!$C$6:$D$8)&lt;=설정!$C$15))+SUMPRODUCT(ISNUMBER(설정!$E$6:$F$8)*(ABS(H40-설정!$E$6:$F$8)&lt;=설정!$C$15))&gt;0,"경계",""))</f>
        <v/>
      </c>
      <c r="M40" s="8"/>
      <c r="N40" s="8"/>
      <c r="O40" s="34" t="str">
        <f aca="false">IF(M40&lt;&gt;"",M40,K40)</f>
        <v/>
      </c>
      <c r="P40" s="38" t="str">
        <f aca="false">IF(I40="","",IF(G40="","공수1 미응시",IF(H40="","공수2 미응시","")))</f>
        <v/>
      </c>
      <c r="Q40" s="15" t="str">
        <f aca="false">IF(J40="","",J40+ROW()/100000)</f>
        <v/>
      </c>
    </row>
    <row r="41" customFormat="false" ht="15" hidden="false" customHeight="false" outlineLevel="0" collapsed="false">
      <c r="A41" s="6" t="n">
        <v>35</v>
      </c>
      <c r="B41" s="35" t="str">
        <f aca="false">IF(학생명단!B41="","",학생명단!B41)</f>
        <v/>
      </c>
      <c r="C41" s="35" t="str">
        <f aca="false">IF(학생명단!C41="","",학생명단!C41)</f>
        <v/>
      </c>
      <c r="D41" s="35" t="str">
        <f aca="false">IF(학생명단!D41="","",학생명단!D41)</f>
        <v/>
      </c>
      <c r="E41" s="35" t="str">
        <f aca="false">IF(학생명단!E41="","",학생명단!E41)</f>
        <v/>
      </c>
      <c r="F41" s="16" t="str">
        <f aca="false">IF(학생명단!F41="","",학생명단!F41)</f>
        <v/>
      </c>
      <c r="G41" s="35" t="str">
        <f aca="false">공수1!Y41</f>
        <v/>
      </c>
      <c r="H41" s="35" t="str">
        <f aca="false">공수2!Y41</f>
        <v/>
      </c>
      <c r="I41" s="36" t="str">
        <f aca="false">IF(AND(G41="",H41=""),"",N(G41)*설정!$C$13+N(H41)*설정!$C$14)</f>
        <v/>
      </c>
      <c r="J41" s="35" t="str">
        <f aca="false">IF(I41="","",COUNTIF($I$7:$I$86,"&gt;"&amp;I41)+1)</f>
        <v/>
      </c>
      <c r="K41" s="34" t="str">
        <f aca="false">IF(I41="","",IF(OR(G41="",H41=""),설정!$B$9,IF(AND(OR(설정!$C$6="",G41&gt;=설정!$C$6),OR(설정!$D$6="",G41&lt;설정!$D$6),OR(설정!$E$6="",H41&gt;=설정!$E$6),OR(설정!$F$6="",H41&lt;설정!$F$6)),설정!$B$6,IF(AND(OR(설정!$C$7="",G41&gt;=설정!$C$7),OR(설정!$D$7="",G41&lt;설정!$D$7),OR(설정!$E$7="",H41&gt;=설정!$E$7),OR(설정!$F$7="",H41&lt;설정!$F$7)),설정!$B$7,IF(AND(OR(설정!$C$8="",G41&gt;=설정!$C$8),OR(설정!$D$8="",G41&lt;설정!$D$8),OR(설정!$E$8="",H41&gt;=설정!$E$8),OR(설정!$F$8="",H41&lt;설정!$F$8)),설정!$B$8,설정!$B$9)))))</f>
        <v/>
      </c>
      <c r="L41" s="37" t="str">
        <f aca="false">IF(OR(G41="",H41=""),"",IF(SUMPRODUCT(ISNUMBER(설정!$C$6:$D$8)*(ABS(G41-설정!$C$6:$D$8)&lt;=설정!$C$15))+SUMPRODUCT(ISNUMBER(설정!$E$6:$F$8)*(ABS(H41-설정!$E$6:$F$8)&lt;=설정!$C$15))&gt;0,"경계",""))</f>
        <v/>
      </c>
      <c r="M41" s="8"/>
      <c r="N41" s="8"/>
      <c r="O41" s="34" t="str">
        <f aca="false">IF(M41&lt;&gt;"",M41,K41)</f>
        <v/>
      </c>
      <c r="P41" s="38" t="str">
        <f aca="false">IF(I41="","",IF(G41="","공수1 미응시",IF(H41="","공수2 미응시","")))</f>
        <v/>
      </c>
      <c r="Q41" s="15" t="str">
        <f aca="false">IF(J41="","",J41+ROW()/100000)</f>
        <v/>
      </c>
    </row>
    <row r="42" customFormat="false" ht="15" hidden="false" customHeight="false" outlineLevel="0" collapsed="false">
      <c r="A42" s="6" t="n">
        <v>36</v>
      </c>
      <c r="B42" s="35" t="str">
        <f aca="false">IF(학생명단!B42="","",학생명단!B42)</f>
        <v/>
      </c>
      <c r="C42" s="35" t="str">
        <f aca="false">IF(학생명단!C42="","",학생명단!C42)</f>
        <v/>
      </c>
      <c r="D42" s="35" t="str">
        <f aca="false">IF(학생명단!D42="","",학생명단!D42)</f>
        <v/>
      </c>
      <c r="E42" s="35" t="str">
        <f aca="false">IF(학생명단!E42="","",학생명단!E42)</f>
        <v/>
      </c>
      <c r="F42" s="16" t="str">
        <f aca="false">IF(학생명단!F42="","",학생명단!F42)</f>
        <v/>
      </c>
      <c r="G42" s="35" t="str">
        <f aca="false">공수1!Y42</f>
        <v/>
      </c>
      <c r="H42" s="35" t="str">
        <f aca="false">공수2!Y42</f>
        <v/>
      </c>
      <c r="I42" s="36" t="str">
        <f aca="false">IF(AND(G42="",H42=""),"",N(G42)*설정!$C$13+N(H42)*설정!$C$14)</f>
        <v/>
      </c>
      <c r="J42" s="35" t="str">
        <f aca="false">IF(I42="","",COUNTIF($I$7:$I$86,"&gt;"&amp;I42)+1)</f>
        <v/>
      </c>
      <c r="K42" s="34" t="str">
        <f aca="false">IF(I42="","",IF(OR(G42="",H42=""),설정!$B$9,IF(AND(OR(설정!$C$6="",G42&gt;=설정!$C$6),OR(설정!$D$6="",G42&lt;설정!$D$6),OR(설정!$E$6="",H42&gt;=설정!$E$6),OR(설정!$F$6="",H42&lt;설정!$F$6)),설정!$B$6,IF(AND(OR(설정!$C$7="",G42&gt;=설정!$C$7),OR(설정!$D$7="",G42&lt;설정!$D$7),OR(설정!$E$7="",H42&gt;=설정!$E$7),OR(설정!$F$7="",H42&lt;설정!$F$7)),설정!$B$7,IF(AND(OR(설정!$C$8="",G42&gt;=설정!$C$8),OR(설정!$D$8="",G42&lt;설정!$D$8),OR(설정!$E$8="",H42&gt;=설정!$E$8),OR(설정!$F$8="",H42&lt;설정!$F$8)),설정!$B$8,설정!$B$9)))))</f>
        <v/>
      </c>
      <c r="L42" s="37" t="str">
        <f aca="false">IF(OR(G42="",H42=""),"",IF(SUMPRODUCT(ISNUMBER(설정!$C$6:$D$8)*(ABS(G42-설정!$C$6:$D$8)&lt;=설정!$C$15))+SUMPRODUCT(ISNUMBER(설정!$E$6:$F$8)*(ABS(H42-설정!$E$6:$F$8)&lt;=설정!$C$15))&gt;0,"경계",""))</f>
        <v/>
      </c>
      <c r="M42" s="8"/>
      <c r="N42" s="8"/>
      <c r="O42" s="34" t="str">
        <f aca="false">IF(M42&lt;&gt;"",M42,K42)</f>
        <v/>
      </c>
      <c r="P42" s="38" t="str">
        <f aca="false">IF(I42="","",IF(G42="","공수1 미응시",IF(H42="","공수2 미응시","")))</f>
        <v/>
      </c>
      <c r="Q42" s="15" t="str">
        <f aca="false">IF(J42="","",J42+ROW()/100000)</f>
        <v/>
      </c>
    </row>
    <row r="43" customFormat="false" ht="15" hidden="false" customHeight="false" outlineLevel="0" collapsed="false">
      <c r="A43" s="6" t="n">
        <v>37</v>
      </c>
      <c r="B43" s="35" t="str">
        <f aca="false">IF(학생명단!B43="","",학생명단!B43)</f>
        <v/>
      </c>
      <c r="C43" s="35" t="str">
        <f aca="false">IF(학생명단!C43="","",학생명단!C43)</f>
        <v/>
      </c>
      <c r="D43" s="35" t="str">
        <f aca="false">IF(학생명단!D43="","",학생명단!D43)</f>
        <v/>
      </c>
      <c r="E43" s="35" t="str">
        <f aca="false">IF(학생명단!E43="","",학생명단!E43)</f>
        <v/>
      </c>
      <c r="F43" s="16" t="str">
        <f aca="false">IF(학생명단!F43="","",학생명단!F43)</f>
        <v/>
      </c>
      <c r="G43" s="35" t="str">
        <f aca="false">공수1!Y43</f>
        <v/>
      </c>
      <c r="H43" s="35" t="str">
        <f aca="false">공수2!Y43</f>
        <v/>
      </c>
      <c r="I43" s="36" t="str">
        <f aca="false">IF(AND(G43="",H43=""),"",N(G43)*설정!$C$13+N(H43)*설정!$C$14)</f>
        <v/>
      </c>
      <c r="J43" s="35" t="str">
        <f aca="false">IF(I43="","",COUNTIF($I$7:$I$86,"&gt;"&amp;I43)+1)</f>
        <v/>
      </c>
      <c r="K43" s="34" t="str">
        <f aca="false">IF(I43="","",IF(OR(G43="",H43=""),설정!$B$9,IF(AND(OR(설정!$C$6="",G43&gt;=설정!$C$6),OR(설정!$D$6="",G43&lt;설정!$D$6),OR(설정!$E$6="",H43&gt;=설정!$E$6),OR(설정!$F$6="",H43&lt;설정!$F$6)),설정!$B$6,IF(AND(OR(설정!$C$7="",G43&gt;=설정!$C$7),OR(설정!$D$7="",G43&lt;설정!$D$7),OR(설정!$E$7="",H43&gt;=설정!$E$7),OR(설정!$F$7="",H43&lt;설정!$F$7)),설정!$B$7,IF(AND(OR(설정!$C$8="",G43&gt;=설정!$C$8),OR(설정!$D$8="",G43&lt;설정!$D$8),OR(설정!$E$8="",H43&gt;=설정!$E$8),OR(설정!$F$8="",H43&lt;설정!$F$8)),설정!$B$8,설정!$B$9)))))</f>
        <v/>
      </c>
      <c r="L43" s="37" t="str">
        <f aca="false">IF(OR(G43="",H43=""),"",IF(SUMPRODUCT(ISNUMBER(설정!$C$6:$D$8)*(ABS(G43-설정!$C$6:$D$8)&lt;=설정!$C$15))+SUMPRODUCT(ISNUMBER(설정!$E$6:$F$8)*(ABS(H43-설정!$E$6:$F$8)&lt;=설정!$C$15))&gt;0,"경계",""))</f>
        <v/>
      </c>
      <c r="M43" s="8"/>
      <c r="N43" s="8"/>
      <c r="O43" s="34" t="str">
        <f aca="false">IF(M43&lt;&gt;"",M43,K43)</f>
        <v/>
      </c>
      <c r="P43" s="38" t="str">
        <f aca="false">IF(I43="","",IF(G43="","공수1 미응시",IF(H43="","공수2 미응시","")))</f>
        <v/>
      </c>
      <c r="Q43" s="15" t="str">
        <f aca="false">IF(J43="","",J43+ROW()/100000)</f>
        <v/>
      </c>
    </row>
    <row r="44" customFormat="false" ht="15" hidden="false" customHeight="false" outlineLevel="0" collapsed="false">
      <c r="A44" s="6" t="n">
        <v>38</v>
      </c>
      <c r="B44" s="35" t="str">
        <f aca="false">IF(학생명단!B44="","",학생명단!B44)</f>
        <v/>
      </c>
      <c r="C44" s="35" t="str">
        <f aca="false">IF(학생명단!C44="","",학생명단!C44)</f>
        <v/>
      </c>
      <c r="D44" s="35" t="str">
        <f aca="false">IF(학생명단!D44="","",학생명단!D44)</f>
        <v/>
      </c>
      <c r="E44" s="35" t="str">
        <f aca="false">IF(학생명단!E44="","",학생명단!E44)</f>
        <v/>
      </c>
      <c r="F44" s="16" t="str">
        <f aca="false">IF(학생명단!F44="","",학생명단!F44)</f>
        <v/>
      </c>
      <c r="G44" s="35" t="str">
        <f aca="false">공수1!Y44</f>
        <v/>
      </c>
      <c r="H44" s="35" t="str">
        <f aca="false">공수2!Y44</f>
        <v/>
      </c>
      <c r="I44" s="36" t="str">
        <f aca="false">IF(AND(G44="",H44=""),"",N(G44)*설정!$C$13+N(H44)*설정!$C$14)</f>
        <v/>
      </c>
      <c r="J44" s="35" t="str">
        <f aca="false">IF(I44="","",COUNTIF($I$7:$I$86,"&gt;"&amp;I44)+1)</f>
        <v/>
      </c>
      <c r="K44" s="34" t="str">
        <f aca="false">IF(I44="","",IF(OR(G44="",H44=""),설정!$B$9,IF(AND(OR(설정!$C$6="",G44&gt;=설정!$C$6),OR(설정!$D$6="",G44&lt;설정!$D$6),OR(설정!$E$6="",H44&gt;=설정!$E$6),OR(설정!$F$6="",H44&lt;설정!$F$6)),설정!$B$6,IF(AND(OR(설정!$C$7="",G44&gt;=설정!$C$7),OR(설정!$D$7="",G44&lt;설정!$D$7),OR(설정!$E$7="",H44&gt;=설정!$E$7),OR(설정!$F$7="",H44&lt;설정!$F$7)),설정!$B$7,IF(AND(OR(설정!$C$8="",G44&gt;=설정!$C$8),OR(설정!$D$8="",G44&lt;설정!$D$8),OR(설정!$E$8="",H44&gt;=설정!$E$8),OR(설정!$F$8="",H44&lt;설정!$F$8)),설정!$B$8,설정!$B$9)))))</f>
        <v/>
      </c>
      <c r="L44" s="37" t="str">
        <f aca="false">IF(OR(G44="",H44=""),"",IF(SUMPRODUCT(ISNUMBER(설정!$C$6:$D$8)*(ABS(G44-설정!$C$6:$D$8)&lt;=설정!$C$15))+SUMPRODUCT(ISNUMBER(설정!$E$6:$F$8)*(ABS(H44-설정!$E$6:$F$8)&lt;=설정!$C$15))&gt;0,"경계",""))</f>
        <v/>
      </c>
      <c r="M44" s="8"/>
      <c r="N44" s="8"/>
      <c r="O44" s="34" t="str">
        <f aca="false">IF(M44&lt;&gt;"",M44,K44)</f>
        <v/>
      </c>
      <c r="P44" s="38" t="str">
        <f aca="false">IF(I44="","",IF(G44="","공수1 미응시",IF(H44="","공수2 미응시","")))</f>
        <v/>
      </c>
      <c r="Q44" s="15" t="str">
        <f aca="false">IF(J44="","",J44+ROW()/100000)</f>
        <v/>
      </c>
    </row>
    <row r="45" customFormat="false" ht="15" hidden="false" customHeight="false" outlineLevel="0" collapsed="false">
      <c r="A45" s="6" t="n">
        <v>39</v>
      </c>
      <c r="B45" s="35" t="str">
        <f aca="false">IF(학생명단!B45="","",학생명단!B45)</f>
        <v/>
      </c>
      <c r="C45" s="35" t="str">
        <f aca="false">IF(학생명단!C45="","",학생명단!C45)</f>
        <v/>
      </c>
      <c r="D45" s="35" t="str">
        <f aca="false">IF(학생명단!D45="","",학생명단!D45)</f>
        <v/>
      </c>
      <c r="E45" s="35" t="str">
        <f aca="false">IF(학생명단!E45="","",학생명단!E45)</f>
        <v/>
      </c>
      <c r="F45" s="16" t="str">
        <f aca="false">IF(학생명단!F45="","",학생명단!F45)</f>
        <v/>
      </c>
      <c r="G45" s="35" t="str">
        <f aca="false">공수1!Y45</f>
        <v/>
      </c>
      <c r="H45" s="35" t="str">
        <f aca="false">공수2!Y45</f>
        <v/>
      </c>
      <c r="I45" s="36" t="str">
        <f aca="false">IF(AND(G45="",H45=""),"",N(G45)*설정!$C$13+N(H45)*설정!$C$14)</f>
        <v/>
      </c>
      <c r="J45" s="35" t="str">
        <f aca="false">IF(I45="","",COUNTIF($I$7:$I$86,"&gt;"&amp;I45)+1)</f>
        <v/>
      </c>
      <c r="K45" s="34" t="str">
        <f aca="false">IF(I45="","",IF(OR(G45="",H45=""),설정!$B$9,IF(AND(OR(설정!$C$6="",G45&gt;=설정!$C$6),OR(설정!$D$6="",G45&lt;설정!$D$6),OR(설정!$E$6="",H45&gt;=설정!$E$6),OR(설정!$F$6="",H45&lt;설정!$F$6)),설정!$B$6,IF(AND(OR(설정!$C$7="",G45&gt;=설정!$C$7),OR(설정!$D$7="",G45&lt;설정!$D$7),OR(설정!$E$7="",H45&gt;=설정!$E$7),OR(설정!$F$7="",H45&lt;설정!$F$7)),설정!$B$7,IF(AND(OR(설정!$C$8="",G45&gt;=설정!$C$8),OR(설정!$D$8="",G45&lt;설정!$D$8),OR(설정!$E$8="",H45&gt;=설정!$E$8),OR(설정!$F$8="",H45&lt;설정!$F$8)),설정!$B$8,설정!$B$9)))))</f>
        <v/>
      </c>
      <c r="L45" s="37" t="str">
        <f aca="false">IF(OR(G45="",H45=""),"",IF(SUMPRODUCT(ISNUMBER(설정!$C$6:$D$8)*(ABS(G45-설정!$C$6:$D$8)&lt;=설정!$C$15))+SUMPRODUCT(ISNUMBER(설정!$E$6:$F$8)*(ABS(H45-설정!$E$6:$F$8)&lt;=설정!$C$15))&gt;0,"경계",""))</f>
        <v/>
      </c>
      <c r="M45" s="8"/>
      <c r="N45" s="8"/>
      <c r="O45" s="34" t="str">
        <f aca="false">IF(M45&lt;&gt;"",M45,K45)</f>
        <v/>
      </c>
      <c r="P45" s="38" t="str">
        <f aca="false">IF(I45="","",IF(G45="","공수1 미응시",IF(H45="","공수2 미응시","")))</f>
        <v/>
      </c>
      <c r="Q45" s="15" t="str">
        <f aca="false">IF(J45="","",J45+ROW()/100000)</f>
        <v/>
      </c>
    </row>
    <row r="46" customFormat="false" ht="15" hidden="false" customHeight="false" outlineLevel="0" collapsed="false">
      <c r="A46" s="6" t="n">
        <v>40</v>
      </c>
      <c r="B46" s="35" t="str">
        <f aca="false">IF(학생명단!B46="","",학생명단!B46)</f>
        <v/>
      </c>
      <c r="C46" s="35" t="str">
        <f aca="false">IF(학생명단!C46="","",학생명단!C46)</f>
        <v/>
      </c>
      <c r="D46" s="35" t="str">
        <f aca="false">IF(학생명단!D46="","",학생명단!D46)</f>
        <v/>
      </c>
      <c r="E46" s="35" t="str">
        <f aca="false">IF(학생명단!E46="","",학생명단!E46)</f>
        <v/>
      </c>
      <c r="F46" s="16" t="str">
        <f aca="false">IF(학생명단!F46="","",학생명단!F46)</f>
        <v/>
      </c>
      <c r="G46" s="35" t="str">
        <f aca="false">공수1!Y46</f>
        <v/>
      </c>
      <c r="H46" s="35" t="str">
        <f aca="false">공수2!Y46</f>
        <v/>
      </c>
      <c r="I46" s="36" t="str">
        <f aca="false">IF(AND(G46="",H46=""),"",N(G46)*설정!$C$13+N(H46)*설정!$C$14)</f>
        <v/>
      </c>
      <c r="J46" s="35" t="str">
        <f aca="false">IF(I46="","",COUNTIF($I$7:$I$86,"&gt;"&amp;I46)+1)</f>
        <v/>
      </c>
      <c r="K46" s="34" t="str">
        <f aca="false">IF(I46="","",IF(OR(G46="",H46=""),설정!$B$9,IF(AND(OR(설정!$C$6="",G46&gt;=설정!$C$6),OR(설정!$D$6="",G46&lt;설정!$D$6),OR(설정!$E$6="",H46&gt;=설정!$E$6),OR(설정!$F$6="",H46&lt;설정!$F$6)),설정!$B$6,IF(AND(OR(설정!$C$7="",G46&gt;=설정!$C$7),OR(설정!$D$7="",G46&lt;설정!$D$7),OR(설정!$E$7="",H46&gt;=설정!$E$7),OR(설정!$F$7="",H46&lt;설정!$F$7)),설정!$B$7,IF(AND(OR(설정!$C$8="",G46&gt;=설정!$C$8),OR(설정!$D$8="",G46&lt;설정!$D$8),OR(설정!$E$8="",H46&gt;=설정!$E$8),OR(설정!$F$8="",H46&lt;설정!$F$8)),설정!$B$8,설정!$B$9)))))</f>
        <v/>
      </c>
      <c r="L46" s="37" t="str">
        <f aca="false">IF(OR(G46="",H46=""),"",IF(SUMPRODUCT(ISNUMBER(설정!$C$6:$D$8)*(ABS(G46-설정!$C$6:$D$8)&lt;=설정!$C$15))+SUMPRODUCT(ISNUMBER(설정!$E$6:$F$8)*(ABS(H46-설정!$E$6:$F$8)&lt;=설정!$C$15))&gt;0,"경계",""))</f>
        <v/>
      </c>
      <c r="M46" s="8"/>
      <c r="N46" s="8"/>
      <c r="O46" s="34" t="str">
        <f aca="false">IF(M46&lt;&gt;"",M46,K46)</f>
        <v/>
      </c>
      <c r="P46" s="38" t="str">
        <f aca="false">IF(I46="","",IF(G46="","공수1 미응시",IF(H46="","공수2 미응시","")))</f>
        <v/>
      </c>
      <c r="Q46" s="15" t="str">
        <f aca="false">IF(J46="","",J46+ROW()/100000)</f>
        <v/>
      </c>
    </row>
    <row r="47" customFormat="false" ht="15" hidden="false" customHeight="false" outlineLevel="0" collapsed="false">
      <c r="A47" s="6" t="n">
        <v>41</v>
      </c>
      <c r="B47" s="35" t="str">
        <f aca="false">IF(학생명단!B47="","",학생명단!B47)</f>
        <v/>
      </c>
      <c r="C47" s="35" t="str">
        <f aca="false">IF(학생명단!C47="","",학생명단!C47)</f>
        <v/>
      </c>
      <c r="D47" s="35" t="str">
        <f aca="false">IF(학생명단!D47="","",학생명단!D47)</f>
        <v/>
      </c>
      <c r="E47" s="35" t="str">
        <f aca="false">IF(학생명단!E47="","",학생명단!E47)</f>
        <v/>
      </c>
      <c r="F47" s="16" t="str">
        <f aca="false">IF(학생명단!F47="","",학생명단!F47)</f>
        <v/>
      </c>
      <c r="G47" s="35" t="str">
        <f aca="false">공수1!Y47</f>
        <v/>
      </c>
      <c r="H47" s="35" t="str">
        <f aca="false">공수2!Y47</f>
        <v/>
      </c>
      <c r="I47" s="36" t="str">
        <f aca="false">IF(AND(G47="",H47=""),"",N(G47)*설정!$C$13+N(H47)*설정!$C$14)</f>
        <v/>
      </c>
      <c r="J47" s="35" t="str">
        <f aca="false">IF(I47="","",COUNTIF($I$7:$I$86,"&gt;"&amp;I47)+1)</f>
        <v/>
      </c>
      <c r="K47" s="34" t="str">
        <f aca="false">IF(I47="","",IF(OR(G47="",H47=""),설정!$B$9,IF(AND(OR(설정!$C$6="",G47&gt;=설정!$C$6),OR(설정!$D$6="",G47&lt;설정!$D$6),OR(설정!$E$6="",H47&gt;=설정!$E$6),OR(설정!$F$6="",H47&lt;설정!$F$6)),설정!$B$6,IF(AND(OR(설정!$C$7="",G47&gt;=설정!$C$7),OR(설정!$D$7="",G47&lt;설정!$D$7),OR(설정!$E$7="",H47&gt;=설정!$E$7),OR(설정!$F$7="",H47&lt;설정!$F$7)),설정!$B$7,IF(AND(OR(설정!$C$8="",G47&gt;=설정!$C$8),OR(설정!$D$8="",G47&lt;설정!$D$8),OR(설정!$E$8="",H47&gt;=설정!$E$8),OR(설정!$F$8="",H47&lt;설정!$F$8)),설정!$B$8,설정!$B$9)))))</f>
        <v/>
      </c>
      <c r="L47" s="37" t="str">
        <f aca="false">IF(OR(G47="",H47=""),"",IF(SUMPRODUCT(ISNUMBER(설정!$C$6:$D$8)*(ABS(G47-설정!$C$6:$D$8)&lt;=설정!$C$15))+SUMPRODUCT(ISNUMBER(설정!$E$6:$F$8)*(ABS(H47-설정!$E$6:$F$8)&lt;=설정!$C$15))&gt;0,"경계",""))</f>
        <v/>
      </c>
      <c r="M47" s="8"/>
      <c r="N47" s="8"/>
      <c r="O47" s="34" t="str">
        <f aca="false">IF(M47&lt;&gt;"",M47,K47)</f>
        <v/>
      </c>
      <c r="P47" s="38" t="str">
        <f aca="false">IF(I47="","",IF(G47="","공수1 미응시",IF(H47="","공수2 미응시","")))</f>
        <v/>
      </c>
      <c r="Q47" s="15" t="str">
        <f aca="false">IF(J47="","",J47+ROW()/100000)</f>
        <v/>
      </c>
    </row>
    <row r="48" customFormat="false" ht="15" hidden="false" customHeight="false" outlineLevel="0" collapsed="false">
      <c r="A48" s="6" t="n">
        <v>42</v>
      </c>
      <c r="B48" s="35" t="str">
        <f aca="false">IF(학생명단!B48="","",학생명단!B48)</f>
        <v/>
      </c>
      <c r="C48" s="35" t="str">
        <f aca="false">IF(학생명단!C48="","",학생명단!C48)</f>
        <v/>
      </c>
      <c r="D48" s="35" t="str">
        <f aca="false">IF(학생명단!D48="","",학생명단!D48)</f>
        <v/>
      </c>
      <c r="E48" s="35" t="str">
        <f aca="false">IF(학생명단!E48="","",학생명단!E48)</f>
        <v/>
      </c>
      <c r="F48" s="16" t="str">
        <f aca="false">IF(학생명단!F48="","",학생명단!F48)</f>
        <v/>
      </c>
      <c r="G48" s="35" t="str">
        <f aca="false">공수1!Y48</f>
        <v/>
      </c>
      <c r="H48" s="35" t="str">
        <f aca="false">공수2!Y48</f>
        <v/>
      </c>
      <c r="I48" s="36" t="str">
        <f aca="false">IF(AND(G48="",H48=""),"",N(G48)*설정!$C$13+N(H48)*설정!$C$14)</f>
        <v/>
      </c>
      <c r="J48" s="35" t="str">
        <f aca="false">IF(I48="","",COUNTIF($I$7:$I$86,"&gt;"&amp;I48)+1)</f>
        <v/>
      </c>
      <c r="K48" s="34" t="str">
        <f aca="false">IF(I48="","",IF(OR(G48="",H48=""),설정!$B$9,IF(AND(OR(설정!$C$6="",G48&gt;=설정!$C$6),OR(설정!$D$6="",G48&lt;설정!$D$6),OR(설정!$E$6="",H48&gt;=설정!$E$6),OR(설정!$F$6="",H48&lt;설정!$F$6)),설정!$B$6,IF(AND(OR(설정!$C$7="",G48&gt;=설정!$C$7),OR(설정!$D$7="",G48&lt;설정!$D$7),OR(설정!$E$7="",H48&gt;=설정!$E$7),OR(설정!$F$7="",H48&lt;설정!$F$7)),설정!$B$7,IF(AND(OR(설정!$C$8="",G48&gt;=설정!$C$8),OR(설정!$D$8="",G48&lt;설정!$D$8),OR(설정!$E$8="",H48&gt;=설정!$E$8),OR(설정!$F$8="",H48&lt;설정!$F$8)),설정!$B$8,설정!$B$9)))))</f>
        <v/>
      </c>
      <c r="L48" s="37" t="str">
        <f aca="false">IF(OR(G48="",H48=""),"",IF(SUMPRODUCT(ISNUMBER(설정!$C$6:$D$8)*(ABS(G48-설정!$C$6:$D$8)&lt;=설정!$C$15))+SUMPRODUCT(ISNUMBER(설정!$E$6:$F$8)*(ABS(H48-설정!$E$6:$F$8)&lt;=설정!$C$15))&gt;0,"경계",""))</f>
        <v/>
      </c>
      <c r="M48" s="8"/>
      <c r="N48" s="8"/>
      <c r="O48" s="34" t="str">
        <f aca="false">IF(M48&lt;&gt;"",M48,K48)</f>
        <v/>
      </c>
      <c r="P48" s="38" t="str">
        <f aca="false">IF(I48="","",IF(G48="","공수1 미응시",IF(H48="","공수2 미응시","")))</f>
        <v/>
      </c>
      <c r="Q48" s="15" t="str">
        <f aca="false">IF(J48="","",J48+ROW()/100000)</f>
        <v/>
      </c>
    </row>
    <row r="49" customFormat="false" ht="15" hidden="false" customHeight="false" outlineLevel="0" collapsed="false">
      <c r="A49" s="6" t="n">
        <v>43</v>
      </c>
      <c r="B49" s="35" t="str">
        <f aca="false">IF(학생명단!B49="","",학생명단!B49)</f>
        <v/>
      </c>
      <c r="C49" s="35" t="str">
        <f aca="false">IF(학생명단!C49="","",학생명단!C49)</f>
        <v/>
      </c>
      <c r="D49" s="35" t="str">
        <f aca="false">IF(학생명단!D49="","",학생명단!D49)</f>
        <v/>
      </c>
      <c r="E49" s="35" t="str">
        <f aca="false">IF(학생명단!E49="","",학생명단!E49)</f>
        <v/>
      </c>
      <c r="F49" s="16" t="str">
        <f aca="false">IF(학생명단!F49="","",학생명단!F49)</f>
        <v/>
      </c>
      <c r="G49" s="35" t="str">
        <f aca="false">공수1!Y49</f>
        <v/>
      </c>
      <c r="H49" s="35" t="str">
        <f aca="false">공수2!Y49</f>
        <v/>
      </c>
      <c r="I49" s="36" t="str">
        <f aca="false">IF(AND(G49="",H49=""),"",N(G49)*설정!$C$13+N(H49)*설정!$C$14)</f>
        <v/>
      </c>
      <c r="J49" s="35" t="str">
        <f aca="false">IF(I49="","",COUNTIF($I$7:$I$86,"&gt;"&amp;I49)+1)</f>
        <v/>
      </c>
      <c r="K49" s="34" t="str">
        <f aca="false">IF(I49="","",IF(OR(G49="",H49=""),설정!$B$9,IF(AND(OR(설정!$C$6="",G49&gt;=설정!$C$6),OR(설정!$D$6="",G49&lt;설정!$D$6),OR(설정!$E$6="",H49&gt;=설정!$E$6),OR(설정!$F$6="",H49&lt;설정!$F$6)),설정!$B$6,IF(AND(OR(설정!$C$7="",G49&gt;=설정!$C$7),OR(설정!$D$7="",G49&lt;설정!$D$7),OR(설정!$E$7="",H49&gt;=설정!$E$7),OR(설정!$F$7="",H49&lt;설정!$F$7)),설정!$B$7,IF(AND(OR(설정!$C$8="",G49&gt;=설정!$C$8),OR(설정!$D$8="",G49&lt;설정!$D$8),OR(설정!$E$8="",H49&gt;=설정!$E$8),OR(설정!$F$8="",H49&lt;설정!$F$8)),설정!$B$8,설정!$B$9)))))</f>
        <v/>
      </c>
      <c r="L49" s="37" t="str">
        <f aca="false">IF(OR(G49="",H49=""),"",IF(SUMPRODUCT(ISNUMBER(설정!$C$6:$D$8)*(ABS(G49-설정!$C$6:$D$8)&lt;=설정!$C$15))+SUMPRODUCT(ISNUMBER(설정!$E$6:$F$8)*(ABS(H49-설정!$E$6:$F$8)&lt;=설정!$C$15))&gt;0,"경계",""))</f>
        <v/>
      </c>
      <c r="M49" s="8"/>
      <c r="N49" s="8"/>
      <c r="O49" s="34" t="str">
        <f aca="false">IF(M49&lt;&gt;"",M49,K49)</f>
        <v/>
      </c>
      <c r="P49" s="38" t="str">
        <f aca="false">IF(I49="","",IF(G49="","공수1 미응시",IF(H49="","공수2 미응시","")))</f>
        <v/>
      </c>
      <c r="Q49" s="15" t="str">
        <f aca="false">IF(J49="","",J49+ROW()/100000)</f>
        <v/>
      </c>
    </row>
    <row r="50" customFormat="false" ht="15" hidden="false" customHeight="false" outlineLevel="0" collapsed="false">
      <c r="A50" s="6" t="n">
        <v>44</v>
      </c>
      <c r="B50" s="35" t="str">
        <f aca="false">IF(학생명단!B50="","",학생명단!B50)</f>
        <v/>
      </c>
      <c r="C50" s="35" t="str">
        <f aca="false">IF(학생명단!C50="","",학생명단!C50)</f>
        <v/>
      </c>
      <c r="D50" s="35" t="str">
        <f aca="false">IF(학생명단!D50="","",학생명단!D50)</f>
        <v/>
      </c>
      <c r="E50" s="35" t="str">
        <f aca="false">IF(학생명단!E50="","",학생명단!E50)</f>
        <v/>
      </c>
      <c r="F50" s="16" t="str">
        <f aca="false">IF(학생명단!F50="","",학생명단!F50)</f>
        <v/>
      </c>
      <c r="G50" s="35" t="str">
        <f aca="false">공수1!Y50</f>
        <v/>
      </c>
      <c r="H50" s="35" t="str">
        <f aca="false">공수2!Y50</f>
        <v/>
      </c>
      <c r="I50" s="36" t="str">
        <f aca="false">IF(AND(G50="",H50=""),"",N(G50)*설정!$C$13+N(H50)*설정!$C$14)</f>
        <v/>
      </c>
      <c r="J50" s="35" t="str">
        <f aca="false">IF(I50="","",COUNTIF($I$7:$I$86,"&gt;"&amp;I50)+1)</f>
        <v/>
      </c>
      <c r="K50" s="34" t="str">
        <f aca="false">IF(I50="","",IF(OR(G50="",H50=""),설정!$B$9,IF(AND(OR(설정!$C$6="",G50&gt;=설정!$C$6),OR(설정!$D$6="",G50&lt;설정!$D$6),OR(설정!$E$6="",H50&gt;=설정!$E$6),OR(설정!$F$6="",H50&lt;설정!$F$6)),설정!$B$6,IF(AND(OR(설정!$C$7="",G50&gt;=설정!$C$7),OR(설정!$D$7="",G50&lt;설정!$D$7),OR(설정!$E$7="",H50&gt;=설정!$E$7),OR(설정!$F$7="",H50&lt;설정!$F$7)),설정!$B$7,IF(AND(OR(설정!$C$8="",G50&gt;=설정!$C$8),OR(설정!$D$8="",G50&lt;설정!$D$8),OR(설정!$E$8="",H50&gt;=설정!$E$8),OR(설정!$F$8="",H50&lt;설정!$F$8)),설정!$B$8,설정!$B$9)))))</f>
        <v/>
      </c>
      <c r="L50" s="37" t="str">
        <f aca="false">IF(OR(G50="",H50=""),"",IF(SUMPRODUCT(ISNUMBER(설정!$C$6:$D$8)*(ABS(G50-설정!$C$6:$D$8)&lt;=설정!$C$15))+SUMPRODUCT(ISNUMBER(설정!$E$6:$F$8)*(ABS(H50-설정!$E$6:$F$8)&lt;=설정!$C$15))&gt;0,"경계",""))</f>
        <v/>
      </c>
      <c r="M50" s="8"/>
      <c r="N50" s="8"/>
      <c r="O50" s="34" t="str">
        <f aca="false">IF(M50&lt;&gt;"",M50,K50)</f>
        <v/>
      </c>
      <c r="P50" s="38" t="str">
        <f aca="false">IF(I50="","",IF(G50="","공수1 미응시",IF(H50="","공수2 미응시","")))</f>
        <v/>
      </c>
      <c r="Q50" s="15" t="str">
        <f aca="false">IF(J50="","",J50+ROW()/100000)</f>
        <v/>
      </c>
    </row>
    <row r="51" customFormat="false" ht="15" hidden="false" customHeight="false" outlineLevel="0" collapsed="false">
      <c r="A51" s="6" t="n">
        <v>45</v>
      </c>
      <c r="B51" s="35" t="str">
        <f aca="false">IF(학생명단!B51="","",학생명단!B51)</f>
        <v/>
      </c>
      <c r="C51" s="35" t="str">
        <f aca="false">IF(학생명단!C51="","",학생명단!C51)</f>
        <v/>
      </c>
      <c r="D51" s="35" t="str">
        <f aca="false">IF(학생명단!D51="","",학생명단!D51)</f>
        <v/>
      </c>
      <c r="E51" s="35" t="str">
        <f aca="false">IF(학생명단!E51="","",학생명단!E51)</f>
        <v/>
      </c>
      <c r="F51" s="16" t="str">
        <f aca="false">IF(학생명단!F51="","",학생명단!F51)</f>
        <v/>
      </c>
      <c r="G51" s="35" t="str">
        <f aca="false">공수1!Y51</f>
        <v/>
      </c>
      <c r="H51" s="35" t="str">
        <f aca="false">공수2!Y51</f>
        <v/>
      </c>
      <c r="I51" s="36" t="str">
        <f aca="false">IF(AND(G51="",H51=""),"",N(G51)*설정!$C$13+N(H51)*설정!$C$14)</f>
        <v/>
      </c>
      <c r="J51" s="35" t="str">
        <f aca="false">IF(I51="","",COUNTIF($I$7:$I$86,"&gt;"&amp;I51)+1)</f>
        <v/>
      </c>
      <c r="K51" s="34" t="str">
        <f aca="false">IF(I51="","",IF(OR(G51="",H51=""),설정!$B$9,IF(AND(OR(설정!$C$6="",G51&gt;=설정!$C$6),OR(설정!$D$6="",G51&lt;설정!$D$6),OR(설정!$E$6="",H51&gt;=설정!$E$6),OR(설정!$F$6="",H51&lt;설정!$F$6)),설정!$B$6,IF(AND(OR(설정!$C$7="",G51&gt;=설정!$C$7),OR(설정!$D$7="",G51&lt;설정!$D$7),OR(설정!$E$7="",H51&gt;=설정!$E$7),OR(설정!$F$7="",H51&lt;설정!$F$7)),설정!$B$7,IF(AND(OR(설정!$C$8="",G51&gt;=설정!$C$8),OR(설정!$D$8="",G51&lt;설정!$D$8),OR(설정!$E$8="",H51&gt;=설정!$E$8),OR(설정!$F$8="",H51&lt;설정!$F$8)),설정!$B$8,설정!$B$9)))))</f>
        <v/>
      </c>
      <c r="L51" s="37" t="str">
        <f aca="false">IF(OR(G51="",H51=""),"",IF(SUMPRODUCT(ISNUMBER(설정!$C$6:$D$8)*(ABS(G51-설정!$C$6:$D$8)&lt;=설정!$C$15))+SUMPRODUCT(ISNUMBER(설정!$E$6:$F$8)*(ABS(H51-설정!$E$6:$F$8)&lt;=설정!$C$15))&gt;0,"경계",""))</f>
        <v/>
      </c>
      <c r="M51" s="8"/>
      <c r="N51" s="8"/>
      <c r="O51" s="34" t="str">
        <f aca="false">IF(M51&lt;&gt;"",M51,K51)</f>
        <v/>
      </c>
      <c r="P51" s="38" t="str">
        <f aca="false">IF(I51="","",IF(G51="","공수1 미응시",IF(H51="","공수2 미응시","")))</f>
        <v/>
      </c>
      <c r="Q51" s="15" t="str">
        <f aca="false">IF(J51="","",J51+ROW()/100000)</f>
        <v/>
      </c>
    </row>
    <row r="52" customFormat="false" ht="15" hidden="false" customHeight="false" outlineLevel="0" collapsed="false">
      <c r="A52" s="6" t="n">
        <v>46</v>
      </c>
      <c r="B52" s="35" t="str">
        <f aca="false">IF(학생명단!B52="","",학생명단!B52)</f>
        <v/>
      </c>
      <c r="C52" s="35" t="str">
        <f aca="false">IF(학생명단!C52="","",학생명단!C52)</f>
        <v/>
      </c>
      <c r="D52" s="35" t="str">
        <f aca="false">IF(학생명단!D52="","",학생명단!D52)</f>
        <v/>
      </c>
      <c r="E52" s="35" t="str">
        <f aca="false">IF(학생명단!E52="","",학생명단!E52)</f>
        <v/>
      </c>
      <c r="F52" s="16" t="str">
        <f aca="false">IF(학생명단!F52="","",학생명단!F52)</f>
        <v/>
      </c>
      <c r="G52" s="35" t="str">
        <f aca="false">공수1!Y52</f>
        <v/>
      </c>
      <c r="H52" s="35" t="str">
        <f aca="false">공수2!Y52</f>
        <v/>
      </c>
      <c r="I52" s="36" t="str">
        <f aca="false">IF(AND(G52="",H52=""),"",N(G52)*설정!$C$13+N(H52)*설정!$C$14)</f>
        <v/>
      </c>
      <c r="J52" s="35" t="str">
        <f aca="false">IF(I52="","",COUNTIF($I$7:$I$86,"&gt;"&amp;I52)+1)</f>
        <v/>
      </c>
      <c r="K52" s="34" t="str">
        <f aca="false">IF(I52="","",IF(OR(G52="",H52=""),설정!$B$9,IF(AND(OR(설정!$C$6="",G52&gt;=설정!$C$6),OR(설정!$D$6="",G52&lt;설정!$D$6),OR(설정!$E$6="",H52&gt;=설정!$E$6),OR(설정!$F$6="",H52&lt;설정!$F$6)),설정!$B$6,IF(AND(OR(설정!$C$7="",G52&gt;=설정!$C$7),OR(설정!$D$7="",G52&lt;설정!$D$7),OR(설정!$E$7="",H52&gt;=설정!$E$7),OR(설정!$F$7="",H52&lt;설정!$F$7)),설정!$B$7,IF(AND(OR(설정!$C$8="",G52&gt;=설정!$C$8),OR(설정!$D$8="",G52&lt;설정!$D$8),OR(설정!$E$8="",H52&gt;=설정!$E$8),OR(설정!$F$8="",H52&lt;설정!$F$8)),설정!$B$8,설정!$B$9)))))</f>
        <v/>
      </c>
      <c r="L52" s="37" t="str">
        <f aca="false">IF(OR(G52="",H52=""),"",IF(SUMPRODUCT(ISNUMBER(설정!$C$6:$D$8)*(ABS(G52-설정!$C$6:$D$8)&lt;=설정!$C$15))+SUMPRODUCT(ISNUMBER(설정!$E$6:$F$8)*(ABS(H52-설정!$E$6:$F$8)&lt;=설정!$C$15))&gt;0,"경계",""))</f>
        <v/>
      </c>
      <c r="M52" s="8"/>
      <c r="N52" s="8"/>
      <c r="O52" s="34" t="str">
        <f aca="false">IF(M52&lt;&gt;"",M52,K52)</f>
        <v/>
      </c>
      <c r="P52" s="38" t="str">
        <f aca="false">IF(I52="","",IF(G52="","공수1 미응시",IF(H52="","공수2 미응시","")))</f>
        <v/>
      </c>
      <c r="Q52" s="15" t="str">
        <f aca="false">IF(J52="","",J52+ROW()/100000)</f>
        <v/>
      </c>
    </row>
    <row r="53" customFormat="false" ht="15" hidden="false" customHeight="false" outlineLevel="0" collapsed="false">
      <c r="A53" s="6" t="n">
        <v>47</v>
      </c>
      <c r="B53" s="35" t="str">
        <f aca="false">IF(학생명단!B53="","",학생명단!B53)</f>
        <v/>
      </c>
      <c r="C53" s="35" t="str">
        <f aca="false">IF(학생명단!C53="","",학생명단!C53)</f>
        <v/>
      </c>
      <c r="D53" s="35" t="str">
        <f aca="false">IF(학생명단!D53="","",학생명단!D53)</f>
        <v/>
      </c>
      <c r="E53" s="35" t="str">
        <f aca="false">IF(학생명단!E53="","",학생명단!E53)</f>
        <v/>
      </c>
      <c r="F53" s="16" t="str">
        <f aca="false">IF(학생명단!F53="","",학생명단!F53)</f>
        <v/>
      </c>
      <c r="G53" s="35" t="str">
        <f aca="false">공수1!Y53</f>
        <v/>
      </c>
      <c r="H53" s="35" t="str">
        <f aca="false">공수2!Y53</f>
        <v/>
      </c>
      <c r="I53" s="36" t="str">
        <f aca="false">IF(AND(G53="",H53=""),"",N(G53)*설정!$C$13+N(H53)*설정!$C$14)</f>
        <v/>
      </c>
      <c r="J53" s="35" t="str">
        <f aca="false">IF(I53="","",COUNTIF($I$7:$I$86,"&gt;"&amp;I53)+1)</f>
        <v/>
      </c>
      <c r="K53" s="34" t="str">
        <f aca="false">IF(I53="","",IF(OR(G53="",H53=""),설정!$B$9,IF(AND(OR(설정!$C$6="",G53&gt;=설정!$C$6),OR(설정!$D$6="",G53&lt;설정!$D$6),OR(설정!$E$6="",H53&gt;=설정!$E$6),OR(설정!$F$6="",H53&lt;설정!$F$6)),설정!$B$6,IF(AND(OR(설정!$C$7="",G53&gt;=설정!$C$7),OR(설정!$D$7="",G53&lt;설정!$D$7),OR(설정!$E$7="",H53&gt;=설정!$E$7),OR(설정!$F$7="",H53&lt;설정!$F$7)),설정!$B$7,IF(AND(OR(설정!$C$8="",G53&gt;=설정!$C$8),OR(설정!$D$8="",G53&lt;설정!$D$8),OR(설정!$E$8="",H53&gt;=설정!$E$8),OR(설정!$F$8="",H53&lt;설정!$F$8)),설정!$B$8,설정!$B$9)))))</f>
        <v/>
      </c>
      <c r="L53" s="37" t="str">
        <f aca="false">IF(OR(G53="",H53=""),"",IF(SUMPRODUCT(ISNUMBER(설정!$C$6:$D$8)*(ABS(G53-설정!$C$6:$D$8)&lt;=설정!$C$15))+SUMPRODUCT(ISNUMBER(설정!$E$6:$F$8)*(ABS(H53-설정!$E$6:$F$8)&lt;=설정!$C$15))&gt;0,"경계",""))</f>
        <v/>
      </c>
      <c r="M53" s="8"/>
      <c r="N53" s="8"/>
      <c r="O53" s="34" t="str">
        <f aca="false">IF(M53&lt;&gt;"",M53,K53)</f>
        <v/>
      </c>
      <c r="P53" s="38" t="str">
        <f aca="false">IF(I53="","",IF(G53="","공수1 미응시",IF(H53="","공수2 미응시","")))</f>
        <v/>
      </c>
      <c r="Q53" s="15" t="str">
        <f aca="false">IF(J53="","",J53+ROW()/100000)</f>
        <v/>
      </c>
    </row>
    <row r="54" customFormat="false" ht="15" hidden="false" customHeight="false" outlineLevel="0" collapsed="false">
      <c r="A54" s="6" t="n">
        <v>48</v>
      </c>
      <c r="B54" s="35" t="str">
        <f aca="false">IF(학생명단!B54="","",학생명단!B54)</f>
        <v/>
      </c>
      <c r="C54" s="35" t="str">
        <f aca="false">IF(학생명단!C54="","",학생명단!C54)</f>
        <v/>
      </c>
      <c r="D54" s="35" t="str">
        <f aca="false">IF(학생명단!D54="","",학생명단!D54)</f>
        <v/>
      </c>
      <c r="E54" s="35" t="str">
        <f aca="false">IF(학생명단!E54="","",학생명단!E54)</f>
        <v/>
      </c>
      <c r="F54" s="16" t="str">
        <f aca="false">IF(학생명단!F54="","",학생명단!F54)</f>
        <v/>
      </c>
      <c r="G54" s="35" t="str">
        <f aca="false">공수1!Y54</f>
        <v/>
      </c>
      <c r="H54" s="35" t="str">
        <f aca="false">공수2!Y54</f>
        <v/>
      </c>
      <c r="I54" s="36" t="str">
        <f aca="false">IF(AND(G54="",H54=""),"",N(G54)*설정!$C$13+N(H54)*설정!$C$14)</f>
        <v/>
      </c>
      <c r="J54" s="35" t="str">
        <f aca="false">IF(I54="","",COUNTIF($I$7:$I$86,"&gt;"&amp;I54)+1)</f>
        <v/>
      </c>
      <c r="K54" s="34" t="str">
        <f aca="false">IF(I54="","",IF(OR(G54="",H54=""),설정!$B$9,IF(AND(OR(설정!$C$6="",G54&gt;=설정!$C$6),OR(설정!$D$6="",G54&lt;설정!$D$6),OR(설정!$E$6="",H54&gt;=설정!$E$6),OR(설정!$F$6="",H54&lt;설정!$F$6)),설정!$B$6,IF(AND(OR(설정!$C$7="",G54&gt;=설정!$C$7),OR(설정!$D$7="",G54&lt;설정!$D$7),OR(설정!$E$7="",H54&gt;=설정!$E$7),OR(설정!$F$7="",H54&lt;설정!$F$7)),설정!$B$7,IF(AND(OR(설정!$C$8="",G54&gt;=설정!$C$8),OR(설정!$D$8="",G54&lt;설정!$D$8),OR(설정!$E$8="",H54&gt;=설정!$E$8),OR(설정!$F$8="",H54&lt;설정!$F$8)),설정!$B$8,설정!$B$9)))))</f>
        <v/>
      </c>
      <c r="L54" s="37" t="str">
        <f aca="false">IF(OR(G54="",H54=""),"",IF(SUMPRODUCT(ISNUMBER(설정!$C$6:$D$8)*(ABS(G54-설정!$C$6:$D$8)&lt;=설정!$C$15))+SUMPRODUCT(ISNUMBER(설정!$E$6:$F$8)*(ABS(H54-설정!$E$6:$F$8)&lt;=설정!$C$15))&gt;0,"경계",""))</f>
        <v/>
      </c>
      <c r="M54" s="8"/>
      <c r="N54" s="8"/>
      <c r="O54" s="34" t="str">
        <f aca="false">IF(M54&lt;&gt;"",M54,K54)</f>
        <v/>
      </c>
      <c r="P54" s="38" t="str">
        <f aca="false">IF(I54="","",IF(G54="","공수1 미응시",IF(H54="","공수2 미응시","")))</f>
        <v/>
      </c>
      <c r="Q54" s="15" t="str">
        <f aca="false">IF(J54="","",J54+ROW()/100000)</f>
        <v/>
      </c>
    </row>
    <row r="55" customFormat="false" ht="15" hidden="false" customHeight="false" outlineLevel="0" collapsed="false">
      <c r="A55" s="6" t="n">
        <v>49</v>
      </c>
      <c r="B55" s="35" t="str">
        <f aca="false">IF(학생명단!B55="","",학생명단!B55)</f>
        <v/>
      </c>
      <c r="C55" s="35" t="str">
        <f aca="false">IF(학생명단!C55="","",학생명단!C55)</f>
        <v/>
      </c>
      <c r="D55" s="35" t="str">
        <f aca="false">IF(학생명단!D55="","",학생명단!D55)</f>
        <v/>
      </c>
      <c r="E55" s="35" t="str">
        <f aca="false">IF(학생명단!E55="","",학생명단!E55)</f>
        <v/>
      </c>
      <c r="F55" s="16" t="str">
        <f aca="false">IF(학생명단!F55="","",학생명단!F55)</f>
        <v/>
      </c>
      <c r="G55" s="35" t="str">
        <f aca="false">공수1!Y55</f>
        <v/>
      </c>
      <c r="H55" s="35" t="str">
        <f aca="false">공수2!Y55</f>
        <v/>
      </c>
      <c r="I55" s="36" t="str">
        <f aca="false">IF(AND(G55="",H55=""),"",N(G55)*설정!$C$13+N(H55)*설정!$C$14)</f>
        <v/>
      </c>
      <c r="J55" s="35" t="str">
        <f aca="false">IF(I55="","",COUNTIF($I$7:$I$86,"&gt;"&amp;I55)+1)</f>
        <v/>
      </c>
      <c r="K55" s="34" t="str">
        <f aca="false">IF(I55="","",IF(OR(G55="",H55=""),설정!$B$9,IF(AND(OR(설정!$C$6="",G55&gt;=설정!$C$6),OR(설정!$D$6="",G55&lt;설정!$D$6),OR(설정!$E$6="",H55&gt;=설정!$E$6),OR(설정!$F$6="",H55&lt;설정!$F$6)),설정!$B$6,IF(AND(OR(설정!$C$7="",G55&gt;=설정!$C$7),OR(설정!$D$7="",G55&lt;설정!$D$7),OR(설정!$E$7="",H55&gt;=설정!$E$7),OR(설정!$F$7="",H55&lt;설정!$F$7)),설정!$B$7,IF(AND(OR(설정!$C$8="",G55&gt;=설정!$C$8),OR(설정!$D$8="",G55&lt;설정!$D$8),OR(설정!$E$8="",H55&gt;=설정!$E$8),OR(설정!$F$8="",H55&lt;설정!$F$8)),설정!$B$8,설정!$B$9)))))</f>
        <v/>
      </c>
      <c r="L55" s="37" t="str">
        <f aca="false">IF(OR(G55="",H55=""),"",IF(SUMPRODUCT(ISNUMBER(설정!$C$6:$D$8)*(ABS(G55-설정!$C$6:$D$8)&lt;=설정!$C$15))+SUMPRODUCT(ISNUMBER(설정!$E$6:$F$8)*(ABS(H55-설정!$E$6:$F$8)&lt;=설정!$C$15))&gt;0,"경계",""))</f>
        <v/>
      </c>
      <c r="M55" s="8"/>
      <c r="N55" s="8"/>
      <c r="O55" s="34" t="str">
        <f aca="false">IF(M55&lt;&gt;"",M55,K55)</f>
        <v/>
      </c>
      <c r="P55" s="38" t="str">
        <f aca="false">IF(I55="","",IF(G55="","공수1 미응시",IF(H55="","공수2 미응시","")))</f>
        <v/>
      </c>
      <c r="Q55" s="15" t="str">
        <f aca="false">IF(J55="","",J55+ROW()/100000)</f>
        <v/>
      </c>
    </row>
    <row r="56" customFormat="false" ht="15" hidden="false" customHeight="false" outlineLevel="0" collapsed="false">
      <c r="A56" s="6" t="n">
        <v>50</v>
      </c>
      <c r="B56" s="35" t="str">
        <f aca="false">IF(학생명단!B56="","",학생명단!B56)</f>
        <v/>
      </c>
      <c r="C56" s="35" t="str">
        <f aca="false">IF(학생명단!C56="","",학생명단!C56)</f>
        <v/>
      </c>
      <c r="D56" s="35" t="str">
        <f aca="false">IF(학생명단!D56="","",학생명단!D56)</f>
        <v/>
      </c>
      <c r="E56" s="35" t="str">
        <f aca="false">IF(학생명단!E56="","",학생명단!E56)</f>
        <v/>
      </c>
      <c r="F56" s="16" t="str">
        <f aca="false">IF(학생명단!F56="","",학생명단!F56)</f>
        <v/>
      </c>
      <c r="G56" s="35" t="str">
        <f aca="false">공수1!Y56</f>
        <v/>
      </c>
      <c r="H56" s="35" t="str">
        <f aca="false">공수2!Y56</f>
        <v/>
      </c>
      <c r="I56" s="36" t="str">
        <f aca="false">IF(AND(G56="",H56=""),"",N(G56)*설정!$C$13+N(H56)*설정!$C$14)</f>
        <v/>
      </c>
      <c r="J56" s="35" t="str">
        <f aca="false">IF(I56="","",COUNTIF($I$7:$I$86,"&gt;"&amp;I56)+1)</f>
        <v/>
      </c>
      <c r="K56" s="34" t="str">
        <f aca="false">IF(I56="","",IF(OR(G56="",H56=""),설정!$B$9,IF(AND(OR(설정!$C$6="",G56&gt;=설정!$C$6),OR(설정!$D$6="",G56&lt;설정!$D$6),OR(설정!$E$6="",H56&gt;=설정!$E$6),OR(설정!$F$6="",H56&lt;설정!$F$6)),설정!$B$6,IF(AND(OR(설정!$C$7="",G56&gt;=설정!$C$7),OR(설정!$D$7="",G56&lt;설정!$D$7),OR(설정!$E$7="",H56&gt;=설정!$E$7),OR(설정!$F$7="",H56&lt;설정!$F$7)),설정!$B$7,IF(AND(OR(설정!$C$8="",G56&gt;=설정!$C$8),OR(설정!$D$8="",G56&lt;설정!$D$8),OR(설정!$E$8="",H56&gt;=설정!$E$8),OR(설정!$F$8="",H56&lt;설정!$F$8)),설정!$B$8,설정!$B$9)))))</f>
        <v/>
      </c>
      <c r="L56" s="37" t="str">
        <f aca="false">IF(OR(G56="",H56=""),"",IF(SUMPRODUCT(ISNUMBER(설정!$C$6:$D$8)*(ABS(G56-설정!$C$6:$D$8)&lt;=설정!$C$15))+SUMPRODUCT(ISNUMBER(설정!$E$6:$F$8)*(ABS(H56-설정!$E$6:$F$8)&lt;=설정!$C$15))&gt;0,"경계",""))</f>
        <v/>
      </c>
      <c r="M56" s="8"/>
      <c r="N56" s="8"/>
      <c r="O56" s="34" t="str">
        <f aca="false">IF(M56&lt;&gt;"",M56,K56)</f>
        <v/>
      </c>
      <c r="P56" s="38" t="str">
        <f aca="false">IF(I56="","",IF(G56="","공수1 미응시",IF(H56="","공수2 미응시","")))</f>
        <v/>
      </c>
      <c r="Q56" s="15" t="str">
        <f aca="false">IF(J56="","",J56+ROW()/100000)</f>
        <v/>
      </c>
    </row>
    <row r="57" customFormat="false" ht="15" hidden="false" customHeight="false" outlineLevel="0" collapsed="false">
      <c r="A57" s="6" t="n">
        <v>51</v>
      </c>
      <c r="B57" s="35" t="str">
        <f aca="false">IF(학생명단!B57="","",학생명단!B57)</f>
        <v/>
      </c>
      <c r="C57" s="35" t="str">
        <f aca="false">IF(학생명단!C57="","",학생명단!C57)</f>
        <v/>
      </c>
      <c r="D57" s="35" t="str">
        <f aca="false">IF(학생명단!D57="","",학생명단!D57)</f>
        <v/>
      </c>
      <c r="E57" s="35" t="str">
        <f aca="false">IF(학생명단!E57="","",학생명단!E57)</f>
        <v/>
      </c>
      <c r="F57" s="16" t="str">
        <f aca="false">IF(학생명단!F57="","",학생명단!F57)</f>
        <v/>
      </c>
      <c r="G57" s="35" t="str">
        <f aca="false">공수1!Y57</f>
        <v/>
      </c>
      <c r="H57" s="35" t="str">
        <f aca="false">공수2!Y57</f>
        <v/>
      </c>
      <c r="I57" s="36" t="str">
        <f aca="false">IF(AND(G57="",H57=""),"",N(G57)*설정!$C$13+N(H57)*설정!$C$14)</f>
        <v/>
      </c>
      <c r="J57" s="35" t="str">
        <f aca="false">IF(I57="","",COUNTIF($I$7:$I$86,"&gt;"&amp;I57)+1)</f>
        <v/>
      </c>
      <c r="K57" s="34" t="str">
        <f aca="false">IF(I57="","",IF(OR(G57="",H57=""),설정!$B$9,IF(AND(OR(설정!$C$6="",G57&gt;=설정!$C$6),OR(설정!$D$6="",G57&lt;설정!$D$6),OR(설정!$E$6="",H57&gt;=설정!$E$6),OR(설정!$F$6="",H57&lt;설정!$F$6)),설정!$B$6,IF(AND(OR(설정!$C$7="",G57&gt;=설정!$C$7),OR(설정!$D$7="",G57&lt;설정!$D$7),OR(설정!$E$7="",H57&gt;=설정!$E$7),OR(설정!$F$7="",H57&lt;설정!$F$7)),설정!$B$7,IF(AND(OR(설정!$C$8="",G57&gt;=설정!$C$8),OR(설정!$D$8="",G57&lt;설정!$D$8),OR(설정!$E$8="",H57&gt;=설정!$E$8),OR(설정!$F$8="",H57&lt;설정!$F$8)),설정!$B$8,설정!$B$9)))))</f>
        <v/>
      </c>
      <c r="L57" s="37" t="str">
        <f aca="false">IF(OR(G57="",H57=""),"",IF(SUMPRODUCT(ISNUMBER(설정!$C$6:$D$8)*(ABS(G57-설정!$C$6:$D$8)&lt;=설정!$C$15))+SUMPRODUCT(ISNUMBER(설정!$E$6:$F$8)*(ABS(H57-설정!$E$6:$F$8)&lt;=설정!$C$15))&gt;0,"경계",""))</f>
        <v/>
      </c>
      <c r="M57" s="8"/>
      <c r="N57" s="8"/>
      <c r="O57" s="34" t="str">
        <f aca="false">IF(M57&lt;&gt;"",M57,K57)</f>
        <v/>
      </c>
      <c r="P57" s="38" t="str">
        <f aca="false">IF(I57="","",IF(G57="","공수1 미응시",IF(H57="","공수2 미응시","")))</f>
        <v/>
      </c>
      <c r="Q57" s="15" t="str">
        <f aca="false">IF(J57="","",J57+ROW()/100000)</f>
        <v/>
      </c>
    </row>
    <row r="58" customFormat="false" ht="15" hidden="false" customHeight="false" outlineLevel="0" collapsed="false">
      <c r="A58" s="6" t="n">
        <v>52</v>
      </c>
      <c r="B58" s="35" t="str">
        <f aca="false">IF(학생명단!B58="","",학생명단!B58)</f>
        <v/>
      </c>
      <c r="C58" s="35" t="str">
        <f aca="false">IF(학생명단!C58="","",학생명단!C58)</f>
        <v/>
      </c>
      <c r="D58" s="35" t="str">
        <f aca="false">IF(학생명단!D58="","",학생명단!D58)</f>
        <v/>
      </c>
      <c r="E58" s="35" t="str">
        <f aca="false">IF(학생명단!E58="","",학생명단!E58)</f>
        <v/>
      </c>
      <c r="F58" s="16" t="str">
        <f aca="false">IF(학생명단!F58="","",학생명단!F58)</f>
        <v/>
      </c>
      <c r="G58" s="35" t="str">
        <f aca="false">공수1!Y58</f>
        <v/>
      </c>
      <c r="H58" s="35" t="str">
        <f aca="false">공수2!Y58</f>
        <v/>
      </c>
      <c r="I58" s="36" t="str">
        <f aca="false">IF(AND(G58="",H58=""),"",N(G58)*설정!$C$13+N(H58)*설정!$C$14)</f>
        <v/>
      </c>
      <c r="J58" s="35" t="str">
        <f aca="false">IF(I58="","",COUNTIF($I$7:$I$86,"&gt;"&amp;I58)+1)</f>
        <v/>
      </c>
      <c r="K58" s="34" t="str">
        <f aca="false">IF(I58="","",IF(OR(G58="",H58=""),설정!$B$9,IF(AND(OR(설정!$C$6="",G58&gt;=설정!$C$6),OR(설정!$D$6="",G58&lt;설정!$D$6),OR(설정!$E$6="",H58&gt;=설정!$E$6),OR(설정!$F$6="",H58&lt;설정!$F$6)),설정!$B$6,IF(AND(OR(설정!$C$7="",G58&gt;=설정!$C$7),OR(설정!$D$7="",G58&lt;설정!$D$7),OR(설정!$E$7="",H58&gt;=설정!$E$7),OR(설정!$F$7="",H58&lt;설정!$F$7)),설정!$B$7,IF(AND(OR(설정!$C$8="",G58&gt;=설정!$C$8),OR(설정!$D$8="",G58&lt;설정!$D$8),OR(설정!$E$8="",H58&gt;=설정!$E$8),OR(설정!$F$8="",H58&lt;설정!$F$8)),설정!$B$8,설정!$B$9)))))</f>
        <v/>
      </c>
      <c r="L58" s="37" t="str">
        <f aca="false">IF(OR(G58="",H58=""),"",IF(SUMPRODUCT(ISNUMBER(설정!$C$6:$D$8)*(ABS(G58-설정!$C$6:$D$8)&lt;=설정!$C$15))+SUMPRODUCT(ISNUMBER(설정!$E$6:$F$8)*(ABS(H58-설정!$E$6:$F$8)&lt;=설정!$C$15))&gt;0,"경계",""))</f>
        <v/>
      </c>
      <c r="M58" s="8"/>
      <c r="N58" s="8"/>
      <c r="O58" s="34" t="str">
        <f aca="false">IF(M58&lt;&gt;"",M58,K58)</f>
        <v/>
      </c>
      <c r="P58" s="38" t="str">
        <f aca="false">IF(I58="","",IF(G58="","공수1 미응시",IF(H58="","공수2 미응시","")))</f>
        <v/>
      </c>
      <c r="Q58" s="15" t="str">
        <f aca="false">IF(J58="","",J58+ROW()/100000)</f>
        <v/>
      </c>
    </row>
    <row r="59" customFormat="false" ht="15" hidden="false" customHeight="false" outlineLevel="0" collapsed="false">
      <c r="A59" s="6" t="n">
        <v>53</v>
      </c>
      <c r="B59" s="35" t="str">
        <f aca="false">IF(학생명단!B59="","",학생명단!B59)</f>
        <v/>
      </c>
      <c r="C59" s="35" t="str">
        <f aca="false">IF(학생명단!C59="","",학생명단!C59)</f>
        <v/>
      </c>
      <c r="D59" s="35" t="str">
        <f aca="false">IF(학생명단!D59="","",학생명단!D59)</f>
        <v/>
      </c>
      <c r="E59" s="35" t="str">
        <f aca="false">IF(학생명단!E59="","",학생명단!E59)</f>
        <v/>
      </c>
      <c r="F59" s="16" t="str">
        <f aca="false">IF(학생명단!F59="","",학생명단!F59)</f>
        <v/>
      </c>
      <c r="G59" s="35" t="str">
        <f aca="false">공수1!Y59</f>
        <v/>
      </c>
      <c r="H59" s="35" t="str">
        <f aca="false">공수2!Y59</f>
        <v/>
      </c>
      <c r="I59" s="36" t="str">
        <f aca="false">IF(AND(G59="",H59=""),"",N(G59)*설정!$C$13+N(H59)*설정!$C$14)</f>
        <v/>
      </c>
      <c r="J59" s="35" t="str">
        <f aca="false">IF(I59="","",COUNTIF($I$7:$I$86,"&gt;"&amp;I59)+1)</f>
        <v/>
      </c>
      <c r="K59" s="34" t="str">
        <f aca="false">IF(I59="","",IF(OR(G59="",H59=""),설정!$B$9,IF(AND(OR(설정!$C$6="",G59&gt;=설정!$C$6),OR(설정!$D$6="",G59&lt;설정!$D$6),OR(설정!$E$6="",H59&gt;=설정!$E$6),OR(설정!$F$6="",H59&lt;설정!$F$6)),설정!$B$6,IF(AND(OR(설정!$C$7="",G59&gt;=설정!$C$7),OR(설정!$D$7="",G59&lt;설정!$D$7),OR(설정!$E$7="",H59&gt;=설정!$E$7),OR(설정!$F$7="",H59&lt;설정!$F$7)),설정!$B$7,IF(AND(OR(설정!$C$8="",G59&gt;=설정!$C$8),OR(설정!$D$8="",G59&lt;설정!$D$8),OR(설정!$E$8="",H59&gt;=설정!$E$8),OR(설정!$F$8="",H59&lt;설정!$F$8)),설정!$B$8,설정!$B$9)))))</f>
        <v/>
      </c>
      <c r="L59" s="37" t="str">
        <f aca="false">IF(OR(G59="",H59=""),"",IF(SUMPRODUCT(ISNUMBER(설정!$C$6:$D$8)*(ABS(G59-설정!$C$6:$D$8)&lt;=설정!$C$15))+SUMPRODUCT(ISNUMBER(설정!$E$6:$F$8)*(ABS(H59-설정!$E$6:$F$8)&lt;=설정!$C$15))&gt;0,"경계",""))</f>
        <v/>
      </c>
      <c r="M59" s="8"/>
      <c r="N59" s="8"/>
      <c r="O59" s="34" t="str">
        <f aca="false">IF(M59&lt;&gt;"",M59,K59)</f>
        <v/>
      </c>
      <c r="P59" s="38" t="str">
        <f aca="false">IF(I59="","",IF(G59="","공수1 미응시",IF(H59="","공수2 미응시","")))</f>
        <v/>
      </c>
      <c r="Q59" s="15" t="str">
        <f aca="false">IF(J59="","",J59+ROW()/100000)</f>
        <v/>
      </c>
    </row>
    <row r="60" customFormat="false" ht="15" hidden="false" customHeight="false" outlineLevel="0" collapsed="false">
      <c r="A60" s="6" t="n">
        <v>54</v>
      </c>
      <c r="B60" s="35" t="str">
        <f aca="false">IF(학생명단!B60="","",학생명단!B60)</f>
        <v/>
      </c>
      <c r="C60" s="35" t="str">
        <f aca="false">IF(학생명단!C60="","",학생명단!C60)</f>
        <v/>
      </c>
      <c r="D60" s="35" t="str">
        <f aca="false">IF(학생명단!D60="","",학생명단!D60)</f>
        <v/>
      </c>
      <c r="E60" s="35" t="str">
        <f aca="false">IF(학생명단!E60="","",학생명단!E60)</f>
        <v/>
      </c>
      <c r="F60" s="16" t="str">
        <f aca="false">IF(학생명단!F60="","",학생명단!F60)</f>
        <v/>
      </c>
      <c r="G60" s="35" t="str">
        <f aca="false">공수1!Y60</f>
        <v/>
      </c>
      <c r="H60" s="35" t="str">
        <f aca="false">공수2!Y60</f>
        <v/>
      </c>
      <c r="I60" s="36" t="str">
        <f aca="false">IF(AND(G60="",H60=""),"",N(G60)*설정!$C$13+N(H60)*설정!$C$14)</f>
        <v/>
      </c>
      <c r="J60" s="35" t="str">
        <f aca="false">IF(I60="","",COUNTIF($I$7:$I$86,"&gt;"&amp;I60)+1)</f>
        <v/>
      </c>
      <c r="K60" s="34" t="str">
        <f aca="false">IF(I60="","",IF(OR(G60="",H60=""),설정!$B$9,IF(AND(OR(설정!$C$6="",G60&gt;=설정!$C$6),OR(설정!$D$6="",G60&lt;설정!$D$6),OR(설정!$E$6="",H60&gt;=설정!$E$6),OR(설정!$F$6="",H60&lt;설정!$F$6)),설정!$B$6,IF(AND(OR(설정!$C$7="",G60&gt;=설정!$C$7),OR(설정!$D$7="",G60&lt;설정!$D$7),OR(설정!$E$7="",H60&gt;=설정!$E$7),OR(설정!$F$7="",H60&lt;설정!$F$7)),설정!$B$7,IF(AND(OR(설정!$C$8="",G60&gt;=설정!$C$8),OR(설정!$D$8="",G60&lt;설정!$D$8),OR(설정!$E$8="",H60&gt;=설정!$E$8),OR(설정!$F$8="",H60&lt;설정!$F$8)),설정!$B$8,설정!$B$9)))))</f>
        <v/>
      </c>
      <c r="L60" s="37" t="str">
        <f aca="false">IF(OR(G60="",H60=""),"",IF(SUMPRODUCT(ISNUMBER(설정!$C$6:$D$8)*(ABS(G60-설정!$C$6:$D$8)&lt;=설정!$C$15))+SUMPRODUCT(ISNUMBER(설정!$E$6:$F$8)*(ABS(H60-설정!$E$6:$F$8)&lt;=설정!$C$15))&gt;0,"경계",""))</f>
        <v/>
      </c>
      <c r="M60" s="8"/>
      <c r="N60" s="8"/>
      <c r="O60" s="34" t="str">
        <f aca="false">IF(M60&lt;&gt;"",M60,K60)</f>
        <v/>
      </c>
      <c r="P60" s="38" t="str">
        <f aca="false">IF(I60="","",IF(G60="","공수1 미응시",IF(H60="","공수2 미응시","")))</f>
        <v/>
      </c>
      <c r="Q60" s="15" t="str">
        <f aca="false">IF(J60="","",J60+ROW()/100000)</f>
        <v/>
      </c>
    </row>
    <row r="61" customFormat="false" ht="15" hidden="false" customHeight="false" outlineLevel="0" collapsed="false">
      <c r="A61" s="6" t="n">
        <v>55</v>
      </c>
      <c r="B61" s="35" t="str">
        <f aca="false">IF(학생명단!B61="","",학생명단!B61)</f>
        <v/>
      </c>
      <c r="C61" s="35" t="str">
        <f aca="false">IF(학생명단!C61="","",학생명단!C61)</f>
        <v/>
      </c>
      <c r="D61" s="35" t="str">
        <f aca="false">IF(학생명단!D61="","",학생명단!D61)</f>
        <v/>
      </c>
      <c r="E61" s="35" t="str">
        <f aca="false">IF(학생명단!E61="","",학생명단!E61)</f>
        <v/>
      </c>
      <c r="F61" s="16" t="str">
        <f aca="false">IF(학생명단!F61="","",학생명단!F61)</f>
        <v/>
      </c>
      <c r="G61" s="35" t="str">
        <f aca="false">공수1!Y61</f>
        <v/>
      </c>
      <c r="H61" s="35" t="str">
        <f aca="false">공수2!Y61</f>
        <v/>
      </c>
      <c r="I61" s="36" t="str">
        <f aca="false">IF(AND(G61="",H61=""),"",N(G61)*설정!$C$13+N(H61)*설정!$C$14)</f>
        <v/>
      </c>
      <c r="J61" s="35" t="str">
        <f aca="false">IF(I61="","",COUNTIF($I$7:$I$86,"&gt;"&amp;I61)+1)</f>
        <v/>
      </c>
      <c r="K61" s="34" t="str">
        <f aca="false">IF(I61="","",IF(OR(G61="",H61=""),설정!$B$9,IF(AND(OR(설정!$C$6="",G61&gt;=설정!$C$6),OR(설정!$D$6="",G61&lt;설정!$D$6),OR(설정!$E$6="",H61&gt;=설정!$E$6),OR(설정!$F$6="",H61&lt;설정!$F$6)),설정!$B$6,IF(AND(OR(설정!$C$7="",G61&gt;=설정!$C$7),OR(설정!$D$7="",G61&lt;설정!$D$7),OR(설정!$E$7="",H61&gt;=설정!$E$7),OR(설정!$F$7="",H61&lt;설정!$F$7)),설정!$B$7,IF(AND(OR(설정!$C$8="",G61&gt;=설정!$C$8),OR(설정!$D$8="",G61&lt;설정!$D$8),OR(설정!$E$8="",H61&gt;=설정!$E$8),OR(설정!$F$8="",H61&lt;설정!$F$8)),설정!$B$8,설정!$B$9)))))</f>
        <v/>
      </c>
      <c r="L61" s="37" t="str">
        <f aca="false">IF(OR(G61="",H61=""),"",IF(SUMPRODUCT(ISNUMBER(설정!$C$6:$D$8)*(ABS(G61-설정!$C$6:$D$8)&lt;=설정!$C$15))+SUMPRODUCT(ISNUMBER(설정!$E$6:$F$8)*(ABS(H61-설정!$E$6:$F$8)&lt;=설정!$C$15))&gt;0,"경계",""))</f>
        <v/>
      </c>
      <c r="M61" s="8"/>
      <c r="N61" s="8"/>
      <c r="O61" s="34" t="str">
        <f aca="false">IF(M61&lt;&gt;"",M61,K61)</f>
        <v/>
      </c>
      <c r="P61" s="38" t="str">
        <f aca="false">IF(I61="","",IF(G61="","공수1 미응시",IF(H61="","공수2 미응시","")))</f>
        <v/>
      </c>
      <c r="Q61" s="15" t="str">
        <f aca="false">IF(J61="","",J61+ROW()/100000)</f>
        <v/>
      </c>
    </row>
    <row r="62" customFormat="false" ht="15" hidden="false" customHeight="false" outlineLevel="0" collapsed="false">
      <c r="A62" s="6" t="n">
        <v>56</v>
      </c>
      <c r="B62" s="35" t="str">
        <f aca="false">IF(학생명단!B62="","",학생명단!B62)</f>
        <v/>
      </c>
      <c r="C62" s="35" t="str">
        <f aca="false">IF(학생명단!C62="","",학생명단!C62)</f>
        <v/>
      </c>
      <c r="D62" s="35" t="str">
        <f aca="false">IF(학생명단!D62="","",학생명단!D62)</f>
        <v/>
      </c>
      <c r="E62" s="35" t="str">
        <f aca="false">IF(학생명단!E62="","",학생명단!E62)</f>
        <v/>
      </c>
      <c r="F62" s="16" t="str">
        <f aca="false">IF(학생명단!F62="","",학생명단!F62)</f>
        <v/>
      </c>
      <c r="G62" s="35" t="str">
        <f aca="false">공수1!Y62</f>
        <v/>
      </c>
      <c r="H62" s="35" t="str">
        <f aca="false">공수2!Y62</f>
        <v/>
      </c>
      <c r="I62" s="36" t="str">
        <f aca="false">IF(AND(G62="",H62=""),"",N(G62)*설정!$C$13+N(H62)*설정!$C$14)</f>
        <v/>
      </c>
      <c r="J62" s="35" t="str">
        <f aca="false">IF(I62="","",COUNTIF($I$7:$I$86,"&gt;"&amp;I62)+1)</f>
        <v/>
      </c>
      <c r="K62" s="34" t="str">
        <f aca="false">IF(I62="","",IF(OR(G62="",H62=""),설정!$B$9,IF(AND(OR(설정!$C$6="",G62&gt;=설정!$C$6),OR(설정!$D$6="",G62&lt;설정!$D$6),OR(설정!$E$6="",H62&gt;=설정!$E$6),OR(설정!$F$6="",H62&lt;설정!$F$6)),설정!$B$6,IF(AND(OR(설정!$C$7="",G62&gt;=설정!$C$7),OR(설정!$D$7="",G62&lt;설정!$D$7),OR(설정!$E$7="",H62&gt;=설정!$E$7),OR(설정!$F$7="",H62&lt;설정!$F$7)),설정!$B$7,IF(AND(OR(설정!$C$8="",G62&gt;=설정!$C$8),OR(설정!$D$8="",G62&lt;설정!$D$8),OR(설정!$E$8="",H62&gt;=설정!$E$8),OR(설정!$F$8="",H62&lt;설정!$F$8)),설정!$B$8,설정!$B$9)))))</f>
        <v/>
      </c>
      <c r="L62" s="37" t="str">
        <f aca="false">IF(OR(G62="",H62=""),"",IF(SUMPRODUCT(ISNUMBER(설정!$C$6:$D$8)*(ABS(G62-설정!$C$6:$D$8)&lt;=설정!$C$15))+SUMPRODUCT(ISNUMBER(설정!$E$6:$F$8)*(ABS(H62-설정!$E$6:$F$8)&lt;=설정!$C$15))&gt;0,"경계",""))</f>
        <v/>
      </c>
      <c r="M62" s="8"/>
      <c r="N62" s="8"/>
      <c r="O62" s="34" t="str">
        <f aca="false">IF(M62&lt;&gt;"",M62,K62)</f>
        <v/>
      </c>
      <c r="P62" s="38" t="str">
        <f aca="false">IF(I62="","",IF(G62="","공수1 미응시",IF(H62="","공수2 미응시","")))</f>
        <v/>
      </c>
      <c r="Q62" s="15" t="str">
        <f aca="false">IF(J62="","",J62+ROW()/100000)</f>
        <v/>
      </c>
    </row>
    <row r="63" customFormat="false" ht="15" hidden="false" customHeight="false" outlineLevel="0" collapsed="false">
      <c r="A63" s="6" t="n">
        <v>57</v>
      </c>
      <c r="B63" s="35" t="str">
        <f aca="false">IF(학생명단!B63="","",학생명단!B63)</f>
        <v/>
      </c>
      <c r="C63" s="35" t="str">
        <f aca="false">IF(학생명단!C63="","",학생명단!C63)</f>
        <v/>
      </c>
      <c r="D63" s="35" t="str">
        <f aca="false">IF(학생명단!D63="","",학생명단!D63)</f>
        <v/>
      </c>
      <c r="E63" s="35" t="str">
        <f aca="false">IF(학생명단!E63="","",학생명단!E63)</f>
        <v/>
      </c>
      <c r="F63" s="16" t="str">
        <f aca="false">IF(학생명단!F63="","",학생명단!F63)</f>
        <v/>
      </c>
      <c r="G63" s="35" t="str">
        <f aca="false">공수1!Y63</f>
        <v/>
      </c>
      <c r="H63" s="35" t="str">
        <f aca="false">공수2!Y63</f>
        <v/>
      </c>
      <c r="I63" s="36" t="str">
        <f aca="false">IF(AND(G63="",H63=""),"",N(G63)*설정!$C$13+N(H63)*설정!$C$14)</f>
        <v/>
      </c>
      <c r="J63" s="35" t="str">
        <f aca="false">IF(I63="","",COUNTIF($I$7:$I$86,"&gt;"&amp;I63)+1)</f>
        <v/>
      </c>
      <c r="K63" s="34" t="str">
        <f aca="false">IF(I63="","",IF(OR(G63="",H63=""),설정!$B$9,IF(AND(OR(설정!$C$6="",G63&gt;=설정!$C$6),OR(설정!$D$6="",G63&lt;설정!$D$6),OR(설정!$E$6="",H63&gt;=설정!$E$6),OR(설정!$F$6="",H63&lt;설정!$F$6)),설정!$B$6,IF(AND(OR(설정!$C$7="",G63&gt;=설정!$C$7),OR(설정!$D$7="",G63&lt;설정!$D$7),OR(설정!$E$7="",H63&gt;=설정!$E$7),OR(설정!$F$7="",H63&lt;설정!$F$7)),설정!$B$7,IF(AND(OR(설정!$C$8="",G63&gt;=설정!$C$8),OR(설정!$D$8="",G63&lt;설정!$D$8),OR(설정!$E$8="",H63&gt;=설정!$E$8),OR(설정!$F$8="",H63&lt;설정!$F$8)),설정!$B$8,설정!$B$9)))))</f>
        <v/>
      </c>
      <c r="L63" s="37" t="str">
        <f aca="false">IF(OR(G63="",H63=""),"",IF(SUMPRODUCT(ISNUMBER(설정!$C$6:$D$8)*(ABS(G63-설정!$C$6:$D$8)&lt;=설정!$C$15))+SUMPRODUCT(ISNUMBER(설정!$E$6:$F$8)*(ABS(H63-설정!$E$6:$F$8)&lt;=설정!$C$15))&gt;0,"경계",""))</f>
        <v/>
      </c>
      <c r="M63" s="8"/>
      <c r="N63" s="8"/>
      <c r="O63" s="34" t="str">
        <f aca="false">IF(M63&lt;&gt;"",M63,K63)</f>
        <v/>
      </c>
      <c r="P63" s="38" t="str">
        <f aca="false">IF(I63="","",IF(G63="","공수1 미응시",IF(H63="","공수2 미응시","")))</f>
        <v/>
      </c>
      <c r="Q63" s="15" t="str">
        <f aca="false">IF(J63="","",J63+ROW()/100000)</f>
        <v/>
      </c>
    </row>
    <row r="64" customFormat="false" ht="15" hidden="false" customHeight="false" outlineLevel="0" collapsed="false">
      <c r="A64" s="6" t="n">
        <v>58</v>
      </c>
      <c r="B64" s="35" t="str">
        <f aca="false">IF(학생명단!B64="","",학생명단!B64)</f>
        <v/>
      </c>
      <c r="C64" s="35" t="str">
        <f aca="false">IF(학생명단!C64="","",학생명단!C64)</f>
        <v/>
      </c>
      <c r="D64" s="35" t="str">
        <f aca="false">IF(학생명단!D64="","",학생명단!D64)</f>
        <v/>
      </c>
      <c r="E64" s="35" t="str">
        <f aca="false">IF(학생명단!E64="","",학생명단!E64)</f>
        <v/>
      </c>
      <c r="F64" s="16" t="str">
        <f aca="false">IF(학생명단!F64="","",학생명단!F64)</f>
        <v/>
      </c>
      <c r="G64" s="35" t="str">
        <f aca="false">공수1!Y64</f>
        <v/>
      </c>
      <c r="H64" s="35" t="str">
        <f aca="false">공수2!Y64</f>
        <v/>
      </c>
      <c r="I64" s="36" t="str">
        <f aca="false">IF(AND(G64="",H64=""),"",N(G64)*설정!$C$13+N(H64)*설정!$C$14)</f>
        <v/>
      </c>
      <c r="J64" s="35" t="str">
        <f aca="false">IF(I64="","",COUNTIF($I$7:$I$86,"&gt;"&amp;I64)+1)</f>
        <v/>
      </c>
      <c r="K64" s="34" t="str">
        <f aca="false">IF(I64="","",IF(OR(G64="",H64=""),설정!$B$9,IF(AND(OR(설정!$C$6="",G64&gt;=설정!$C$6),OR(설정!$D$6="",G64&lt;설정!$D$6),OR(설정!$E$6="",H64&gt;=설정!$E$6),OR(설정!$F$6="",H64&lt;설정!$F$6)),설정!$B$6,IF(AND(OR(설정!$C$7="",G64&gt;=설정!$C$7),OR(설정!$D$7="",G64&lt;설정!$D$7),OR(설정!$E$7="",H64&gt;=설정!$E$7),OR(설정!$F$7="",H64&lt;설정!$F$7)),설정!$B$7,IF(AND(OR(설정!$C$8="",G64&gt;=설정!$C$8),OR(설정!$D$8="",G64&lt;설정!$D$8),OR(설정!$E$8="",H64&gt;=설정!$E$8),OR(설정!$F$8="",H64&lt;설정!$F$8)),설정!$B$8,설정!$B$9)))))</f>
        <v/>
      </c>
      <c r="L64" s="37" t="str">
        <f aca="false">IF(OR(G64="",H64=""),"",IF(SUMPRODUCT(ISNUMBER(설정!$C$6:$D$8)*(ABS(G64-설정!$C$6:$D$8)&lt;=설정!$C$15))+SUMPRODUCT(ISNUMBER(설정!$E$6:$F$8)*(ABS(H64-설정!$E$6:$F$8)&lt;=설정!$C$15))&gt;0,"경계",""))</f>
        <v/>
      </c>
      <c r="M64" s="8"/>
      <c r="N64" s="8"/>
      <c r="O64" s="34" t="str">
        <f aca="false">IF(M64&lt;&gt;"",M64,K64)</f>
        <v/>
      </c>
      <c r="P64" s="38" t="str">
        <f aca="false">IF(I64="","",IF(G64="","공수1 미응시",IF(H64="","공수2 미응시","")))</f>
        <v/>
      </c>
      <c r="Q64" s="15" t="str">
        <f aca="false">IF(J64="","",J64+ROW()/100000)</f>
        <v/>
      </c>
    </row>
    <row r="65" customFormat="false" ht="15" hidden="false" customHeight="false" outlineLevel="0" collapsed="false">
      <c r="A65" s="6" t="n">
        <v>59</v>
      </c>
      <c r="B65" s="35" t="str">
        <f aca="false">IF(학생명단!B65="","",학생명단!B65)</f>
        <v/>
      </c>
      <c r="C65" s="35" t="str">
        <f aca="false">IF(학생명단!C65="","",학생명단!C65)</f>
        <v/>
      </c>
      <c r="D65" s="35" t="str">
        <f aca="false">IF(학생명단!D65="","",학생명단!D65)</f>
        <v/>
      </c>
      <c r="E65" s="35" t="str">
        <f aca="false">IF(학생명단!E65="","",학생명단!E65)</f>
        <v/>
      </c>
      <c r="F65" s="16" t="str">
        <f aca="false">IF(학생명단!F65="","",학생명단!F65)</f>
        <v/>
      </c>
      <c r="G65" s="35" t="str">
        <f aca="false">공수1!Y65</f>
        <v/>
      </c>
      <c r="H65" s="35" t="str">
        <f aca="false">공수2!Y65</f>
        <v/>
      </c>
      <c r="I65" s="36" t="str">
        <f aca="false">IF(AND(G65="",H65=""),"",N(G65)*설정!$C$13+N(H65)*설정!$C$14)</f>
        <v/>
      </c>
      <c r="J65" s="35" t="str">
        <f aca="false">IF(I65="","",COUNTIF($I$7:$I$86,"&gt;"&amp;I65)+1)</f>
        <v/>
      </c>
      <c r="K65" s="34" t="str">
        <f aca="false">IF(I65="","",IF(OR(G65="",H65=""),설정!$B$9,IF(AND(OR(설정!$C$6="",G65&gt;=설정!$C$6),OR(설정!$D$6="",G65&lt;설정!$D$6),OR(설정!$E$6="",H65&gt;=설정!$E$6),OR(설정!$F$6="",H65&lt;설정!$F$6)),설정!$B$6,IF(AND(OR(설정!$C$7="",G65&gt;=설정!$C$7),OR(설정!$D$7="",G65&lt;설정!$D$7),OR(설정!$E$7="",H65&gt;=설정!$E$7),OR(설정!$F$7="",H65&lt;설정!$F$7)),설정!$B$7,IF(AND(OR(설정!$C$8="",G65&gt;=설정!$C$8),OR(설정!$D$8="",G65&lt;설정!$D$8),OR(설정!$E$8="",H65&gt;=설정!$E$8),OR(설정!$F$8="",H65&lt;설정!$F$8)),설정!$B$8,설정!$B$9)))))</f>
        <v/>
      </c>
      <c r="L65" s="37" t="str">
        <f aca="false">IF(OR(G65="",H65=""),"",IF(SUMPRODUCT(ISNUMBER(설정!$C$6:$D$8)*(ABS(G65-설정!$C$6:$D$8)&lt;=설정!$C$15))+SUMPRODUCT(ISNUMBER(설정!$E$6:$F$8)*(ABS(H65-설정!$E$6:$F$8)&lt;=설정!$C$15))&gt;0,"경계",""))</f>
        <v/>
      </c>
      <c r="M65" s="8"/>
      <c r="N65" s="8"/>
      <c r="O65" s="34" t="str">
        <f aca="false">IF(M65&lt;&gt;"",M65,K65)</f>
        <v/>
      </c>
      <c r="P65" s="38" t="str">
        <f aca="false">IF(I65="","",IF(G65="","공수1 미응시",IF(H65="","공수2 미응시","")))</f>
        <v/>
      </c>
      <c r="Q65" s="15" t="str">
        <f aca="false">IF(J65="","",J65+ROW()/100000)</f>
        <v/>
      </c>
    </row>
    <row r="66" customFormat="false" ht="15" hidden="false" customHeight="false" outlineLevel="0" collapsed="false">
      <c r="A66" s="6" t="n">
        <v>60</v>
      </c>
      <c r="B66" s="35" t="str">
        <f aca="false">IF(학생명단!B66="","",학생명단!B66)</f>
        <v/>
      </c>
      <c r="C66" s="35" t="str">
        <f aca="false">IF(학생명단!C66="","",학생명단!C66)</f>
        <v/>
      </c>
      <c r="D66" s="35" t="str">
        <f aca="false">IF(학생명단!D66="","",학생명단!D66)</f>
        <v/>
      </c>
      <c r="E66" s="35" t="str">
        <f aca="false">IF(학생명단!E66="","",학생명단!E66)</f>
        <v/>
      </c>
      <c r="F66" s="16" t="str">
        <f aca="false">IF(학생명단!F66="","",학생명단!F66)</f>
        <v/>
      </c>
      <c r="G66" s="35" t="str">
        <f aca="false">공수1!Y66</f>
        <v/>
      </c>
      <c r="H66" s="35" t="str">
        <f aca="false">공수2!Y66</f>
        <v/>
      </c>
      <c r="I66" s="36" t="str">
        <f aca="false">IF(AND(G66="",H66=""),"",N(G66)*설정!$C$13+N(H66)*설정!$C$14)</f>
        <v/>
      </c>
      <c r="J66" s="35" t="str">
        <f aca="false">IF(I66="","",COUNTIF($I$7:$I$86,"&gt;"&amp;I66)+1)</f>
        <v/>
      </c>
      <c r="K66" s="34" t="str">
        <f aca="false">IF(I66="","",IF(OR(G66="",H66=""),설정!$B$9,IF(AND(OR(설정!$C$6="",G66&gt;=설정!$C$6),OR(설정!$D$6="",G66&lt;설정!$D$6),OR(설정!$E$6="",H66&gt;=설정!$E$6),OR(설정!$F$6="",H66&lt;설정!$F$6)),설정!$B$6,IF(AND(OR(설정!$C$7="",G66&gt;=설정!$C$7),OR(설정!$D$7="",G66&lt;설정!$D$7),OR(설정!$E$7="",H66&gt;=설정!$E$7),OR(설정!$F$7="",H66&lt;설정!$F$7)),설정!$B$7,IF(AND(OR(설정!$C$8="",G66&gt;=설정!$C$8),OR(설정!$D$8="",G66&lt;설정!$D$8),OR(설정!$E$8="",H66&gt;=설정!$E$8),OR(설정!$F$8="",H66&lt;설정!$F$8)),설정!$B$8,설정!$B$9)))))</f>
        <v/>
      </c>
      <c r="L66" s="37" t="str">
        <f aca="false">IF(OR(G66="",H66=""),"",IF(SUMPRODUCT(ISNUMBER(설정!$C$6:$D$8)*(ABS(G66-설정!$C$6:$D$8)&lt;=설정!$C$15))+SUMPRODUCT(ISNUMBER(설정!$E$6:$F$8)*(ABS(H66-설정!$E$6:$F$8)&lt;=설정!$C$15))&gt;0,"경계",""))</f>
        <v/>
      </c>
      <c r="M66" s="8"/>
      <c r="N66" s="8"/>
      <c r="O66" s="34" t="str">
        <f aca="false">IF(M66&lt;&gt;"",M66,K66)</f>
        <v/>
      </c>
      <c r="P66" s="38" t="str">
        <f aca="false">IF(I66="","",IF(G66="","공수1 미응시",IF(H66="","공수2 미응시","")))</f>
        <v/>
      </c>
      <c r="Q66" s="15" t="str">
        <f aca="false">IF(J66="","",J66+ROW()/100000)</f>
        <v/>
      </c>
    </row>
    <row r="67" customFormat="false" ht="15" hidden="false" customHeight="false" outlineLevel="0" collapsed="false">
      <c r="A67" s="6" t="n">
        <v>61</v>
      </c>
      <c r="B67" s="35" t="str">
        <f aca="false">IF(학생명단!B67="","",학생명단!B67)</f>
        <v/>
      </c>
      <c r="C67" s="35" t="str">
        <f aca="false">IF(학생명단!C67="","",학생명단!C67)</f>
        <v/>
      </c>
      <c r="D67" s="35" t="str">
        <f aca="false">IF(학생명단!D67="","",학생명단!D67)</f>
        <v/>
      </c>
      <c r="E67" s="35" t="str">
        <f aca="false">IF(학생명단!E67="","",학생명단!E67)</f>
        <v/>
      </c>
      <c r="F67" s="16" t="str">
        <f aca="false">IF(학생명단!F67="","",학생명단!F67)</f>
        <v/>
      </c>
      <c r="G67" s="35" t="str">
        <f aca="false">공수1!Y67</f>
        <v/>
      </c>
      <c r="H67" s="35" t="str">
        <f aca="false">공수2!Y67</f>
        <v/>
      </c>
      <c r="I67" s="36" t="str">
        <f aca="false">IF(AND(G67="",H67=""),"",N(G67)*설정!$C$13+N(H67)*설정!$C$14)</f>
        <v/>
      </c>
      <c r="J67" s="35" t="str">
        <f aca="false">IF(I67="","",COUNTIF($I$7:$I$86,"&gt;"&amp;I67)+1)</f>
        <v/>
      </c>
      <c r="K67" s="34" t="str">
        <f aca="false">IF(I67="","",IF(OR(G67="",H67=""),설정!$B$9,IF(AND(OR(설정!$C$6="",G67&gt;=설정!$C$6),OR(설정!$D$6="",G67&lt;설정!$D$6),OR(설정!$E$6="",H67&gt;=설정!$E$6),OR(설정!$F$6="",H67&lt;설정!$F$6)),설정!$B$6,IF(AND(OR(설정!$C$7="",G67&gt;=설정!$C$7),OR(설정!$D$7="",G67&lt;설정!$D$7),OR(설정!$E$7="",H67&gt;=설정!$E$7),OR(설정!$F$7="",H67&lt;설정!$F$7)),설정!$B$7,IF(AND(OR(설정!$C$8="",G67&gt;=설정!$C$8),OR(설정!$D$8="",G67&lt;설정!$D$8),OR(설정!$E$8="",H67&gt;=설정!$E$8),OR(설정!$F$8="",H67&lt;설정!$F$8)),설정!$B$8,설정!$B$9)))))</f>
        <v/>
      </c>
      <c r="L67" s="37" t="str">
        <f aca="false">IF(OR(G67="",H67=""),"",IF(SUMPRODUCT(ISNUMBER(설정!$C$6:$D$8)*(ABS(G67-설정!$C$6:$D$8)&lt;=설정!$C$15))+SUMPRODUCT(ISNUMBER(설정!$E$6:$F$8)*(ABS(H67-설정!$E$6:$F$8)&lt;=설정!$C$15))&gt;0,"경계",""))</f>
        <v/>
      </c>
      <c r="M67" s="8"/>
      <c r="N67" s="8"/>
      <c r="O67" s="34" t="str">
        <f aca="false">IF(M67&lt;&gt;"",M67,K67)</f>
        <v/>
      </c>
      <c r="P67" s="38" t="str">
        <f aca="false">IF(I67="","",IF(G67="","공수1 미응시",IF(H67="","공수2 미응시","")))</f>
        <v/>
      </c>
      <c r="Q67" s="15" t="str">
        <f aca="false">IF(J67="","",J67+ROW()/100000)</f>
        <v/>
      </c>
    </row>
    <row r="68" customFormat="false" ht="15" hidden="false" customHeight="false" outlineLevel="0" collapsed="false">
      <c r="A68" s="6" t="n">
        <v>62</v>
      </c>
      <c r="B68" s="35" t="str">
        <f aca="false">IF(학생명단!B68="","",학생명단!B68)</f>
        <v/>
      </c>
      <c r="C68" s="35" t="str">
        <f aca="false">IF(학생명단!C68="","",학생명단!C68)</f>
        <v/>
      </c>
      <c r="D68" s="35" t="str">
        <f aca="false">IF(학생명단!D68="","",학생명단!D68)</f>
        <v/>
      </c>
      <c r="E68" s="35" t="str">
        <f aca="false">IF(학생명단!E68="","",학생명단!E68)</f>
        <v/>
      </c>
      <c r="F68" s="16" t="str">
        <f aca="false">IF(학생명단!F68="","",학생명단!F68)</f>
        <v/>
      </c>
      <c r="G68" s="35" t="str">
        <f aca="false">공수1!Y68</f>
        <v/>
      </c>
      <c r="H68" s="35" t="str">
        <f aca="false">공수2!Y68</f>
        <v/>
      </c>
      <c r="I68" s="36" t="str">
        <f aca="false">IF(AND(G68="",H68=""),"",N(G68)*설정!$C$13+N(H68)*설정!$C$14)</f>
        <v/>
      </c>
      <c r="J68" s="35" t="str">
        <f aca="false">IF(I68="","",COUNTIF($I$7:$I$86,"&gt;"&amp;I68)+1)</f>
        <v/>
      </c>
      <c r="K68" s="34" t="str">
        <f aca="false">IF(I68="","",IF(OR(G68="",H68=""),설정!$B$9,IF(AND(OR(설정!$C$6="",G68&gt;=설정!$C$6),OR(설정!$D$6="",G68&lt;설정!$D$6),OR(설정!$E$6="",H68&gt;=설정!$E$6),OR(설정!$F$6="",H68&lt;설정!$F$6)),설정!$B$6,IF(AND(OR(설정!$C$7="",G68&gt;=설정!$C$7),OR(설정!$D$7="",G68&lt;설정!$D$7),OR(설정!$E$7="",H68&gt;=설정!$E$7),OR(설정!$F$7="",H68&lt;설정!$F$7)),설정!$B$7,IF(AND(OR(설정!$C$8="",G68&gt;=설정!$C$8),OR(설정!$D$8="",G68&lt;설정!$D$8),OR(설정!$E$8="",H68&gt;=설정!$E$8),OR(설정!$F$8="",H68&lt;설정!$F$8)),설정!$B$8,설정!$B$9)))))</f>
        <v/>
      </c>
      <c r="L68" s="37" t="str">
        <f aca="false">IF(OR(G68="",H68=""),"",IF(SUMPRODUCT(ISNUMBER(설정!$C$6:$D$8)*(ABS(G68-설정!$C$6:$D$8)&lt;=설정!$C$15))+SUMPRODUCT(ISNUMBER(설정!$E$6:$F$8)*(ABS(H68-설정!$E$6:$F$8)&lt;=설정!$C$15))&gt;0,"경계",""))</f>
        <v/>
      </c>
      <c r="M68" s="8"/>
      <c r="N68" s="8"/>
      <c r="O68" s="34" t="str">
        <f aca="false">IF(M68&lt;&gt;"",M68,K68)</f>
        <v/>
      </c>
      <c r="P68" s="38" t="str">
        <f aca="false">IF(I68="","",IF(G68="","공수1 미응시",IF(H68="","공수2 미응시","")))</f>
        <v/>
      </c>
      <c r="Q68" s="15" t="str">
        <f aca="false">IF(J68="","",J68+ROW()/100000)</f>
        <v/>
      </c>
    </row>
    <row r="69" customFormat="false" ht="15" hidden="false" customHeight="false" outlineLevel="0" collapsed="false">
      <c r="A69" s="6" t="n">
        <v>63</v>
      </c>
      <c r="B69" s="35" t="str">
        <f aca="false">IF(학생명단!B69="","",학생명단!B69)</f>
        <v/>
      </c>
      <c r="C69" s="35" t="str">
        <f aca="false">IF(학생명단!C69="","",학생명단!C69)</f>
        <v/>
      </c>
      <c r="D69" s="35" t="str">
        <f aca="false">IF(학생명단!D69="","",학생명단!D69)</f>
        <v/>
      </c>
      <c r="E69" s="35" t="str">
        <f aca="false">IF(학생명단!E69="","",학생명단!E69)</f>
        <v/>
      </c>
      <c r="F69" s="16" t="str">
        <f aca="false">IF(학생명단!F69="","",학생명단!F69)</f>
        <v/>
      </c>
      <c r="G69" s="35" t="str">
        <f aca="false">공수1!Y69</f>
        <v/>
      </c>
      <c r="H69" s="35" t="str">
        <f aca="false">공수2!Y69</f>
        <v/>
      </c>
      <c r="I69" s="36" t="str">
        <f aca="false">IF(AND(G69="",H69=""),"",N(G69)*설정!$C$13+N(H69)*설정!$C$14)</f>
        <v/>
      </c>
      <c r="J69" s="35" t="str">
        <f aca="false">IF(I69="","",COUNTIF($I$7:$I$86,"&gt;"&amp;I69)+1)</f>
        <v/>
      </c>
      <c r="K69" s="34" t="str">
        <f aca="false">IF(I69="","",IF(OR(G69="",H69=""),설정!$B$9,IF(AND(OR(설정!$C$6="",G69&gt;=설정!$C$6),OR(설정!$D$6="",G69&lt;설정!$D$6),OR(설정!$E$6="",H69&gt;=설정!$E$6),OR(설정!$F$6="",H69&lt;설정!$F$6)),설정!$B$6,IF(AND(OR(설정!$C$7="",G69&gt;=설정!$C$7),OR(설정!$D$7="",G69&lt;설정!$D$7),OR(설정!$E$7="",H69&gt;=설정!$E$7),OR(설정!$F$7="",H69&lt;설정!$F$7)),설정!$B$7,IF(AND(OR(설정!$C$8="",G69&gt;=설정!$C$8),OR(설정!$D$8="",G69&lt;설정!$D$8),OR(설정!$E$8="",H69&gt;=설정!$E$8),OR(설정!$F$8="",H69&lt;설정!$F$8)),설정!$B$8,설정!$B$9)))))</f>
        <v/>
      </c>
      <c r="L69" s="37" t="str">
        <f aca="false">IF(OR(G69="",H69=""),"",IF(SUMPRODUCT(ISNUMBER(설정!$C$6:$D$8)*(ABS(G69-설정!$C$6:$D$8)&lt;=설정!$C$15))+SUMPRODUCT(ISNUMBER(설정!$E$6:$F$8)*(ABS(H69-설정!$E$6:$F$8)&lt;=설정!$C$15))&gt;0,"경계",""))</f>
        <v/>
      </c>
      <c r="M69" s="8"/>
      <c r="N69" s="8"/>
      <c r="O69" s="34" t="str">
        <f aca="false">IF(M69&lt;&gt;"",M69,K69)</f>
        <v/>
      </c>
      <c r="P69" s="38" t="str">
        <f aca="false">IF(I69="","",IF(G69="","공수1 미응시",IF(H69="","공수2 미응시","")))</f>
        <v/>
      </c>
      <c r="Q69" s="15" t="str">
        <f aca="false">IF(J69="","",J69+ROW()/100000)</f>
        <v/>
      </c>
    </row>
    <row r="70" customFormat="false" ht="15" hidden="false" customHeight="false" outlineLevel="0" collapsed="false">
      <c r="A70" s="6" t="n">
        <v>64</v>
      </c>
      <c r="B70" s="35" t="str">
        <f aca="false">IF(학생명단!B70="","",학생명단!B70)</f>
        <v/>
      </c>
      <c r="C70" s="35" t="str">
        <f aca="false">IF(학생명단!C70="","",학생명단!C70)</f>
        <v/>
      </c>
      <c r="D70" s="35" t="str">
        <f aca="false">IF(학생명단!D70="","",학생명단!D70)</f>
        <v/>
      </c>
      <c r="E70" s="35" t="str">
        <f aca="false">IF(학생명단!E70="","",학생명단!E70)</f>
        <v/>
      </c>
      <c r="F70" s="16" t="str">
        <f aca="false">IF(학생명단!F70="","",학생명단!F70)</f>
        <v/>
      </c>
      <c r="G70" s="35" t="str">
        <f aca="false">공수1!Y70</f>
        <v/>
      </c>
      <c r="H70" s="35" t="str">
        <f aca="false">공수2!Y70</f>
        <v/>
      </c>
      <c r="I70" s="36" t="str">
        <f aca="false">IF(AND(G70="",H70=""),"",N(G70)*설정!$C$13+N(H70)*설정!$C$14)</f>
        <v/>
      </c>
      <c r="J70" s="35" t="str">
        <f aca="false">IF(I70="","",COUNTIF($I$7:$I$86,"&gt;"&amp;I70)+1)</f>
        <v/>
      </c>
      <c r="K70" s="34" t="str">
        <f aca="false">IF(I70="","",IF(OR(G70="",H70=""),설정!$B$9,IF(AND(OR(설정!$C$6="",G70&gt;=설정!$C$6),OR(설정!$D$6="",G70&lt;설정!$D$6),OR(설정!$E$6="",H70&gt;=설정!$E$6),OR(설정!$F$6="",H70&lt;설정!$F$6)),설정!$B$6,IF(AND(OR(설정!$C$7="",G70&gt;=설정!$C$7),OR(설정!$D$7="",G70&lt;설정!$D$7),OR(설정!$E$7="",H70&gt;=설정!$E$7),OR(설정!$F$7="",H70&lt;설정!$F$7)),설정!$B$7,IF(AND(OR(설정!$C$8="",G70&gt;=설정!$C$8),OR(설정!$D$8="",G70&lt;설정!$D$8),OR(설정!$E$8="",H70&gt;=설정!$E$8),OR(설정!$F$8="",H70&lt;설정!$F$8)),설정!$B$8,설정!$B$9)))))</f>
        <v/>
      </c>
      <c r="L70" s="37" t="str">
        <f aca="false">IF(OR(G70="",H70=""),"",IF(SUMPRODUCT(ISNUMBER(설정!$C$6:$D$8)*(ABS(G70-설정!$C$6:$D$8)&lt;=설정!$C$15))+SUMPRODUCT(ISNUMBER(설정!$E$6:$F$8)*(ABS(H70-설정!$E$6:$F$8)&lt;=설정!$C$15))&gt;0,"경계",""))</f>
        <v/>
      </c>
      <c r="M70" s="8"/>
      <c r="N70" s="8"/>
      <c r="O70" s="34" t="str">
        <f aca="false">IF(M70&lt;&gt;"",M70,K70)</f>
        <v/>
      </c>
      <c r="P70" s="38" t="str">
        <f aca="false">IF(I70="","",IF(G70="","공수1 미응시",IF(H70="","공수2 미응시","")))</f>
        <v/>
      </c>
      <c r="Q70" s="15" t="str">
        <f aca="false">IF(J70="","",J70+ROW()/100000)</f>
        <v/>
      </c>
    </row>
    <row r="71" customFormat="false" ht="15" hidden="false" customHeight="false" outlineLevel="0" collapsed="false">
      <c r="A71" s="6" t="n">
        <v>65</v>
      </c>
      <c r="B71" s="35" t="str">
        <f aca="false">IF(학생명단!B71="","",학생명단!B71)</f>
        <v/>
      </c>
      <c r="C71" s="35" t="str">
        <f aca="false">IF(학생명단!C71="","",학생명단!C71)</f>
        <v/>
      </c>
      <c r="D71" s="35" t="str">
        <f aca="false">IF(학생명단!D71="","",학생명단!D71)</f>
        <v/>
      </c>
      <c r="E71" s="35" t="str">
        <f aca="false">IF(학생명단!E71="","",학생명단!E71)</f>
        <v/>
      </c>
      <c r="F71" s="16" t="str">
        <f aca="false">IF(학생명단!F71="","",학생명단!F71)</f>
        <v/>
      </c>
      <c r="G71" s="35" t="str">
        <f aca="false">공수1!Y71</f>
        <v/>
      </c>
      <c r="H71" s="35" t="str">
        <f aca="false">공수2!Y71</f>
        <v/>
      </c>
      <c r="I71" s="36" t="str">
        <f aca="false">IF(AND(G71="",H71=""),"",N(G71)*설정!$C$13+N(H71)*설정!$C$14)</f>
        <v/>
      </c>
      <c r="J71" s="35" t="str">
        <f aca="false">IF(I71="","",COUNTIF($I$7:$I$86,"&gt;"&amp;I71)+1)</f>
        <v/>
      </c>
      <c r="K71" s="34" t="str">
        <f aca="false">IF(I71="","",IF(OR(G71="",H71=""),설정!$B$9,IF(AND(OR(설정!$C$6="",G71&gt;=설정!$C$6),OR(설정!$D$6="",G71&lt;설정!$D$6),OR(설정!$E$6="",H71&gt;=설정!$E$6),OR(설정!$F$6="",H71&lt;설정!$F$6)),설정!$B$6,IF(AND(OR(설정!$C$7="",G71&gt;=설정!$C$7),OR(설정!$D$7="",G71&lt;설정!$D$7),OR(설정!$E$7="",H71&gt;=설정!$E$7),OR(설정!$F$7="",H71&lt;설정!$F$7)),설정!$B$7,IF(AND(OR(설정!$C$8="",G71&gt;=설정!$C$8),OR(설정!$D$8="",G71&lt;설정!$D$8),OR(설정!$E$8="",H71&gt;=설정!$E$8),OR(설정!$F$8="",H71&lt;설정!$F$8)),설정!$B$8,설정!$B$9)))))</f>
        <v/>
      </c>
      <c r="L71" s="37" t="str">
        <f aca="false">IF(OR(G71="",H71=""),"",IF(SUMPRODUCT(ISNUMBER(설정!$C$6:$D$8)*(ABS(G71-설정!$C$6:$D$8)&lt;=설정!$C$15))+SUMPRODUCT(ISNUMBER(설정!$E$6:$F$8)*(ABS(H71-설정!$E$6:$F$8)&lt;=설정!$C$15))&gt;0,"경계",""))</f>
        <v/>
      </c>
      <c r="M71" s="8"/>
      <c r="N71" s="8"/>
      <c r="O71" s="34" t="str">
        <f aca="false">IF(M71&lt;&gt;"",M71,K71)</f>
        <v/>
      </c>
      <c r="P71" s="38" t="str">
        <f aca="false">IF(I71="","",IF(G71="","공수1 미응시",IF(H71="","공수2 미응시","")))</f>
        <v/>
      </c>
      <c r="Q71" s="15" t="str">
        <f aca="false">IF(J71="","",J71+ROW()/100000)</f>
        <v/>
      </c>
    </row>
    <row r="72" customFormat="false" ht="15" hidden="false" customHeight="false" outlineLevel="0" collapsed="false">
      <c r="A72" s="6" t="n">
        <v>66</v>
      </c>
      <c r="B72" s="35" t="str">
        <f aca="false">IF(학생명단!B72="","",학생명단!B72)</f>
        <v/>
      </c>
      <c r="C72" s="35" t="str">
        <f aca="false">IF(학생명단!C72="","",학생명단!C72)</f>
        <v/>
      </c>
      <c r="D72" s="35" t="str">
        <f aca="false">IF(학생명단!D72="","",학생명단!D72)</f>
        <v/>
      </c>
      <c r="E72" s="35" t="str">
        <f aca="false">IF(학생명단!E72="","",학생명단!E72)</f>
        <v/>
      </c>
      <c r="F72" s="16" t="str">
        <f aca="false">IF(학생명단!F72="","",학생명단!F72)</f>
        <v/>
      </c>
      <c r="G72" s="35" t="str">
        <f aca="false">공수1!Y72</f>
        <v/>
      </c>
      <c r="H72" s="35" t="str">
        <f aca="false">공수2!Y72</f>
        <v/>
      </c>
      <c r="I72" s="36" t="str">
        <f aca="false">IF(AND(G72="",H72=""),"",N(G72)*설정!$C$13+N(H72)*설정!$C$14)</f>
        <v/>
      </c>
      <c r="J72" s="35" t="str">
        <f aca="false">IF(I72="","",COUNTIF($I$7:$I$86,"&gt;"&amp;I72)+1)</f>
        <v/>
      </c>
      <c r="K72" s="34" t="str">
        <f aca="false">IF(I72="","",IF(OR(G72="",H72=""),설정!$B$9,IF(AND(OR(설정!$C$6="",G72&gt;=설정!$C$6),OR(설정!$D$6="",G72&lt;설정!$D$6),OR(설정!$E$6="",H72&gt;=설정!$E$6),OR(설정!$F$6="",H72&lt;설정!$F$6)),설정!$B$6,IF(AND(OR(설정!$C$7="",G72&gt;=설정!$C$7),OR(설정!$D$7="",G72&lt;설정!$D$7),OR(설정!$E$7="",H72&gt;=설정!$E$7),OR(설정!$F$7="",H72&lt;설정!$F$7)),설정!$B$7,IF(AND(OR(설정!$C$8="",G72&gt;=설정!$C$8),OR(설정!$D$8="",G72&lt;설정!$D$8),OR(설정!$E$8="",H72&gt;=설정!$E$8),OR(설정!$F$8="",H72&lt;설정!$F$8)),설정!$B$8,설정!$B$9)))))</f>
        <v/>
      </c>
      <c r="L72" s="37" t="str">
        <f aca="false">IF(OR(G72="",H72=""),"",IF(SUMPRODUCT(ISNUMBER(설정!$C$6:$D$8)*(ABS(G72-설정!$C$6:$D$8)&lt;=설정!$C$15))+SUMPRODUCT(ISNUMBER(설정!$E$6:$F$8)*(ABS(H72-설정!$E$6:$F$8)&lt;=설정!$C$15))&gt;0,"경계",""))</f>
        <v/>
      </c>
      <c r="M72" s="8"/>
      <c r="N72" s="8"/>
      <c r="O72" s="34" t="str">
        <f aca="false">IF(M72&lt;&gt;"",M72,K72)</f>
        <v/>
      </c>
      <c r="P72" s="38" t="str">
        <f aca="false">IF(I72="","",IF(G72="","공수1 미응시",IF(H72="","공수2 미응시","")))</f>
        <v/>
      </c>
      <c r="Q72" s="15" t="str">
        <f aca="false">IF(J72="","",J72+ROW()/100000)</f>
        <v/>
      </c>
    </row>
    <row r="73" customFormat="false" ht="15" hidden="false" customHeight="false" outlineLevel="0" collapsed="false">
      <c r="A73" s="6" t="n">
        <v>67</v>
      </c>
      <c r="B73" s="35" t="str">
        <f aca="false">IF(학생명단!B73="","",학생명단!B73)</f>
        <v/>
      </c>
      <c r="C73" s="35" t="str">
        <f aca="false">IF(학생명단!C73="","",학생명단!C73)</f>
        <v/>
      </c>
      <c r="D73" s="35" t="str">
        <f aca="false">IF(학생명단!D73="","",학생명단!D73)</f>
        <v/>
      </c>
      <c r="E73" s="35" t="str">
        <f aca="false">IF(학생명단!E73="","",학생명단!E73)</f>
        <v/>
      </c>
      <c r="F73" s="16" t="str">
        <f aca="false">IF(학생명단!F73="","",학생명단!F73)</f>
        <v/>
      </c>
      <c r="G73" s="35" t="str">
        <f aca="false">공수1!Y73</f>
        <v/>
      </c>
      <c r="H73" s="35" t="str">
        <f aca="false">공수2!Y73</f>
        <v/>
      </c>
      <c r="I73" s="36" t="str">
        <f aca="false">IF(AND(G73="",H73=""),"",N(G73)*설정!$C$13+N(H73)*설정!$C$14)</f>
        <v/>
      </c>
      <c r="J73" s="35" t="str">
        <f aca="false">IF(I73="","",COUNTIF($I$7:$I$86,"&gt;"&amp;I73)+1)</f>
        <v/>
      </c>
      <c r="K73" s="34" t="str">
        <f aca="false">IF(I73="","",IF(OR(G73="",H73=""),설정!$B$9,IF(AND(OR(설정!$C$6="",G73&gt;=설정!$C$6),OR(설정!$D$6="",G73&lt;설정!$D$6),OR(설정!$E$6="",H73&gt;=설정!$E$6),OR(설정!$F$6="",H73&lt;설정!$F$6)),설정!$B$6,IF(AND(OR(설정!$C$7="",G73&gt;=설정!$C$7),OR(설정!$D$7="",G73&lt;설정!$D$7),OR(설정!$E$7="",H73&gt;=설정!$E$7),OR(설정!$F$7="",H73&lt;설정!$F$7)),설정!$B$7,IF(AND(OR(설정!$C$8="",G73&gt;=설정!$C$8),OR(설정!$D$8="",G73&lt;설정!$D$8),OR(설정!$E$8="",H73&gt;=설정!$E$8),OR(설정!$F$8="",H73&lt;설정!$F$8)),설정!$B$8,설정!$B$9)))))</f>
        <v/>
      </c>
      <c r="L73" s="37" t="str">
        <f aca="false">IF(OR(G73="",H73=""),"",IF(SUMPRODUCT(ISNUMBER(설정!$C$6:$D$8)*(ABS(G73-설정!$C$6:$D$8)&lt;=설정!$C$15))+SUMPRODUCT(ISNUMBER(설정!$E$6:$F$8)*(ABS(H73-설정!$E$6:$F$8)&lt;=설정!$C$15))&gt;0,"경계",""))</f>
        <v/>
      </c>
      <c r="M73" s="8"/>
      <c r="N73" s="8"/>
      <c r="O73" s="34" t="str">
        <f aca="false">IF(M73&lt;&gt;"",M73,K73)</f>
        <v/>
      </c>
      <c r="P73" s="38" t="str">
        <f aca="false">IF(I73="","",IF(G73="","공수1 미응시",IF(H73="","공수2 미응시","")))</f>
        <v/>
      </c>
      <c r="Q73" s="15" t="str">
        <f aca="false">IF(J73="","",J73+ROW()/100000)</f>
        <v/>
      </c>
    </row>
    <row r="74" customFormat="false" ht="15" hidden="false" customHeight="false" outlineLevel="0" collapsed="false">
      <c r="A74" s="6" t="n">
        <v>68</v>
      </c>
      <c r="B74" s="35" t="str">
        <f aca="false">IF(학생명단!B74="","",학생명단!B74)</f>
        <v/>
      </c>
      <c r="C74" s="35" t="str">
        <f aca="false">IF(학생명단!C74="","",학생명단!C74)</f>
        <v/>
      </c>
      <c r="D74" s="35" t="str">
        <f aca="false">IF(학생명단!D74="","",학생명단!D74)</f>
        <v/>
      </c>
      <c r="E74" s="35" t="str">
        <f aca="false">IF(학생명단!E74="","",학생명단!E74)</f>
        <v/>
      </c>
      <c r="F74" s="16" t="str">
        <f aca="false">IF(학생명단!F74="","",학생명단!F74)</f>
        <v/>
      </c>
      <c r="G74" s="35" t="str">
        <f aca="false">공수1!Y74</f>
        <v/>
      </c>
      <c r="H74" s="35" t="str">
        <f aca="false">공수2!Y74</f>
        <v/>
      </c>
      <c r="I74" s="36" t="str">
        <f aca="false">IF(AND(G74="",H74=""),"",N(G74)*설정!$C$13+N(H74)*설정!$C$14)</f>
        <v/>
      </c>
      <c r="J74" s="35" t="str">
        <f aca="false">IF(I74="","",COUNTIF($I$7:$I$86,"&gt;"&amp;I74)+1)</f>
        <v/>
      </c>
      <c r="K74" s="34" t="str">
        <f aca="false">IF(I74="","",IF(OR(G74="",H74=""),설정!$B$9,IF(AND(OR(설정!$C$6="",G74&gt;=설정!$C$6),OR(설정!$D$6="",G74&lt;설정!$D$6),OR(설정!$E$6="",H74&gt;=설정!$E$6),OR(설정!$F$6="",H74&lt;설정!$F$6)),설정!$B$6,IF(AND(OR(설정!$C$7="",G74&gt;=설정!$C$7),OR(설정!$D$7="",G74&lt;설정!$D$7),OR(설정!$E$7="",H74&gt;=설정!$E$7),OR(설정!$F$7="",H74&lt;설정!$F$7)),설정!$B$7,IF(AND(OR(설정!$C$8="",G74&gt;=설정!$C$8),OR(설정!$D$8="",G74&lt;설정!$D$8),OR(설정!$E$8="",H74&gt;=설정!$E$8),OR(설정!$F$8="",H74&lt;설정!$F$8)),설정!$B$8,설정!$B$9)))))</f>
        <v/>
      </c>
      <c r="L74" s="37" t="str">
        <f aca="false">IF(OR(G74="",H74=""),"",IF(SUMPRODUCT(ISNUMBER(설정!$C$6:$D$8)*(ABS(G74-설정!$C$6:$D$8)&lt;=설정!$C$15))+SUMPRODUCT(ISNUMBER(설정!$E$6:$F$8)*(ABS(H74-설정!$E$6:$F$8)&lt;=설정!$C$15))&gt;0,"경계",""))</f>
        <v/>
      </c>
      <c r="M74" s="8"/>
      <c r="N74" s="8"/>
      <c r="O74" s="34" t="str">
        <f aca="false">IF(M74&lt;&gt;"",M74,K74)</f>
        <v/>
      </c>
      <c r="P74" s="38" t="str">
        <f aca="false">IF(I74="","",IF(G74="","공수1 미응시",IF(H74="","공수2 미응시","")))</f>
        <v/>
      </c>
      <c r="Q74" s="15" t="str">
        <f aca="false">IF(J74="","",J74+ROW()/100000)</f>
        <v/>
      </c>
    </row>
    <row r="75" customFormat="false" ht="15" hidden="false" customHeight="false" outlineLevel="0" collapsed="false">
      <c r="A75" s="6" t="n">
        <v>69</v>
      </c>
      <c r="B75" s="35" t="str">
        <f aca="false">IF(학생명단!B75="","",학생명단!B75)</f>
        <v/>
      </c>
      <c r="C75" s="35" t="str">
        <f aca="false">IF(학생명단!C75="","",학생명단!C75)</f>
        <v/>
      </c>
      <c r="D75" s="35" t="str">
        <f aca="false">IF(학생명단!D75="","",학생명단!D75)</f>
        <v/>
      </c>
      <c r="E75" s="35" t="str">
        <f aca="false">IF(학생명단!E75="","",학생명단!E75)</f>
        <v/>
      </c>
      <c r="F75" s="16" t="str">
        <f aca="false">IF(학생명단!F75="","",학생명단!F75)</f>
        <v/>
      </c>
      <c r="G75" s="35" t="str">
        <f aca="false">공수1!Y75</f>
        <v/>
      </c>
      <c r="H75" s="35" t="str">
        <f aca="false">공수2!Y75</f>
        <v/>
      </c>
      <c r="I75" s="36" t="str">
        <f aca="false">IF(AND(G75="",H75=""),"",N(G75)*설정!$C$13+N(H75)*설정!$C$14)</f>
        <v/>
      </c>
      <c r="J75" s="35" t="str">
        <f aca="false">IF(I75="","",COUNTIF($I$7:$I$86,"&gt;"&amp;I75)+1)</f>
        <v/>
      </c>
      <c r="K75" s="34" t="str">
        <f aca="false">IF(I75="","",IF(OR(G75="",H75=""),설정!$B$9,IF(AND(OR(설정!$C$6="",G75&gt;=설정!$C$6),OR(설정!$D$6="",G75&lt;설정!$D$6),OR(설정!$E$6="",H75&gt;=설정!$E$6),OR(설정!$F$6="",H75&lt;설정!$F$6)),설정!$B$6,IF(AND(OR(설정!$C$7="",G75&gt;=설정!$C$7),OR(설정!$D$7="",G75&lt;설정!$D$7),OR(설정!$E$7="",H75&gt;=설정!$E$7),OR(설정!$F$7="",H75&lt;설정!$F$7)),설정!$B$7,IF(AND(OR(설정!$C$8="",G75&gt;=설정!$C$8),OR(설정!$D$8="",G75&lt;설정!$D$8),OR(설정!$E$8="",H75&gt;=설정!$E$8),OR(설정!$F$8="",H75&lt;설정!$F$8)),설정!$B$8,설정!$B$9)))))</f>
        <v/>
      </c>
      <c r="L75" s="37" t="str">
        <f aca="false">IF(OR(G75="",H75=""),"",IF(SUMPRODUCT(ISNUMBER(설정!$C$6:$D$8)*(ABS(G75-설정!$C$6:$D$8)&lt;=설정!$C$15))+SUMPRODUCT(ISNUMBER(설정!$E$6:$F$8)*(ABS(H75-설정!$E$6:$F$8)&lt;=설정!$C$15))&gt;0,"경계",""))</f>
        <v/>
      </c>
      <c r="M75" s="8"/>
      <c r="N75" s="8"/>
      <c r="O75" s="34" t="str">
        <f aca="false">IF(M75&lt;&gt;"",M75,K75)</f>
        <v/>
      </c>
      <c r="P75" s="38" t="str">
        <f aca="false">IF(I75="","",IF(G75="","공수1 미응시",IF(H75="","공수2 미응시","")))</f>
        <v/>
      </c>
      <c r="Q75" s="15" t="str">
        <f aca="false">IF(J75="","",J75+ROW()/100000)</f>
        <v/>
      </c>
    </row>
    <row r="76" customFormat="false" ht="15" hidden="false" customHeight="false" outlineLevel="0" collapsed="false">
      <c r="A76" s="6" t="n">
        <v>70</v>
      </c>
      <c r="B76" s="35" t="str">
        <f aca="false">IF(학생명단!B76="","",학생명단!B76)</f>
        <v/>
      </c>
      <c r="C76" s="35" t="str">
        <f aca="false">IF(학생명단!C76="","",학생명단!C76)</f>
        <v/>
      </c>
      <c r="D76" s="35" t="str">
        <f aca="false">IF(학생명단!D76="","",학생명단!D76)</f>
        <v/>
      </c>
      <c r="E76" s="35" t="str">
        <f aca="false">IF(학생명단!E76="","",학생명단!E76)</f>
        <v/>
      </c>
      <c r="F76" s="16" t="str">
        <f aca="false">IF(학생명단!F76="","",학생명단!F76)</f>
        <v/>
      </c>
      <c r="G76" s="35" t="str">
        <f aca="false">공수1!Y76</f>
        <v/>
      </c>
      <c r="H76" s="35" t="str">
        <f aca="false">공수2!Y76</f>
        <v/>
      </c>
      <c r="I76" s="36" t="str">
        <f aca="false">IF(AND(G76="",H76=""),"",N(G76)*설정!$C$13+N(H76)*설정!$C$14)</f>
        <v/>
      </c>
      <c r="J76" s="35" t="str">
        <f aca="false">IF(I76="","",COUNTIF($I$7:$I$86,"&gt;"&amp;I76)+1)</f>
        <v/>
      </c>
      <c r="K76" s="34" t="str">
        <f aca="false">IF(I76="","",IF(OR(G76="",H76=""),설정!$B$9,IF(AND(OR(설정!$C$6="",G76&gt;=설정!$C$6),OR(설정!$D$6="",G76&lt;설정!$D$6),OR(설정!$E$6="",H76&gt;=설정!$E$6),OR(설정!$F$6="",H76&lt;설정!$F$6)),설정!$B$6,IF(AND(OR(설정!$C$7="",G76&gt;=설정!$C$7),OR(설정!$D$7="",G76&lt;설정!$D$7),OR(설정!$E$7="",H76&gt;=설정!$E$7),OR(설정!$F$7="",H76&lt;설정!$F$7)),설정!$B$7,IF(AND(OR(설정!$C$8="",G76&gt;=설정!$C$8),OR(설정!$D$8="",G76&lt;설정!$D$8),OR(설정!$E$8="",H76&gt;=설정!$E$8),OR(설정!$F$8="",H76&lt;설정!$F$8)),설정!$B$8,설정!$B$9)))))</f>
        <v/>
      </c>
      <c r="L76" s="37" t="str">
        <f aca="false">IF(OR(G76="",H76=""),"",IF(SUMPRODUCT(ISNUMBER(설정!$C$6:$D$8)*(ABS(G76-설정!$C$6:$D$8)&lt;=설정!$C$15))+SUMPRODUCT(ISNUMBER(설정!$E$6:$F$8)*(ABS(H76-설정!$E$6:$F$8)&lt;=설정!$C$15))&gt;0,"경계",""))</f>
        <v/>
      </c>
      <c r="M76" s="8"/>
      <c r="N76" s="8"/>
      <c r="O76" s="34" t="str">
        <f aca="false">IF(M76&lt;&gt;"",M76,K76)</f>
        <v/>
      </c>
      <c r="P76" s="38" t="str">
        <f aca="false">IF(I76="","",IF(G76="","공수1 미응시",IF(H76="","공수2 미응시","")))</f>
        <v/>
      </c>
      <c r="Q76" s="15" t="str">
        <f aca="false">IF(J76="","",J76+ROW()/100000)</f>
        <v/>
      </c>
    </row>
    <row r="77" customFormat="false" ht="15" hidden="false" customHeight="false" outlineLevel="0" collapsed="false">
      <c r="A77" s="6" t="n">
        <v>71</v>
      </c>
      <c r="B77" s="35" t="str">
        <f aca="false">IF(학생명단!B77="","",학생명단!B77)</f>
        <v/>
      </c>
      <c r="C77" s="35" t="str">
        <f aca="false">IF(학생명단!C77="","",학생명단!C77)</f>
        <v/>
      </c>
      <c r="D77" s="35" t="str">
        <f aca="false">IF(학생명단!D77="","",학생명단!D77)</f>
        <v/>
      </c>
      <c r="E77" s="35" t="str">
        <f aca="false">IF(학생명단!E77="","",학생명단!E77)</f>
        <v/>
      </c>
      <c r="F77" s="16" t="str">
        <f aca="false">IF(학생명단!F77="","",학생명단!F77)</f>
        <v/>
      </c>
      <c r="G77" s="35" t="str">
        <f aca="false">공수1!Y77</f>
        <v/>
      </c>
      <c r="H77" s="35" t="str">
        <f aca="false">공수2!Y77</f>
        <v/>
      </c>
      <c r="I77" s="36" t="str">
        <f aca="false">IF(AND(G77="",H77=""),"",N(G77)*설정!$C$13+N(H77)*설정!$C$14)</f>
        <v/>
      </c>
      <c r="J77" s="35" t="str">
        <f aca="false">IF(I77="","",COUNTIF($I$7:$I$86,"&gt;"&amp;I77)+1)</f>
        <v/>
      </c>
      <c r="K77" s="34" t="str">
        <f aca="false">IF(I77="","",IF(OR(G77="",H77=""),설정!$B$9,IF(AND(OR(설정!$C$6="",G77&gt;=설정!$C$6),OR(설정!$D$6="",G77&lt;설정!$D$6),OR(설정!$E$6="",H77&gt;=설정!$E$6),OR(설정!$F$6="",H77&lt;설정!$F$6)),설정!$B$6,IF(AND(OR(설정!$C$7="",G77&gt;=설정!$C$7),OR(설정!$D$7="",G77&lt;설정!$D$7),OR(설정!$E$7="",H77&gt;=설정!$E$7),OR(설정!$F$7="",H77&lt;설정!$F$7)),설정!$B$7,IF(AND(OR(설정!$C$8="",G77&gt;=설정!$C$8),OR(설정!$D$8="",G77&lt;설정!$D$8),OR(설정!$E$8="",H77&gt;=설정!$E$8),OR(설정!$F$8="",H77&lt;설정!$F$8)),설정!$B$8,설정!$B$9)))))</f>
        <v/>
      </c>
      <c r="L77" s="37" t="str">
        <f aca="false">IF(OR(G77="",H77=""),"",IF(SUMPRODUCT(ISNUMBER(설정!$C$6:$D$8)*(ABS(G77-설정!$C$6:$D$8)&lt;=설정!$C$15))+SUMPRODUCT(ISNUMBER(설정!$E$6:$F$8)*(ABS(H77-설정!$E$6:$F$8)&lt;=설정!$C$15))&gt;0,"경계",""))</f>
        <v/>
      </c>
      <c r="M77" s="8"/>
      <c r="N77" s="8"/>
      <c r="O77" s="34" t="str">
        <f aca="false">IF(M77&lt;&gt;"",M77,K77)</f>
        <v/>
      </c>
      <c r="P77" s="38" t="str">
        <f aca="false">IF(I77="","",IF(G77="","공수1 미응시",IF(H77="","공수2 미응시","")))</f>
        <v/>
      </c>
      <c r="Q77" s="15" t="str">
        <f aca="false">IF(J77="","",J77+ROW()/100000)</f>
        <v/>
      </c>
    </row>
    <row r="78" customFormat="false" ht="15" hidden="false" customHeight="false" outlineLevel="0" collapsed="false">
      <c r="A78" s="6" t="n">
        <v>72</v>
      </c>
      <c r="B78" s="35" t="str">
        <f aca="false">IF(학생명단!B78="","",학생명단!B78)</f>
        <v/>
      </c>
      <c r="C78" s="35" t="str">
        <f aca="false">IF(학생명단!C78="","",학생명단!C78)</f>
        <v/>
      </c>
      <c r="D78" s="35" t="str">
        <f aca="false">IF(학생명단!D78="","",학생명단!D78)</f>
        <v/>
      </c>
      <c r="E78" s="35" t="str">
        <f aca="false">IF(학생명단!E78="","",학생명단!E78)</f>
        <v/>
      </c>
      <c r="F78" s="16" t="str">
        <f aca="false">IF(학생명단!F78="","",학생명단!F78)</f>
        <v/>
      </c>
      <c r="G78" s="35" t="str">
        <f aca="false">공수1!Y78</f>
        <v/>
      </c>
      <c r="H78" s="35" t="str">
        <f aca="false">공수2!Y78</f>
        <v/>
      </c>
      <c r="I78" s="36" t="str">
        <f aca="false">IF(AND(G78="",H78=""),"",N(G78)*설정!$C$13+N(H78)*설정!$C$14)</f>
        <v/>
      </c>
      <c r="J78" s="35" t="str">
        <f aca="false">IF(I78="","",COUNTIF($I$7:$I$86,"&gt;"&amp;I78)+1)</f>
        <v/>
      </c>
      <c r="K78" s="34" t="str">
        <f aca="false">IF(I78="","",IF(OR(G78="",H78=""),설정!$B$9,IF(AND(OR(설정!$C$6="",G78&gt;=설정!$C$6),OR(설정!$D$6="",G78&lt;설정!$D$6),OR(설정!$E$6="",H78&gt;=설정!$E$6),OR(설정!$F$6="",H78&lt;설정!$F$6)),설정!$B$6,IF(AND(OR(설정!$C$7="",G78&gt;=설정!$C$7),OR(설정!$D$7="",G78&lt;설정!$D$7),OR(설정!$E$7="",H78&gt;=설정!$E$7),OR(설정!$F$7="",H78&lt;설정!$F$7)),설정!$B$7,IF(AND(OR(설정!$C$8="",G78&gt;=설정!$C$8),OR(설정!$D$8="",G78&lt;설정!$D$8),OR(설정!$E$8="",H78&gt;=설정!$E$8),OR(설정!$F$8="",H78&lt;설정!$F$8)),설정!$B$8,설정!$B$9)))))</f>
        <v/>
      </c>
      <c r="L78" s="37" t="str">
        <f aca="false">IF(OR(G78="",H78=""),"",IF(SUMPRODUCT(ISNUMBER(설정!$C$6:$D$8)*(ABS(G78-설정!$C$6:$D$8)&lt;=설정!$C$15))+SUMPRODUCT(ISNUMBER(설정!$E$6:$F$8)*(ABS(H78-설정!$E$6:$F$8)&lt;=설정!$C$15))&gt;0,"경계",""))</f>
        <v/>
      </c>
      <c r="M78" s="8"/>
      <c r="N78" s="8"/>
      <c r="O78" s="34" t="str">
        <f aca="false">IF(M78&lt;&gt;"",M78,K78)</f>
        <v/>
      </c>
      <c r="P78" s="38" t="str">
        <f aca="false">IF(I78="","",IF(G78="","공수1 미응시",IF(H78="","공수2 미응시","")))</f>
        <v/>
      </c>
      <c r="Q78" s="15" t="str">
        <f aca="false">IF(J78="","",J78+ROW()/100000)</f>
        <v/>
      </c>
    </row>
    <row r="79" customFormat="false" ht="15" hidden="false" customHeight="false" outlineLevel="0" collapsed="false">
      <c r="A79" s="6" t="n">
        <v>73</v>
      </c>
      <c r="B79" s="35" t="str">
        <f aca="false">IF(학생명단!B79="","",학생명단!B79)</f>
        <v/>
      </c>
      <c r="C79" s="35" t="str">
        <f aca="false">IF(학생명단!C79="","",학생명단!C79)</f>
        <v/>
      </c>
      <c r="D79" s="35" t="str">
        <f aca="false">IF(학생명단!D79="","",학생명단!D79)</f>
        <v/>
      </c>
      <c r="E79" s="35" t="str">
        <f aca="false">IF(학생명단!E79="","",학생명단!E79)</f>
        <v/>
      </c>
      <c r="F79" s="16" t="str">
        <f aca="false">IF(학생명단!F79="","",학생명단!F79)</f>
        <v/>
      </c>
      <c r="G79" s="35" t="str">
        <f aca="false">공수1!Y79</f>
        <v/>
      </c>
      <c r="H79" s="35" t="str">
        <f aca="false">공수2!Y79</f>
        <v/>
      </c>
      <c r="I79" s="36" t="str">
        <f aca="false">IF(AND(G79="",H79=""),"",N(G79)*설정!$C$13+N(H79)*설정!$C$14)</f>
        <v/>
      </c>
      <c r="J79" s="35" t="str">
        <f aca="false">IF(I79="","",COUNTIF($I$7:$I$86,"&gt;"&amp;I79)+1)</f>
        <v/>
      </c>
      <c r="K79" s="34" t="str">
        <f aca="false">IF(I79="","",IF(OR(G79="",H79=""),설정!$B$9,IF(AND(OR(설정!$C$6="",G79&gt;=설정!$C$6),OR(설정!$D$6="",G79&lt;설정!$D$6),OR(설정!$E$6="",H79&gt;=설정!$E$6),OR(설정!$F$6="",H79&lt;설정!$F$6)),설정!$B$6,IF(AND(OR(설정!$C$7="",G79&gt;=설정!$C$7),OR(설정!$D$7="",G79&lt;설정!$D$7),OR(설정!$E$7="",H79&gt;=설정!$E$7),OR(설정!$F$7="",H79&lt;설정!$F$7)),설정!$B$7,IF(AND(OR(설정!$C$8="",G79&gt;=설정!$C$8),OR(설정!$D$8="",G79&lt;설정!$D$8),OR(설정!$E$8="",H79&gt;=설정!$E$8),OR(설정!$F$8="",H79&lt;설정!$F$8)),설정!$B$8,설정!$B$9)))))</f>
        <v/>
      </c>
      <c r="L79" s="37" t="str">
        <f aca="false">IF(OR(G79="",H79=""),"",IF(SUMPRODUCT(ISNUMBER(설정!$C$6:$D$8)*(ABS(G79-설정!$C$6:$D$8)&lt;=설정!$C$15))+SUMPRODUCT(ISNUMBER(설정!$E$6:$F$8)*(ABS(H79-설정!$E$6:$F$8)&lt;=설정!$C$15))&gt;0,"경계",""))</f>
        <v/>
      </c>
      <c r="M79" s="8"/>
      <c r="N79" s="8"/>
      <c r="O79" s="34" t="str">
        <f aca="false">IF(M79&lt;&gt;"",M79,K79)</f>
        <v/>
      </c>
      <c r="P79" s="38" t="str">
        <f aca="false">IF(I79="","",IF(G79="","공수1 미응시",IF(H79="","공수2 미응시","")))</f>
        <v/>
      </c>
      <c r="Q79" s="15" t="str">
        <f aca="false">IF(J79="","",J79+ROW()/100000)</f>
        <v/>
      </c>
    </row>
    <row r="80" customFormat="false" ht="15" hidden="false" customHeight="false" outlineLevel="0" collapsed="false">
      <c r="A80" s="6" t="n">
        <v>74</v>
      </c>
      <c r="B80" s="35" t="str">
        <f aca="false">IF(학생명단!B80="","",학생명단!B80)</f>
        <v/>
      </c>
      <c r="C80" s="35" t="str">
        <f aca="false">IF(학생명단!C80="","",학생명단!C80)</f>
        <v/>
      </c>
      <c r="D80" s="35" t="str">
        <f aca="false">IF(학생명단!D80="","",학생명단!D80)</f>
        <v/>
      </c>
      <c r="E80" s="35" t="str">
        <f aca="false">IF(학생명단!E80="","",학생명단!E80)</f>
        <v/>
      </c>
      <c r="F80" s="16" t="str">
        <f aca="false">IF(학생명단!F80="","",학생명단!F80)</f>
        <v/>
      </c>
      <c r="G80" s="35" t="str">
        <f aca="false">공수1!Y80</f>
        <v/>
      </c>
      <c r="H80" s="35" t="str">
        <f aca="false">공수2!Y80</f>
        <v/>
      </c>
      <c r="I80" s="36" t="str">
        <f aca="false">IF(AND(G80="",H80=""),"",N(G80)*설정!$C$13+N(H80)*설정!$C$14)</f>
        <v/>
      </c>
      <c r="J80" s="35" t="str">
        <f aca="false">IF(I80="","",COUNTIF($I$7:$I$86,"&gt;"&amp;I80)+1)</f>
        <v/>
      </c>
      <c r="K80" s="34" t="str">
        <f aca="false">IF(I80="","",IF(OR(G80="",H80=""),설정!$B$9,IF(AND(OR(설정!$C$6="",G80&gt;=설정!$C$6),OR(설정!$D$6="",G80&lt;설정!$D$6),OR(설정!$E$6="",H80&gt;=설정!$E$6),OR(설정!$F$6="",H80&lt;설정!$F$6)),설정!$B$6,IF(AND(OR(설정!$C$7="",G80&gt;=설정!$C$7),OR(설정!$D$7="",G80&lt;설정!$D$7),OR(설정!$E$7="",H80&gt;=설정!$E$7),OR(설정!$F$7="",H80&lt;설정!$F$7)),설정!$B$7,IF(AND(OR(설정!$C$8="",G80&gt;=설정!$C$8),OR(설정!$D$8="",G80&lt;설정!$D$8),OR(설정!$E$8="",H80&gt;=설정!$E$8),OR(설정!$F$8="",H80&lt;설정!$F$8)),설정!$B$8,설정!$B$9)))))</f>
        <v/>
      </c>
      <c r="L80" s="37" t="str">
        <f aca="false">IF(OR(G80="",H80=""),"",IF(SUMPRODUCT(ISNUMBER(설정!$C$6:$D$8)*(ABS(G80-설정!$C$6:$D$8)&lt;=설정!$C$15))+SUMPRODUCT(ISNUMBER(설정!$E$6:$F$8)*(ABS(H80-설정!$E$6:$F$8)&lt;=설정!$C$15))&gt;0,"경계",""))</f>
        <v/>
      </c>
      <c r="M80" s="8"/>
      <c r="N80" s="8"/>
      <c r="O80" s="34" t="str">
        <f aca="false">IF(M80&lt;&gt;"",M80,K80)</f>
        <v/>
      </c>
      <c r="P80" s="38" t="str">
        <f aca="false">IF(I80="","",IF(G80="","공수1 미응시",IF(H80="","공수2 미응시","")))</f>
        <v/>
      </c>
      <c r="Q80" s="15" t="str">
        <f aca="false">IF(J80="","",J80+ROW()/100000)</f>
        <v/>
      </c>
    </row>
    <row r="81" customFormat="false" ht="15" hidden="false" customHeight="false" outlineLevel="0" collapsed="false">
      <c r="A81" s="6" t="n">
        <v>75</v>
      </c>
      <c r="B81" s="35" t="str">
        <f aca="false">IF(학생명단!B81="","",학생명단!B81)</f>
        <v/>
      </c>
      <c r="C81" s="35" t="str">
        <f aca="false">IF(학생명단!C81="","",학생명단!C81)</f>
        <v/>
      </c>
      <c r="D81" s="35" t="str">
        <f aca="false">IF(학생명단!D81="","",학생명단!D81)</f>
        <v/>
      </c>
      <c r="E81" s="35" t="str">
        <f aca="false">IF(학생명단!E81="","",학생명단!E81)</f>
        <v/>
      </c>
      <c r="F81" s="16" t="str">
        <f aca="false">IF(학생명단!F81="","",학생명단!F81)</f>
        <v/>
      </c>
      <c r="G81" s="35" t="str">
        <f aca="false">공수1!Y81</f>
        <v/>
      </c>
      <c r="H81" s="35" t="str">
        <f aca="false">공수2!Y81</f>
        <v/>
      </c>
      <c r="I81" s="36" t="str">
        <f aca="false">IF(AND(G81="",H81=""),"",N(G81)*설정!$C$13+N(H81)*설정!$C$14)</f>
        <v/>
      </c>
      <c r="J81" s="35" t="str">
        <f aca="false">IF(I81="","",COUNTIF($I$7:$I$86,"&gt;"&amp;I81)+1)</f>
        <v/>
      </c>
      <c r="K81" s="34" t="str">
        <f aca="false">IF(I81="","",IF(OR(G81="",H81=""),설정!$B$9,IF(AND(OR(설정!$C$6="",G81&gt;=설정!$C$6),OR(설정!$D$6="",G81&lt;설정!$D$6),OR(설정!$E$6="",H81&gt;=설정!$E$6),OR(설정!$F$6="",H81&lt;설정!$F$6)),설정!$B$6,IF(AND(OR(설정!$C$7="",G81&gt;=설정!$C$7),OR(설정!$D$7="",G81&lt;설정!$D$7),OR(설정!$E$7="",H81&gt;=설정!$E$7),OR(설정!$F$7="",H81&lt;설정!$F$7)),설정!$B$7,IF(AND(OR(설정!$C$8="",G81&gt;=설정!$C$8),OR(설정!$D$8="",G81&lt;설정!$D$8),OR(설정!$E$8="",H81&gt;=설정!$E$8),OR(설정!$F$8="",H81&lt;설정!$F$8)),설정!$B$8,설정!$B$9)))))</f>
        <v/>
      </c>
      <c r="L81" s="37" t="str">
        <f aca="false">IF(OR(G81="",H81=""),"",IF(SUMPRODUCT(ISNUMBER(설정!$C$6:$D$8)*(ABS(G81-설정!$C$6:$D$8)&lt;=설정!$C$15))+SUMPRODUCT(ISNUMBER(설정!$E$6:$F$8)*(ABS(H81-설정!$E$6:$F$8)&lt;=설정!$C$15))&gt;0,"경계",""))</f>
        <v/>
      </c>
      <c r="M81" s="8"/>
      <c r="N81" s="8"/>
      <c r="O81" s="34" t="str">
        <f aca="false">IF(M81&lt;&gt;"",M81,K81)</f>
        <v/>
      </c>
      <c r="P81" s="38" t="str">
        <f aca="false">IF(I81="","",IF(G81="","공수1 미응시",IF(H81="","공수2 미응시","")))</f>
        <v/>
      </c>
      <c r="Q81" s="15" t="str">
        <f aca="false">IF(J81="","",J81+ROW()/100000)</f>
        <v/>
      </c>
    </row>
    <row r="82" customFormat="false" ht="15" hidden="false" customHeight="false" outlineLevel="0" collapsed="false">
      <c r="A82" s="6" t="n">
        <v>76</v>
      </c>
      <c r="B82" s="35" t="str">
        <f aca="false">IF(학생명단!B82="","",학생명단!B82)</f>
        <v/>
      </c>
      <c r="C82" s="35" t="str">
        <f aca="false">IF(학생명단!C82="","",학생명단!C82)</f>
        <v/>
      </c>
      <c r="D82" s="35" t="str">
        <f aca="false">IF(학생명단!D82="","",학생명단!D82)</f>
        <v/>
      </c>
      <c r="E82" s="35" t="str">
        <f aca="false">IF(학생명단!E82="","",학생명단!E82)</f>
        <v/>
      </c>
      <c r="F82" s="16" t="str">
        <f aca="false">IF(학생명단!F82="","",학생명단!F82)</f>
        <v/>
      </c>
      <c r="G82" s="35" t="str">
        <f aca="false">공수1!Y82</f>
        <v/>
      </c>
      <c r="H82" s="35" t="str">
        <f aca="false">공수2!Y82</f>
        <v/>
      </c>
      <c r="I82" s="36" t="str">
        <f aca="false">IF(AND(G82="",H82=""),"",N(G82)*설정!$C$13+N(H82)*설정!$C$14)</f>
        <v/>
      </c>
      <c r="J82" s="35" t="str">
        <f aca="false">IF(I82="","",COUNTIF($I$7:$I$86,"&gt;"&amp;I82)+1)</f>
        <v/>
      </c>
      <c r="K82" s="34" t="str">
        <f aca="false">IF(I82="","",IF(OR(G82="",H82=""),설정!$B$9,IF(AND(OR(설정!$C$6="",G82&gt;=설정!$C$6),OR(설정!$D$6="",G82&lt;설정!$D$6),OR(설정!$E$6="",H82&gt;=설정!$E$6),OR(설정!$F$6="",H82&lt;설정!$F$6)),설정!$B$6,IF(AND(OR(설정!$C$7="",G82&gt;=설정!$C$7),OR(설정!$D$7="",G82&lt;설정!$D$7),OR(설정!$E$7="",H82&gt;=설정!$E$7),OR(설정!$F$7="",H82&lt;설정!$F$7)),설정!$B$7,IF(AND(OR(설정!$C$8="",G82&gt;=설정!$C$8),OR(설정!$D$8="",G82&lt;설정!$D$8),OR(설정!$E$8="",H82&gt;=설정!$E$8),OR(설정!$F$8="",H82&lt;설정!$F$8)),설정!$B$8,설정!$B$9)))))</f>
        <v/>
      </c>
      <c r="L82" s="37" t="str">
        <f aca="false">IF(OR(G82="",H82=""),"",IF(SUMPRODUCT(ISNUMBER(설정!$C$6:$D$8)*(ABS(G82-설정!$C$6:$D$8)&lt;=설정!$C$15))+SUMPRODUCT(ISNUMBER(설정!$E$6:$F$8)*(ABS(H82-설정!$E$6:$F$8)&lt;=설정!$C$15))&gt;0,"경계",""))</f>
        <v/>
      </c>
      <c r="M82" s="8"/>
      <c r="N82" s="8"/>
      <c r="O82" s="34" t="str">
        <f aca="false">IF(M82&lt;&gt;"",M82,K82)</f>
        <v/>
      </c>
      <c r="P82" s="38" t="str">
        <f aca="false">IF(I82="","",IF(G82="","공수1 미응시",IF(H82="","공수2 미응시","")))</f>
        <v/>
      </c>
      <c r="Q82" s="15" t="str">
        <f aca="false">IF(J82="","",J82+ROW()/100000)</f>
        <v/>
      </c>
    </row>
    <row r="83" customFormat="false" ht="15" hidden="false" customHeight="false" outlineLevel="0" collapsed="false">
      <c r="A83" s="6" t="n">
        <v>77</v>
      </c>
      <c r="B83" s="35" t="str">
        <f aca="false">IF(학생명단!B83="","",학생명단!B83)</f>
        <v/>
      </c>
      <c r="C83" s="35" t="str">
        <f aca="false">IF(학생명단!C83="","",학생명단!C83)</f>
        <v/>
      </c>
      <c r="D83" s="35" t="str">
        <f aca="false">IF(학생명단!D83="","",학생명단!D83)</f>
        <v/>
      </c>
      <c r="E83" s="35" t="str">
        <f aca="false">IF(학생명단!E83="","",학생명단!E83)</f>
        <v/>
      </c>
      <c r="F83" s="16" t="str">
        <f aca="false">IF(학생명단!F83="","",학생명단!F83)</f>
        <v/>
      </c>
      <c r="G83" s="35" t="str">
        <f aca="false">공수1!Y83</f>
        <v/>
      </c>
      <c r="H83" s="35" t="str">
        <f aca="false">공수2!Y83</f>
        <v/>
      </c>
      <c r="I83" s="36" t="str">
        <f aca="false">IF(AND(G83="",H83=""),"",N(G83)*설정!$C$13+N(H83)*설정!$C$14)</f>
        <v/>
      </c>
      <c r="J83" s="35" t="str">
        <f aca="false">IF(I83="","",COUNTIF($I$7:$I$86,"&gt;"&amp;I83)+1)</f>
        <v/>
      </c>
      <c r="K83" s="34" t="str">
        <f aca="false">IF(I83="","",IF(OR(G83="",H83=""),설정!$B$9,IF(AND(OR(설정!$C$6="",G83&gt;=설정!$C$6),OR(설정!$D$6="",G83&lt;설정!$D$6),OR(설정!$E$6="",H83&gt;=설정!$E$6),OR(설정!$F$6="",H83&lt;설정!$F$6)),설정!$B$6,IF(AND(OR(설정!$C$7="",G83&gt;=설정!$C$7),OR(설정!$D$7="",G83&lt;설정!$D$7),OR(설정!$E$7="",H83&gt;=설정!$E$7),OR(설정!$F$7="",H83&lt;설정!$F$7)),설정!$B$7,IF(AND(OR(설정!$C$8="",G83&gt;=설정!$C$8),OR(설정!$D$8="",G83&lt;설정!$D$8),OR(설정!$E$8="",H83&gt;=설정!$E$8),OR(설정!$F$8="",H83&lt;설정!$F$8)),설정!$B$8,설정!$B$9)))))</f>
        <v/>
      </c>
      <c r="L83" s="37" t="str">
        <f aca="false">IF(OR(G83="",H83=""),"",IF(SUMPRODUCT(ISNUMBER(설정!$C$6:$D$8)*(ABS(G83-설정!$C$6:$D$8)&lt;=설정!$C$15))+SUMPRODUCT(ISNUMBER(설정!$E$6:$F$8)*(ABS(H83-설정!$E$6:$F$8)&lt;=설정!$C$15))&gt;0,"경계",""))</f>
        <v/>
      </c>
      <c r="M83" s="8"/>
      <c r="N83" s="8"/>
      <c r="O83" s="34" t="str">
        <f aca="false">IF(M83&lt;&gt;"",M83,K83)</f>
        <v/>
      </c>
      <c r="P83" s="38" t="str">
        <f aca="false">IF(I83="","",IF(G83="","공수1 미응시",IF(H83="","공수2 미응시","")))</f>
        <v/>
      </c>
      <c r="Q83" s="15" t="str">
        <f aca="false">IF(J83="","",J83+ROW()/100000)</f>
        <v/>
      </c>
    </row>
    <row r="84" customFormat="false" ht="15" hidden="false" customHeight="false" outlineLevel="0" collapsed="false">
      <c r="A84" s="6" t="n">
        <v>78</v>
      </c>
      <c r="B84" s="35" t="str">
        <f aca="false">IF(학생명단!B84="","",학생명단!B84)</f>
        <v/>
      </c>
      <c r="C84" s="35" t="str">
        <f aca="false">IF(학생명단!C84="","",학생명단!C84)</f>
        <v/>
      </c>
      <c r="D84" s="35" t="str">
        <f aca="false">IF(학생명단!D84="","",학생명단!D84)</f>
        <v/>
      </c>
      <c r="E84" s="35" t="str">
        <f aca="false">IF(학생명단!E84="","",학생명단!E84)</f>
        <v/>
      </c>
      <c r="F84" s="16" t="str">
        <f aca="false">IF(학생명단!F84="","",학생명단!F84)</f>
        <v/>
      </c>
      <c r="G84" s="35" t="str">
        <f aca="false">공수1!Y84</f>
        <v/>
      </c>
      <c r="H84" s="35" t="str">
        <f aca="false">공수2!Y84</f>
        <v/>
      </c>
      <c r="I84" s="36" t="str">
        <f aca="false">IF(AND(G84="",H84=""),"",N(G84)*설정!$C$13+N(H84)*설정!$C$14)</f>
        <v/>
      </c>
      <c r="J84" s="35" t="str">
        <f aca="false">IF(I84="","",COUNTIF($I$7:$I$86,"&gt;"&amp;I84)+1)</f>
        <v/>
      </c>
      <c r="K84" s="34" t="str">
        <f aca="false">IF(I84="","",IF(OR(G84="",H84=""),설정!$B$9,IF(AND(OR(설정!$C$6="",G84&gt;=설정!$C$6),OR(설정!$D$6="",G84&lt;설정!$D$6),OR(설정!$E$6="",H84&gt;=설정!$E$6),OR(설정!$F$6="",H84&lt;설정!$F$6)),설정!$B$6,IF(AND(OR(설정!$C$7="",G84&gt;=설정!$C$7),OR(설정!$D$7="",G84&lt;설정!$D$7),OR(설정!$E$7="",H84&gt;=설정!$E$7),OR(설정!$F$7="",H84&lt;설정!$F$7)),설정!$B$7,IF(AND(OR(설정!$C$8="",G84&gt;=설정!$C$8),OR(설정!$D$8="",G84&lt;설정!$D$8),OR(설정!$E$8="",H84&gt;=설정!$E$8),OR(설정!$F$8="",H84&lt;설정!$F$8)),설정!$B$8,설정!$B$9)))))</f>
        <v/>
      </c>
      <c r="L84" s="37" t="str">
        <f aca="false">IF(OR(G84="",H84=""),"",IF(SUMPRODUCT(ISNUMBER(설정!$C$6:$D$8)*(ABS(G84-설정!$C$6:$D$8)&lt;=설정!$C$15))+SUMPRODUCT(ISNUMBER(설정!$E$6:$F$8)*(ABS(H84-설정!$E$6:$F$8)&lt;=설정!$C$15))&gt;0,"경계",""))</f>
        <v/>
      </c>
      <c r="M84" s="8"/>
      <c r="N84" s="8"/>
      <c r="O84" s="34" t="str">
        <f aca="false">IF(M84&lt;&gt;"",M84,K84)</f>
        <v/>
      </c>
      <c r="P84" s="38" t="str">
        <f aca="false">IF(I84="","",IF(G84="","공수1 미응시",IF(H84="","공수2 미응시","")))</f>
        <v/>
      </c>
      <c r="Q84" s="15" t="str">
        <f aca="false">IF(J84="","",J84+ROW()/100000)</f>
        <v/>
      </c>
    </row>
    <row r="85" customFormat="false" ht="15" hidden="false" customHeight="false" outlineLevel="0" collapsed="false">
      <c r="A85" s="6" t="n">
        <v>79</v>
      </c>
      <c r="B85" s="35" t="str">
        <f aca="false">IF(학생명단!B85="","",학생명단!B85)</f>
        <v/>
      </c>
      <c r="C85" s="35" t="str">
        <f aca="false">IF(학생명단!C85="","",학생명단!C85)</f>
        <v/>
      </c>
      <c r="D85" s="35" t="str">
        <f aca="false">IF(학생명단!D85="","",학생명단!D85)</f>
        <v/>
      </c>
      <c r="E85" s="35" t="str">
        <f aca="false">IF(학생명단!E85="","",학생명단!E85)</f>
        <v/>
      </c>
      <c r="F85" s="16" t="str">
        <f aca="false">IF(학생명단!F85="","",학생명단!F85)</f>
        <v/>
      </c>
      <c r="G85" s="35" t="str">
        <f aca="false">공수1!Y85</f>
        <v/>
      </c>
      <c r="H85" s="35" t="str">
        <f aca="false">공수2!Y85</f>
        <v/>
      </c>
      <c r="I85" s="36" t="str">
        <f aca="false">IF(AND(G85="",H85=""),"",N(G85)*설정!$C$13+N(H85)*설정!$C$14)</f>
        <v/>
      </c>
      <c r="J85" s="35" t="str">
        <f aca="false">IF(I85="","",COUNTIF($I$7:$I$86,"&gt;"&amp;I85)+1)</f>
        <v/>
      </c>
      <c r="K85" s="34" t="str">
        <f aca="false">IF(I85="","",IF(OR(G85="",H85=""),설정!$B$9,IF(AND(OR(설정!$C$6="",G85&gt;=설정!$C$6),OR(설정!$D$6="",G85&lt;설정!$D$6),OR(설정!$E$6="",H85&gt;=설정!$E$6),OR(설정!$F$6="",H85&lt;설정!$F$6)),설정!$B$6,IF(AND(OR(설정!$C$7="",G85&gt;=설정!$C$7),OR(설정!$D$7="",G85&lt;설정!$D$7),OR(설정!$E$7="",H85&gt;=설정!$E$7),OR(설정!$F$7="",H85&lt;설정!$F$7)),설정!$B$7,IF(AND(OR(설정!$C$8="",G85&gt;=설정!$C$8),OR(설정!$D$8="",G85&lt;설정!$D$8),OR(설정!$E$8="",H85&gt;=설정!$E$8),OR(설정!$F$8="",H85&lt;설정!$F$8)),설정!$B$8,설정!$B$9)))))</f>
        <v/>
      </c>
      <c r="L85" s="37" t="str">
        <f aca="false">IF(OR(G85="",H85=""),"",IF(SUMPRODUCT(ISNUMBER(설정!$C$6:$D$8)*(ABS(G85-설정!$C$6:$D$8)&lt;=설정!$C$15))+SUMPRODUCT(ISNUMBER(설정!$E$6:$F$8)*(ABS(H85-설정!$E$6:$F$8)&lt;=설정!$C$15))&gt;0,"경계",""))</f>
        <v/>
      </c>
      <c r="M85" s="8"/>
      <c r="N85" s="8"/>
      <c r="O85" s="34" t="str">
        <f aca="false">IF(M85&lt;&gt;"",M85,K85)</f>
        <v/>
      </c>
      <c r="P85" s="38" t="str">
        <f aca="false">IF(I85="","",IF(G85="","공수1 미응시",IF(H85="","공수2 미응시","")))</f>
        <v/>
      </c>
      <c r="Q85" s="15" t="str">
        <f aca="false">IF(J85="","",J85+ROW()/100000)</f>
        <v/>
      </c>
    </row>
    <row r="86" customFormat="false" ht="15" hidden="false" customHeight="false" outlineLevel="0" collapsed="false">
      <c r="A86" s="6" t="n">
        <v>80</v>
      </c>
      <c r="B86" s="35" t="str">
        <f aca="false">IF(학생명단!B86="","",학생명단!B86)</f>
        <v/>
      </c>
      <c r="C86" s="35" t="str">
        <f aca="false">IF(학생명단!C86="","",학생명단!C86)</f>
        <v/>
      </c>
      <c r="D86" s="35" t="str">
        <f aca="false">IF(학생명단!D86="","",학생명단!D86)</f>
        <v/>
      </c>
      <c r="E86" s="35" t="str">
        <f aca="false">IF(학생명단!E86="","",학생명단!E86)</f>
        <v/>
      </c>
      <c r="F86" s="16" t="str">
        <f aca="false">IF(학생명단!F86="","",학생명단!F86)</f>
        <v/>
      </c>
      <c r="G86" s="35" t="str">
        <f aca="false">공수1!Y86</f>
        <v/>
      </c>
      <c r="H86" s="35" t="str">
        <f aca="false">공수2!Y86</f>
        <v/>
      </c>
      <c r="I86" s="36" t="str">
        <f aca="false">IF(AND(G86="",H86=""),"",N(G86)*설정!$C$13+N(H86)*설정!$C$14)</f>
        <v/>
      </c>
      <c r="J86" s="35" t="str">
        <f aca="false">IF(I86="","",COUNTIF($I$7:$I$86,"&gt;"&amp;I86)+1)</f>
        <v/>
      </c>
      <c r="K86" s="34" t="str">
        <f aca="false">IF(I86="","",IF(OR(G86="",H86=""),설정!$B$9,IF(AND(OR(설정!$C$6="",G86&gt;=설정!$C$6),OR(설정!$D$6="",G86&lt;설정!$D$6),OR(설정!$E$6="",H86&gt;=설정!$E$6),OR(설정!$F$6="",H86&lt;설정!$F$6)),설정!$B$6,IF(AND(OR(설정!$C$7="",G86&gt;=설정!$C$7),OR(설정!$D$7="",G86&lt;설정!$D$7),OR(설정!$E$7="",H86&gt;=설정!$E$7),OR(설정!$F$7="",H86&lt;설정!$F$7)),설정!$B$7,IF(AND(OR(설정!$C$8="",G86&gt;=설정!$C$8),OR(설정!$D$8="",G86&lt;설정!$D$8),OR(설정!$E$8="",H86&gt;=설정!$E$8),OR(설정!$F$8="",H86&lt;설정!$F$8)),설정!$B$8,설정!$B$9)))))</f>
        <v/>
      </c>
      <c r="L86" s="37" t="str">
        <f aca="false">IF(OR(G86="",H86=""),"",IF(SUMPRODUCT(ISNUMBER(설정!$C$6:$D$8)*(ABS(G86-설정!$C$6:$D$8)&lt;=설정!$C$15))+SUMPRODUCT(ISNUMBER(설정!$E$6:$F$8)*(ABS(H86-설정!$E$6:$F$8)&lt;=설정!$C$15))&gt;0,"경계",""))</f>
        <v/>
      </c>
      <c r="M86" s="8"/>
      <c r="N86" s="8"/>
      <c r="O86" s="34" t="str">
        <f aca="false">IF(M86&lt;&gt;"",M86,K86)</f>
        <v/>
      </c>
      <c r="P86" s="38" t="str">
        <f aca="false">IF(I86="","",IF(G86="","공수1 미응시",IF(H86="","공수2 미응시","")))</f>
        <v/>
      </c>
      <c r="Q86" s="15" t="str">
        <f aca="false">IF(J86="","",J86+ROW()/100000)</f>
        <v/>
      </c>
    </row>
  </sheetData>
  <mergeCells count="3">
    <mergeCell ref="A1:Y1"/>
    <mergeCell ref="A2:Y2"/>
    <mergeCell ref="S13:Y18"/>
  </mergeCells>
  <conditionalFormatting sqref="A7:P86">
    <cfRule type="expression" priority="2" aboveAverage="0" equalAverage="0" bottom="0" percent="0" rank="0" text="" dxfId="2">
      <formula>$L7="경계"</formula>
    </cfRule>
  </conditionalFormatting>
  <conditionalFormatting sqref="K7:K86">
    <cfRule type="expression" priority="3" aboveAverage="0" equalAverage="0" bottom="0" percent="0" rank="0" text="" dxfId="3">
      <formula>AND($K7&lt;&gt;"",$K7=설정!$B$6)</formula>
    </cfRule>
    <cfRule type="expression" priority="4" aboveAverage="0" equalAverage="0" bottom="0" percent="0" rank="0" text="" dxfId="4">
      <formula>AND($K7&lt;&gt;"",$K7=설정!$B$7)</formula>
    </cfRule>
    <cfRule type="expression" priority="5" aboveAverage="0" equalAverage="0" bottom="0" percent="0" rank="0" text="" dxfId="5">
      <formula>AND($K7&lt;&gt;"",$K7=설정!$B$8)</formula>
    </cfRule>
    <cfRule type="expression" priority="6" aboveAverage="0" equalAverage="0" bottom="0" percent="0" rank="0" text="" dxfId="6">
      <formula>AND($K7&lt;&gt;"",$K7=설정!$B$9)</formula>
    </cfRule>
  </conditionalFormatting>
  <conditionalFormatting sqref="O7:O86">
    <cfRule type="expression" priority="7" aboveAverage="0" equalAverage="0" bottom="0" percent="0" rank="0" text="" dxfId="3">
      <formula>AND($O7&lt;&gt;"",$O7=설정!$B$6)</formula>
    </cfRule>
    <cfRule type="expression" priority="8" aboveAverage="0" equalAverage="0" bottom="0" percent="0" rank="0" text="" dxfId="4">
      <formula>AND($O7&lt;&gt;"",$O7=설정!$B$7)</formula>
    </cfRule>
    <cfRule type="expression" priority="9" aboveAverage="0" equalAverage="0" bottom="0" percent="0" rank="0" text="" dxfId="5">
      <formula>AND($O7&lt;&gt;"",$O7=설정!$B$8)</formula>
    </cfRule>
    <cfRule type="expression" priority="10" aboveAverage="0" equalAverage="0" bottom="0" percent="0" rank="0" text="" dxfId="6">
      <formula>AND($O7&lt;&gt;"",$O7=설정!$B$9)</formula>
    </cfRule>
  </conditionalFormatting>
  <dataValidations count="1">
    <dataValidation allowBlank="true" errorStyle="stop" operator="between" showDropDown="false" showErrorMessage="false" showInputMessage="false" sqref="M7:N86" type="list">
      <formula1>설정!$A$55:$A$60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8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7"/>
    <col collapsed="false" customWidth="true" hidden="false" outlineLevel="0" max="5" min="5" style="0" width="9"/>
    <col collapsed="false" customWidth="true" hidden="false" outlineLevel="0" max="7" min="6" style="0" width="7"/>
    <col collapsed="false" customWidth="true" hidden="false" outlineLevel="0" max="8" min="8" style="0" width="9"/>
    <col collapsed="false" customWidth="true" hidden="false" outlineLevel="0" max="10" min="9" style="0" width="10"/>
    <col collapsed="false" customWidth="true" hidden="false" outlineLevel="0" max="11" min="11" style="0" width="6"/>
    <col collapsed="false" customWidth="true" hidden="false" outlineLevel="0" max="12" min="12" style="0" width="13"/>
    <col collapsed="false" customWidth="true" hidden="true" outlineLevel="0" max="14" min="13" style="0" width="13"/>
  </cols>
  <sheetData>
    <row r="1" customFormat="false" ht="25.5" hidden="false" customHeight="true" outlineLevel="0" collapsed="false">
      <c r="A1" s="1" t="s">
        <v>162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30" hidden="false" customHeight="true" outlineLevel="0" collapsed="false">
      <c r="A2" s="2" t="s">
        <v>163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6" customFormat="false" ht="15" hidden="false" customHeight="false" outlineLevel="0" collapsed="false">
      <c r="A6" s="4" t="s">
        <v>148</v>
      </c>
      <c r="B6" s="4" t="s">
        <v>90</v>
      </c>
      <c r="C6" s="4" t="s">
        <v>91</v>
      </c>
      <c r="D6" s="4" t="s">
        <v>92</v>
      </c>
      <c r="E6" s="4" t="s">
        <v>144</v>
      </c>
      <c r="F6" s="4" t="s">
        <v>145</v>
      </c>
      <c r="G6" s="4" t="s">
        <v>146</v>
      </c>
      <c r="H6" s="4" t="s">
        <v>147</v>
      </c>
      <c r="I6" s="4" t="s">
        <v>153</v>
      </c>
      <c r="J6" s="4" t="s">
        <v>152</v>
      </c>
      <c r="K6" s="4" t="s">
        <v>150</v>
      </c>
      <c r="L6" s="4" t="s">
        <v>154</v>
      </c>
    </row>
    <row r="7" customFormat="false" ht="15" hidden="false" customHeight="false" outlineLevel="0" collapsed="false">
      <c r="A7" s="35" t="str">
        <f aca="false">IF($N7="","",INDEX(반배정!J$7:J$86,$N7))</f>
        <v/>
      </c>
      <c r="B7" s="35" t="str">
        <f aca="false">IF($N7="","",INDEX(반배정!B$7:B$86,$N7))</f>
        <v/>
      </c>
      <c r="C7" s="35" t="str">
        <f aca="false">IF($N7="","",INDEX(반배정!C$7:C$86,$N7))</f>
        <v/>
      </c>
      <c r="D7" s="35" t="str">
        <f aca="false">IF($N7="","",INDEX(반배정!D$7:D$86,$N7))</f>
        <v/>
      </c>
      <c r="E7" s="35" t="str">
        <f aca="false">IF($N7="","",INDEX(반배정!E$7:E$86,$N7))</f>
        <v/>
      </c>
      <c r="F7" s="35" t="str">
        <f aca="false">IF($N7="","",INDEX(반배정!G$7:G$86,$N7))</f>
        <v/>
      </c>
      <c r="G7" s="35" t="str">
        <f aca="false">IF($N7="","",INDEX(반배정!H$7:H$86,$N7))</f>
        <v/>
      </c>
      <c r="H7" s="45" t="str">
        <f aca="false">IF($N7="","",INDEX(반배정!I$7:I$86,$N7))</f>
        <v/>
      </c>
      <c r="I7" s="34" t="str">
        <f aca="false">IF($N7="","",INDEX(반배정!O$7:O$86,$N7))</f>
        <v/>
      </c>
      <c r="J7" s="35" t="str">
        <f aca="false">IF($N7="","",INDEX(반배정!N$7:N$86,$N7)&amp;"")</f>
        <v/>
      </c>
      <c r="K7" s="35" t="str">
        <f aca="false">IF($N7="","",INDEX(반배정!L$7:L$86,$N7))</f>
        <v/>
      </c>
      <c r="L7" s="35" t="str">
        <f aca="false">IF($N7="","",INDEX(반배정!P$7:P$86,$N7))</f>
        <v/>
      </c>
      <c r="M7" s="15" t="str">
        <f aca="false">IFERROR(SMALL(반배정!$Q$7:$Q$86,1),"")</f>
        <v/>
      </c>
      <c r="N7" s="15" t="str">
        <f aca="false">IF(M7="","",MATCH(M7,반배정!$Q$7:$Q$86,0))</f>
        <v/>
      </c>
    </row>
    <row r="8" customFormat="false" ht="15" hidden="false" customHeight="false" outlineLevel="0" collapsed="false">
      <c r="A8" s="35" t="str">
        <f aca="false">IF($N8="","",INDEX(반배정!J$7:J$86,$N8))</f>
        <v/>
      </c>
      <c r="B8" s="35" t="str">
        <f aca="false">IF($N8="","",INDEX(반배정!B$7:B$86,$N8))</f>
        <v/>
      </c>
      <c r="C8" s="35" t="str">
        <f aca="false">IF($N8="","",INDEX(반배정!C$7:C$86,$N8))</f>
        <v/>
      </c>
      <c r="D8" s="35" t="str">
        <f aca="false">IF($N8="","",INDEX(반배정!D$7:D$86,$N8))</f>
        <v/>
      </c>
      <c r="E8" s="35" t="str">
        <f aca="false">IF($N8="","",INDEX(반배정!E$7:E$86,$N8))</f>
        <v/>
      </c>
      <c r="F8" s="35" t="str">
        <f aca="false">IF($N8="","",INDEX(반배정!G$7:G$86,$N8))</f>
        <v/>
      </c>
      <c r="G8" s="35" t="str">
        <f aca="false">IF($N8="","",INDEX(반배정!H$7:H$86,$N8))</f>
        <v/>
      </c>
      <c r="H8" s="45" t="str">
        <f aca="false">IF($N8="","",INDEX(반배정!I$7:I$86,$N8))</f>
        <v/>
      </c>
      <c r="I8" s="34" t="str">
        <f aca="false">IF($N8="","",INDEX(반배정!O$7:O$86,$N8))</f>
        <v/>
      </c>
      <c r="J8" s="35" t="str">
        <f aca="false">IF($N8="","",INDEX(반배정!N$7:N$86,$N8)&amp;"")</f>
        <v/>
      </c>
      <c r="K8" s="35" t="str">
        <f aca="false">IF($N8="","",INDEX(반배정!L$7:L$86,$N8))</f>
        <v/>
      </c>
      <c r="L8" s="35" t="str">
        <f aca="false">IF($N8="","",INDEX(반배정!P$7:P$86,$N8))</f>
        <v/>
      </c>
      <c r="M8" s="15" t="str">
        <f aca="false">IFERROR(SMALL(반배정!$Q$7:$Q$86,2),"")</f>
        <v/>
      </c>
      <c r="N8" s="15" t="str">
        <f aca="false">IF(M8="","",MATCH(M8,반배정!$Q$7:$Q$86,0))</f>
        <v/>
      </c>
    </row>
    <row r="9" customFormat="false" ht="15" hidden="false" customHeight="false" outlineLevel="0" collapsed="false">
      <c r="A9" s="35" t="str">
        <f aca="false">IF($N9="","",INDEX(반배정!J$7:J$86,$N9))</f>
        <v/>
      </c>
      <c r="B9" s="35" t="str">
        <f aca="false">IF($N9="","",INDEX(반배정!B$7:B$86,$N9))</f>
        <v/>
      </c>
      <c r="C9" s="35" t="str">
        <f aca="false">IF($N9="","",INDEX(반배정!C$7:C$86,$N9))</f>
        <v/>
      </c>
      <c r="D9" s="35" t="str">
        <f aca="false">IF($N9="","",INDEX(반배정!D$7:D$86,$N9))</f>
        <v/>
      </c>
      <c r="E9" s="35" t="str">
        <f aca="false">IF($N9="","",INDEX(반배정!E$7:E$86,$N9))</f>
        <v/>
      </c>
      <c r="F9" s="35" t="str">
        <f aca="false">IF($N9="","",INDEX(반배정!G$7:G$86,$N9))</f>
        <v/>
      </c>
      <c r="G9" s="35" t="str">
        <f aca="false">IF($N9="","",INDEX(반배정!H$7:H$86,$N9))</f>
        <v/>
      </c>
      <c r="H9" s="45" t="str">
        <f aca="false">IF($N9="","",INDEX(반배정!I$7:I$86,$N9))</f>
        <v/>
      </c>
      <c r="I9" s="34" t="str">
        <f aca="false">IF($N9="","",INDEX(반배정!O$7:O$86,$N9))</f>
        <v/>
      </c>
      <c r="J9" s="35" t="str">
        <f aca="false">IF($N9="","",INDEX(반배정!N$7:N$86,$N9)&amp;"")</f>
        <v/>
      </c>
      <c r="K9" s="35" t="str">
        <f aca="false">IF($N9="","",INDEX(반배정!L$7:L$86,$N9))</f>
        <v/>
      </c>
      <c r="L9" s="35" t="str">
        <f aca="false">IF($N9="","",INDEX(반배정!P$7:P$86,$N9))</f>
        <v/>
      </c>
      <c r="M9" s="15" t="str">
        <f aca="false">IFERROR(SMALL(반배정!$Q$7:$Q$86,3),"")</f>
        <v/>
      </c>
      <c r="N9" s="15" t="str">
        <f aca="false">IF(M9="","",MATCH(M9,반배정!$Q$7:$Q$86,0))</f>
        <v/>
      </c>
    </row>
    <row r="10" customFormat="false" ht="15" hidden="false" customHeight="false" outlineLevel="0" collapsed="false">
      <c r="A10" s="35" t="str">
        <f aca="false">IF($N10="","",INDEX(반배정!J$7:J$86,$N10))</f>
        <v/>
      </c>
      <c r="B10" s="35" t="str">
        <f aca="false">IF($N10="","",INDEX(반배정!B$7:B$86,$N10))</f>
        <v/>
      </c>
      <c r="C10" s="35" t="str">
        <f aca="false">IF($N10="","",INDEX(반배정!C$7:C$86,$N10))</f>
        <v/>
      </c>
      <c r="D10" s="35" t="str">
        <f aca="false">IF($N10="","",INDEX(반배정!D$7:D$86,$N10))</f>
        <v/>
      </c>
      <c r="E10" s="35" t="str">
        <f aca="false">IF($N10="","",INDEX(반배정!E$7:E$86,$N10))</f>
        <v/>
      </c>
      <c r="F10" s="35" t="str">
        <f aca="false">IF($N10="","",INDEX(반배정!G$7:G$86,$N10))</f>
        <v/>
      </c>
      <c r="G10" s="35" t="str">
        <f aca="false">IF($N10="","",INDEX(반배정!H$7:H$86,$N10))</f>
        <v/>
      </c>
      <c r="H10" s="45" t="str">
        <f aca="false">IF($N10="","",INDEX(반배정!I$7:I$86,$N10))</f>
        <v/>
      </c>
      <c r="I10" s="34" t="str">
        <f aca="false">IF($N10="","",INDEX(반배정!O$7:O$86,$N10))</f>
        <v/>
      </c>
      <c r="J10" s="35" t="str">
        <f aca="false">IF($N10="","",INDEX(반배정!N$7:N$86,$N10)&amp;"")</f>
        <v/>
      </c>
      <c r="K10" s="35" t="str">
        <f aca="false">IF($N10="","",INDEX(반배정!L$7:L$86,$N10))</f>
        <v/>
      </c>
      <c r="L10" s="35" t="str">
        <f aca="false">IF($N10="","",INDEX(반배정!P$7:P$86,$N10))</f>
        <v/>
      </c>
      <c r="M10" s="15" t="str">
        <f aca="false">IFERROR(SMALL(반배정!$Q$7:$Q$86,4),"")</f>
        <v/>
      </c>
      <c r="N10" s="15" t="str">
        <f aca="false">IF(M10="","",MATCH(M10,반배정!$Q$7:$Q$86,0))</f>
        <v/>
      </c>
    </row>
    <row r="11" customFormat="false" ht="15" hidden="false" customHeight="false" outlineLevel="0" collapsed="false">
      <c r="A11" s="35" t="str">
        <f aca="false">IF($N11="","",INDEX(반배정!J$7:J$86,$N11))</f>
        <v/>
      </c>
      <c r="B11" s="35" t="str">
        <f aca="false">IF($N11="","",INDEX(반배정!B$7:B$86,$N11))</f>
        <v/>
      </c>
      <c r="C11" s="35" t="str">
        <f aca="false">IF($N11="","",INDEX(반배정!C$7:C$86,$N11))</f>
        <v/>
      </c>
      <c r="D11" s="35" t="str">
        <f aca="false">IF($N11="","",INDEX(반배정!D$7:D$86,$N11))</f>
        <v/>
      </c>
      <c r="E11" s="35" t="str">
        <f aca="false">IF($N11="","",INDEX(반배정!E$7:E$86,$N11))</f>
        <v/>
      </c>
      <c r="F11" s="35" t="str">
        <f aca="false">IF($N11="","",INDEX(반배정!G$7:G$86,$N11))</f>
        <v/>
      </c>
      <c r="G11" s="35" t="str">
        <f aca="false">IF($N11="","",INDEX(반배정!H$7:H$86,$N11))</f>
        <v/>
      </c>
      <c r="H11" s="45" t="str">
        <f aca="false">IF($N11="","",INDEX(반배정!I$7:I$86,$N11))</f>
        <v/>
      </c>
      <c r="I11" s="34" t="str">
        <f aca="false">IF($N11="","",INDEX(반배정!O$7:O$86,$N11))</f>
        <v/>
      </c>
      <c r="J11" s="35" t="str">
        <f aca="false">IF($N11="","",INDEX(반배정!N$7:N$86,$N11)&amp;"")</f>
        <v/>
      </c>
      <c r="K11" s="35" t="str">
        <f aca="false">IF($N11="","",INDEX(반배정!L$7:L$86,$N11))</f>
        <v/>
      </c>
      <c r="L11" s="35" t="str">
        <f aca="false">IF($N11="","",INDEX(반배정!P$7:P$86,$N11))</f>
        <v/>
      </c>
      <c r="M11" s="15" t="str">
        <f aca="false">IFERROR(SMALL(반배정!$Q$7:$Q$86,5),"")</f>
        <v/>
      </c>
      <c r="N11" s="15" t="str">
        <f aca="false">IF(M11="","",MATCH(M11,반배정!$Q$7:$Q$86,0))</f>
        <v/>
      </c>
    </row>
    <row r="12" customFormat="false" ht="15" hidden="false" customHeight="false" outlineLevel="0" collapsed="false">
      <c r="A12" s="35" t="str">
        <f aca="false">IF($N12="","",INDEX(반배정!J$7:J$86,$N12))</f>
        <v/>
      </c>
      <c r="B12" s="35" t="str">
        <f aca="false">IF($N12="","",INDEX(반배정!B$7:B$86,$N12))</f>
        <v/>
      </c>
      <c r="C12" s="35" t="str">
        <f aca="false">IF($N12="","",INDEX(반배정!C$7:C$86,$N12))</f>
        <v/>
      </c>
      <c r="D12" s="35" t="str">
        <f aca="false">IF($N12="","",INDEX(반배정!D$7:D$86,$N12))</f>
        <v/>
      </c>
      <c r="E12" s="35" t="str">
        <f aca="false">IF($N12="","",INDEX(반배정!E$7:E$86,$N12))</f>
        <v/>
      </c>
      <c r="F12" s="35" t="str">
        <f aca="false">IF($N12="","",INDEX(반배정!G$7:G$86,$N12))</f>
        <v/>
      </c>
      <c r="G12" s="35" t="str">
        <f aca="false">IF($N12="","",INDEX(반배정!H$7:H$86,$N12))</f>
        <v/>
      </c>
      <c r="H12" s="45" t="str">
        <f aca="false">IF($N12="","",INDEX(반배정!I$7:I$86,$N12))</f>
        <v/>
      </c>
      <c r="I12" s="34" t="str">
        <f aca="false">IF($N12="","",INDEX(반배정!O$7:O$86,$N12))</f>
        <v/>
      </c>
      <c r="J12" s="35" t="str">
        <f aca="false">IF($N12="","",INDEX(반배정!N$7:N$86,$N12)&amp;"")</f>
        <v/>
      </c>
      <c r="K12" s="35" t="str">
        <f aca="false">IF($N12="","",INDEX(반배정!L$7:L$86,$N12))</f>
        <v/>
      </c>
      <c r="L12" s="35" t="str">
        <f aca="false">IF($N12="","",INDEX(반배정!P$7:P$86,$N12))</f>
        <v/>
      </c>
      <c r="M12" s="15" t="str">
        <f aca="false">IFERROR(SMALL(반배정!$Q$7:$Q$86,6),"")</f>
        <v/>
      </c>
      <c r="N12" s="15" t="str">
        <f aca="false">IF(M12="","",MATCH(M12,반배정!$Q$7:$Q$86,0))</f>
        <v/>
      </c>
    </row>
    <row r="13" customFormat="false" ht="15" hidden="false" customHeight="false" outlineLevel="0" collapsed="false">
      <c r="A13" s="35" t="str">
        <f aca="false">IF($N13="","",INDEX(반배정!J$7:J$86,$N13))</f>
        <v/>
      </c>
      <c r="B13" s="35" t="str">
        <f aca="false">IF($N13="","",INDEX(반배정!B$7:B$86,$N13))</f>
        <v/>
      </c>
      <c r="C13" s="35" t="str">
        <f aca="false">IF($N13="","",INDEX(반배정!C$7:C$86,$N13))</f>
        <v/>
      </c>
      <c r="D13" s="35" t="str">
        <f aca="false">IF($N13="","",INDEX(반배정!D$7:D$86,$N13))</f>
        <v/>
      </c>
      <c r="E13" s="35" t="str">
        <f aca="false">IF($N13="","",INDEX(반배정!E$7:E$86,$N13))</f>
        <v/>
      </c>
      <c r="F13" s="35" t="str">
        <f aca="false">IF($N13="","",INDEX(반배정!G$7:G$86,$N13))</f>
        <v/>
      </c>
      <c r="G13" s="35" t="str">
        <f aca="false">IF($N13="","",INDEX(반배정!H$7:H$86,$N13))</f>
        <v/>
      </c>
      <c r="H13" s="45" t="str">
        <f aca="false">IF($N13="","",INDEX(반배정!I$7:I$86,$N13))</f>
        <v/>
      </c>
      <c r="I13" s="34" t="str">
        <f aca="false">IF($N13="","",INDEX(반배정!O$7:O$86,$N13))</f>
        <v/>
      </c>
      <c r="J13" s="35" t="str">
        <f aca="false">IF($N13="","",INDEX(반배정!N$7:N$86,$N13)&amp;"")</f>
        <v/>
      </c>
      <c r="K13" s="35" t="str">
        <f aca="false">IF($N13="","",INDEX(반배정!L$7:L$86,$N13))</f>
        <v/>
      </c>
      <c r="L13" s="35" t="str">
        <f aca="false">IF($N13="","",INDEX(반배정!P$7:P$86,$N13))</f>
        <v/>
      </c>
      <c r="M13" s="15" t="str">
        <f aca="false">IFERROR(SMALL(반배정!$Q$7:$Q$86,7),"")</f>
        <v/>
      </c>
      <c r="N13" s="15" t="str">
        <f aca="false">IF(M13="","",MATCH(M13,반배정!$Q$7:$Q$86,0))</f>
        <v/>
      </c>
    </row>
    <row r="14" customFormat="false" ht="15" hidden="false" customHeight="false" outlineLevel="0" collapsed="false">
      <c r="A14" s="35" t="str">
        <f aca="false">IF($N14="","",INDEX(반배정!J$7:J$86,$N14))</f>
        <v/>
      </c>
      <c r="B14" s="35" t="str">
        <f aca="false">IF($N14="","",INDEX(반배정!B$7:B$86,$N14))</f>
        <v/>
      </c>
      <c r="C14" s="35" t="str">
        <f aca="false">IF($N14="","",INDEX(반배정!C$7:C$86,$N14))</f>
        <v/>
      </c>
      <c r="D14" s="35" t="str">
        <f aca="false">IF($N14="","",INDEX(반배정!D$7:D$86,$N14))</f>
        <v/>
      </c>
      <c r="E14" s="35" t="str">
        <f aca="false">IF($N14="","",INDEX(반배정!E$7:E$86,$N14))</f>
        <v/>
      </c>
      <c r="F14" s="35" t="str">
        <f aca="false">IF($N14="","",INDEX(반배정!G$7:G$86,$N14))</f>
        <v/>
      </c>
      <c r="G14" s="35" t="str">
        <f aca="false">IF($N14="","",INDEX(반배정!H$7:H$86,$N14))</f>
        <v/>
      </c>
      <c r="H14" s="45" t="str">
        <f aca="false">IF($N14="","",INDEX(반배정!I$7:I$86,$N14))</f>
        <v/>
      </c>
      <c r="I14" s="34" t="str">
        <f aca="false">IF($N14="","",INDEX(반배정!O$7:O$86,$N14))</f>
        <v/>
      </c>
      <c r="J14" s="35" t="str">
        <f aca="false">IF($N14="","",INDEX(반배정!N$7:N$86,$N14)&amp;"")</f>
        <v/>
      </c>
      <c r="K14" s="35" t="str">
        <f aca="false">IF($N14="","",INDEX(반배정!L$7:L$86,$N14))</f>
        <v/>
      </c>
      <c r="L14" s="35" t="str">
        <f aca="false">IF($N14="","",INDEX(반배정!P$7:P$86,$N14))</f>
        <v/>
      </c>
      <c r="M14" s="15" t="str">
        <f aca="false">IFERROR(SMALL(반배정!$Q$7:$Q$86,8),"")</f>
        <v/>
      </c>
      <c r="N14" s="15" t="str">
        <f aca="false">IF(M14="","",MATCH(M14,반배정!$Q$7:$Q$86,0))</f>
        <v/>
      </c>
    </row>
    <row r="15" customFormat="false" ht="15" hidden="false" customHeight="false" outlineLevel="0" collapsed="false">
      <c r="A15" s="35" t="str">
        <f aca="false">IF($N15="","",INDEX(반배정!J$7:J$86,$N15))</f>
        <v/>
      </c>
      <c r="B15" s="35" t="str">
        <f aca="false">IF($N15="","",INDEX(반배정!B$7:B$86,$N15))</f>
        <v/>
      </c>
      <c r="C15" s="35" t="str">
        <f aca="false">IF($N15="","",INDEX(반배정!C$7:C$86,$N15))</f>
        <v/>
      </c>
      <c r="D15" s="35" t="str">
        <f aca="false">IF($N15="","",INDEX(반배정!D$7:D$86,$N15))</f>
        <v/>
      </c>
      <c r="E15" s="35" t="str">
        <f aca="false">IF($N15="","",INDEX(반배정!E$7:E$86,$N15))</f>
        <v/>
      </c>
      <c r="F15" s="35" t="str">
        <f aca="false">IF($N15="","",INDEX(반배정!G$7:G$86,$N15))</f>
        <v/>
      </c>
      <c r="G15" s="35" t="str">
        <f aca="false">IF($N15="","",INDEX(반배정!H$7:H$86,$N15))</f>
        <v/>
      </c>
      <c r="H15" s="45" t="str">
        <f aca="false">IF($N15="","",INDEX(반배정!I$7:I$86,$N15))</f>
        <v/>
      </c>
      <c r="I15" s="34" t="str">
        <f aca="false">IF($N15="","",INDEX(반배정!O$7:O$86,$N15))</f>
        <v/>
      </c>
      <c r="J15" s="35" t="str">
        <f aca="false">IF($N15="","",INDEX(반배정!N$7:N$86,$N15)&amp;"")</f>
        <v/>
      </c>
      <c r="K15" s="35" t="str">
        <f aca="false">IF($N15="","",INDEX(반배정!L$7:L$86,$N15))</f>
        <v/>
      </c>
      <c r="L15" s="35" t="str">
        <f aca="false">IF($N15="","",INDEX(반배정!P$7:P$86,$N15))</f>
        <v/>
      </c>
      <c r="M15" s="15" t="str">
        <f aca="false">IFERROR(SMALL(반배정!$Q$7:$Q$86,9),"")</f>
        <v/>
      </c>
      <c r="N15" s="15" t="str">
        <f aca="false">IF(M15="","",MATCH(M15,반배정!$Q$7:$Q$86,0))</f>
        <v/>
      </c>
    </row>
    <row r="16" customFormat="false" ht="15" hidden="false" customHeight="false" outlineLevel="0" collapsed="false">
      <c r="A16" s="35" t="str">
        <f aca="false">IF($N16="","",INDEX(반배정!J$7:J$86,$N16))</f>
        <v/>
      </c>
      <c r="B16" s="35" t="str">
        <f aca="false">IF($N16="","",INDEX(반배정!B$7:B$86,$N16))</f>
        <v/>
      </c>
      <c r="C16" s="35" t="str">
        <f aca="false">IF($N16="","",INDEX(반배정!C$7:C$86,$N16))</f>
        <v/>
      </c>
      <c r="D16" s="35" t="str">
        <f aca="false">IF($N16="","",INDEX(반배정!D$7:D$86,$N16))</f>
        <v/>
      </c>
      <c r="E16" s="35" t="str">
        <f aca="false">IF($N16="","",INDEX(반배정!E$7:E$86,$N16))</f>
        <v/>
      </c>
      <c r="F16" s="35" t="str">
        <f aca="false">IF($N16="","",INDEX(반배정!G$7:G$86,$N16))</f>
        <v/>
      </c>
      <c r="G16" s="35" t="str">
        <f aca="false">IF($N16="","",INDEX(반배정!H$7:H$86,$N16))</f>
        <v/>
      </c>
      <c r="H16" s="45" t="str">
        <f aca="false">IF($N16="","",INDEX(반배정!I$7:I$86,$N16))</f>
        <v/>
      </c>
      <c r="I16" s="34" t="str">
        <f aca="false">IF($N16="","",INDEX(반배정!O$7:O$86,$N16))</f>
        <v/>
      </c>
      <c r="J16" s="35" t="str">
        <f aca="false">IF($N16="","",INDEX(반배정!N$7:N$86,$N16)&amp;"")</f>
        <v/>
      </c>
      <c r="K16" s="35" t="str">
        <f aca="false">IF($N16="","",INDEX(반배정!L$7:L$86,$N16))</f>
        <v/>
      </c>
      <c r="L16" s="35" t="str">
        <f aca="false">IF($N16="","",INDEX(반배정!P$7:P$86,$N16))</f>
        <v/>
      </c>
      <c r="M16" s="15" t="str">
        <f aca="false">IFERROR(SMALL(반배정!$Q$7:$Q$86,10),"")</f>
        <v/>
      </c>
      <c r="N16" s="15" t="str">
        <f aca="false">IF(M16="","",MATCH(M16,반배정!$Q$7:$Q$86,0))</f>
        <v/>
      </c>
    </row>
    <row r="17" customFormat="false" ht="15" hidden="false" customHeight="false" outlineLevel="0" collapsed="false">
      <c r="A17" s="35" t="str">
        <f aca="false">IF($N17="","",INDEX(반배정!J$7:J$86,$N17))</f>
        <v/>
      </c>
      <c r="B17" s="35" t="str">
        <f aca="false">IF($N17="","",INDEX(반배정!B$7:B$86,$N17))</f>
        <v/>
      </c>
      <c r="C17" s="35" t="str">
        <f aca="false">IF($N17="","",INDEX(반배정!C$7:C$86,$N17))</f>
        <v/>
      </c>
      <c r="D17" s="35" t="str">
        <f aca="false">IF($N17="","",INDEX(반배정!D$7:D$86,$N17))</f>
        <v/>
      </c>
      <c r="E17" s="35" t="str">
        <f aca="false">IF($N17="","",INDEX(반배정!E$7:E$86,$N17))</f>
        <v/>
      </c>
      <c r="F17" s="35" t="str">
        <f aca="false">IF($N17="","",INDEX(반배정!G$7:G$86,$N17))</f>
        <v/>
      </c>
      <c r="G17" s="35" t="str">
        <f aca="false">IF($N17="","",INDEX(반배정!H$7:H$86,$N17))</f>
        <v/>
      </c>
      <c r="H17" s="45" t="str">
        <f aca="false">IF($N17="","",INDEX(반배정!I$7:I$86,$N17))</f>
        <v/>
      </c>
      <c r="I17" s="34" t="str">
        <f aca="false">IF($N17="","",INDEX(반배정!O$7:O$86,$N17))</f>
        <v/>
      </c>
      <c r="J17" s="35" t="str">
        <f aca="false">IF($N17="","",INDEX(반배정!N$7:N$86,$N17)&amp;"")</f>
        <v/>
      </c>
      <c r="K17" s="35" t="str">
        <f aca="false">IF($N17="","",INDEX(반배정!L$7:L$86,$N17))</f>
        <v/>
      </c>
      <c r="L17" s="35" t="str">
        <f aca="false">IF($N17="","",INDEX(반배정!P$7:P$86,$N17))</f>
        <v/>
      </c>
      <c r="M17" s="15" t="str">
        <f aca="false">IFERROR(SMALL(반배정!$Q$7:$Q$86,11),"")</f>
        <v/>
      </c>
      <c r="N17" s="15" t="str">
        <f aca="false">IF(M17="","",MATCH(M17,반배정!$Q$7:$Q$86,0))</f>
        <v/>
      </c>
    </row>
    <row r="18" customFormat="false" ht="15" hidden="false" customHeight="false" outlineLevel="0" collapsed="false">
      <c r="A18" s="35" t="str">
        <f aca="false">IF($N18="","",INDEX(반배정!J$7:J$86,$N18))</f>
        <v/>
      </c>
      <c r="B18" s="35" t="str">
        <f aca="false">IF($N18="","",INDEX(반배정!B$7:B$86,$N18))</f>
        <v/>
      </c>
      <c r="C18" s="35" t="str">
        <f aca="false">IF($N18="","",INDEX(반배정!C$7:C$86,$N18))</f>
        <v/>
      </c>
      <c r="D18" s="35" t="str">
        <f aca="false">IF($N18="","",INDEX(반배정!D$7:D$86,$N18))</f>
        <v/>
      </c>
      <c r="E18" s="35" t="str">
        <f aca="false">IF($N18="","",INDEX(반배정!E$7:E$86,$N18))</f>
        <v/>
      </c>
      <c r="F18" s="35" t="str">
        <f aca="false">IF($N18="","",INDEX(반배정!G$7:G$86,$N18))</f>
        <v/>
      </c>
      <c r="G18" s="35" t="str">
        <f aca="false">IF($N18="","",INDEX(반배정!H$7:H$86,$N18))</f>
        <v/>
      </c>
      <c r="H18" s="45" t="str">
        <f aca="false">IF($N18="","",INDEX(반배정!I$7:I$86,$N18))</f>
        <v/>
      </c>
      <c r="I18" s="34" t="str">
        <f aca="false">IF($N18="","",INDEX(반배정!O$7:O$86,$N18))</f>
        <v/>
      </c>
      <c r="J18" s="35" t="str">
        <f aca="false">IF($N18="","",INDEX(반배정!N$7:N$86,$N18)&amp;"")</f>
        <v/>
      </c>
      <c r="K18" s="35" t="str">
        <f aca="false">IF($N18="","",INDEX(반배정!L$7:L$86,$N18))</f>
        <v/>
      </c>
      <c r="L18" s="35" t="str">
        <f aca="false">IF($N18="","",INDEX(반배정!P$7:P$86,$N18))</f>
        <v/>
      </c>
      <c r="M18" s="15" t="str">
        <f aca="false">IFERROR(SMALL(반배정!$Q$7:$Q$86,12),"")</f>
        <v/>
      </c>
      <c r="N18" s="15" t="str">
        <f aca="false">IF(M18="","",MATCH(M18,반배정!$Q$7:$Q$86,0))</f>
        <v/>
      </c>
    </row>
    <row r="19" customFormat="false" ht="15" hidden="false" customHeight="false" outlineLevel="0" collapsed="false">
      <c r="A19" s="35" t="str">
        <f aca="false">IF($N19="","",INDEX(반배정!J$7:J$86,$N19))</f>
        <v/>
      </c>
      <c r="B19" s="35" t="str">
        <f aca="false">IF($N19="","",INDEX(반배정!B$7:B$86,$N19))</f>
        <v/>
      </c>
      <c r="C19" s="35" t="str">
        <f aca="false">IF($N19="","",INDEX(반배정!C$7:C$86,$N19))</f>
        <v/>
      </c>
      <c r="D19" s="35" t="str">
        <f aca="false">IF($N19="","",INDEX(반배정!D$7:D$86,$N19))</f>
        <v/>
      </c>
      <c r="E19" s="35" t="str">
        <f aca="false">IF($N19="","",INDEX(반배정!E$7:E$86,$N19))</f>
        <v/>
      </c>
      <c r="F19" s="35" t="str">
        <f aca="false">IF($N19="","",INDEX(반배정!G$7:G$86,$N19))</f>
        <v/>
      </c>
      <c r="G19" s="35" t="str">
        <f aca="false">IF($N19="","",INDEX(반배정!H$7:H$86,$N19))</f>
        <v/>
      </c>
      <c r="H19" s="45" t="str">
        <f aca="false">IF($N19="","",INDEX(반배정!I$7:I$86,$N19))</f>
        <v/>
      </c>
      <c r="I19" s="34" t="str">
        <f aca="false">IF($N19="","",INDEX(반배정!O$7:O$86,$N19))</f>
        <v/>
      </c>
      <c r="J19" s="35" t="str">
        <f aca="false">IF($N19="","",INDEX(반배정!N$7:N$86,$N19)&amp;"")</f>
        <v/>
      </c>
      <c r="K19" s="35" t="str">
        <f aca="false">IF($N19="","",INDEX(반배정!L$7:L$86,$N19))</f>
        <v/>
      </c>
      <c r="L19" s="35" t="str">
        <f aca="false">IF($N19="","",INDEX(반배정!P$7:P$86,$N19))</f>
        <v/>
      </c>
      <c r="M19" s="15" t="str">
        <f aca="false">IFERROR(SMALL(반배정!$Q$7:$Q$86,13),"")</f>
        <v/>
      </c>
      <c r="N19" s="15" t="str">
        <f aca="false">IF(M19="","",MATCH(M19,반배정!$Q$7:$Q$86,0))</f>
        <v/>
      </c>
    </row>
    <row r="20" customFormat="false" ht="15" hidden="false" customHeight="false" outlineLevel="0" collapsed="false">
      <c r="A20" s="35" t="str">
        <f aca="false">IF($N20="","",INDEX(반배정!J$7:J$86,$N20))</f>
        <v/>
      </c>
      <c r="B20" s="35" t="str">
        <f aca="false">IF($N20="","",INDEX(반배정!B$7:B$86,$N20))</f>
        <v/>
      </c>
      <c r="C20" s="35" t="str">
        <f aca="false">IF($N20="","",INDEX(반배정!C$7:C$86,$N20))</f>
        <v/>
      </c>
      <c r="D20" s="35" t="str">
        <f aca="false">IF($N20="","",INDEX(반배정!D$7:D$86,$N20))</f>
        <v/>
      </c>
      <c r="E20" s="35" t="str">
        <f aca="false">IF($N20="","",INDEX(반배정!E$7:E$86,$N20))</f>
        <v/>
      </c>
      <c r="F20" s="35" t="str">
        <f aca="false">IF($N20="","",INDEX(반배정!G$7:G$86,$N20))</f>
        <v/>
      </c>
      <c r="G20" s="35" t="str">
        <f aca="false">IF($N20="","",INDEX(반배정!H$7:H$86,$N20))</f>
        <v/>
      </c>
      <c r="H20" s="45" t="str">
        <f aca="false">IF($N20="","",INDEX(반배정!I$7:I$86,$N20))</f>
        <v/>
      </c>
      <c r="I20" s="34" t="str">
        <f aca="false">IF($N20="","",INDEX(반배정!O$7:O$86,$N20))</f>
        <v/>
      </c>
      <c r="J20" s="35" t="str">
        <f aca="false">IF($N20="","",INDEX(반배정!N$7:N$86,$N20)&amp;"")</f>
        <v/>
      </c>
      <c r="K20" s="35" t="str">
        <f aca="false">IF($N20="","",INDEX(반배정!L$7:L$86,$N20))</f>
        <v/>
      </c>
      <c r="L20" s="35" t="str">
        <f aca="false">IF($N20="","",INDEX(반배정!P$7:P$86,$N20))</f>
        <v/>
      </c>
      <c r="M20" s="15" t="str">
        <f aca="false">IFERROR(SMALL(반배정!$Q$7:$Q$86,14),"")</f>
        <v/>
      </c>
      <c r="N20" s="15" t="str">
        <f aca="false">IF(M20="","",MATCH(M20,반배정!$Q$7:$Q$86,0))</f>
        <v/>
      </c>
    </row>
    <row r="21" customFormat="false" ht="15" hidden="false" customHeight="false" outlineLevel="0" collapsed="false">
      <c r="A21" s="35" t="str">
        <f aca="false">IF($N21="","",INDEX(반배정!J$7:J$86,$N21))</f>
        <v/>
      </c>
      <c r="B21" s="35" t="str">
        <f aca="false">IF($N21="","",INDEX(반배정!B$7:B$86,$N21))</f>
        <v/>
      </c>
      <c r="C21" s="35" t="str">
        <f aca="false">IF($N21="","",INDEX(반배정!C$7:C$86,$N21))</f>
        <v/>
      </c>
      <c r="D21" s="35" t="str">
        <f aca="false">IF($N21="","",INDEX(반배정!D$7:D$86,$N21))</f>
        <v/>
      </c>
      <c r="E21" s="35" t="str">
        <f aca="false">IF($N21="","",INDEX(반배정!E$7:E$86,$N21))</f>
        <v/>
      </c>
      <c r="F21" s="35" t="str">
        <f aca="false">IF($N21="","",INDEX(반배정!G$7:G$86,$N21))</f>
        <v/>
      </c>
      <c r="G21" s="35" t="str">
        <f aca="false">IF($N21="","",INDEX(반배정!H$7:H$86,$N21))</f>
        <v/>
      </c>
      <c r="H21" s="45" t="str">
        <f aca="false">IF($N21="","",INDEX(반배정!I$7:I$86,$N21))</f>
        <v/>
      </c>
      <c r="I21" s="34" t="str">
        <f aca="false">IF($N21="","",INDEX(반배정!O$7:O$86,$N21))</f>
        <v/>
      </c>
      <c r="J21" s="35" t="str">
        <f aca="false">IF($N21="","",INDEX(반배정!N$7:N$86,$N21)&amp;"")</f>
        <v/>
      </c>
      <c r="K21" s="35" t="str">
        <f aca="false">IF($N21="","",INDEX(반배정!L$7:L$86,$N21))</f>
        <v/>
      </c>
      <c r="L21" s="35" t="str">
        <f aca="false">IF($N21="","",INDEX(반배정!P$7:P$86,$N21))</f>
        <v/>
      </c>
      <c r="M21" s="15" t="str">
        <f aca="false">IFERROR(SMALL(반배정!$Q$7:$Q$86,15),"")</f>
        <v/>
      </c>
      <c r="N21" s="15" t="str">
        <f aca="false">IF(M21="","",MATCH(M21,반배정!$Q$7:$Q$86,0))</f>
        <v/>
      </c>
    </row>
    <row r="22" customFormat="false" ht="15" hidden="false" customHeight="false" outlineLevel="0" collapsed="false">
      <c r="A22" s="35" t="str">
        <f aca="false">IF($N22="","",INDEX(반배정!J$7:J$86,$N22))</f>
        <v/>
      </c>
      <c r="B22" s="35" t="str">
        <f aca="false">IF($N22="","",INDEX(반배정!B$7:B$86,$N22))</f>
        <v/>
      </c>
      <c r="C22" s="35" t="str">
        <f aca="false">IF($N22="","",INDEX(반배정!C$7:C$86,$N22))</f>
        <v/>
      </c>
      <c r="D22" s="35" t="str">
        <f aca="false">IF($N22="","",INDEX(반배정!D$7:D$86,$N22))</f>
        <v/>
      </c>
      <c r="E22" s="35" t="str">
        <f aca="false">IF($N22="","",INDEX(반배정!E$7:E$86,$N22))</f>
        <v/>
      </c>
      <c r="F22" s="35" t="str">
        <f aca="false">IF($N22="","",INDEX(반배정!G$7:G$86,$N22))</f>
        <v/>
      </c>
      <c r="G22" s="35" t="str">
        <f aca="false">IF($N22="","",INDEX(반배정!H$7:H$86,$N22))</f>
        <v/>
      </c>
      <c r="H22" s="45" t="str">
        <f aca="false">IF($N22="","",INDEX(반배정!I$7:I$86,$N22))</f>
        <v/>
      </c>
      <c r="I22" s="34" t="str">
        <f aca="false">IF($N22="","",INDEX(반배정!O$7:O$86,$N22))</f>
        <v/>
      </c>
      <c r="J22" s="35" t="str">
        <f aca="false">IF($N22="","",INDEX(반배정!N$7:N$86,$N22)&amp;"")</f>
        <v/>
      </c>
      <c r="K22" s="35" t="str">
        <f aca="false">IF($N22="","",INDEX(반배정!L$7:L$86,$N22))</f>
        <v/>
      </c>
      <c r="L22" s="35" t="str">
        <f aca="false">IF($N22="","",INDEX(반배정!P$7:P$86,$N22))</f>
        <v/>
      </c>
      <c r="M22" s="15" t="str">
        <f aca="false">IFERROR(SMALL(반배정!$Q$7:$Q$86,16),"")</f>
        <v/>
      </c>
      <c r="N22" s="15" t="str">
        <f aca="false">IF(M22="","",MATCH(M22,반배정!$Q$7:$Q$86,0))</f>
        <v/>
      </c>
    </row>
    <row r="23" customFormat="false" ht="15" hidden="false" customHeight="false" outlineLevel="0" collapsed="false">
      <c r="A23" s="35" t="str">
        <f aca="false">IF($N23="","",INDEX(반배정!J$7:J$86,$N23))</f>
        <v/>
      </c>
      <c r="B23" s="35" t="str">
        <f aca="false">IF($N23="","",INDEX(반배정!B$7:B$86,$N23))</f>
        <v/>
      </c>
      <c r="C23" s="35" t="str">
        <f aca="false">IF($N23="","",INDEX(반배정!C$7:C$86,$N23))</f>
        <v/>
      </c>
      <c r="D23" s="35" t="str">
        <f aca="false">IF($N23="","",INDEX(반배정!D$7:D$86,$N23))</f>
        <v/>
      </c>
      <c r="E23" s="35" t="str">
        <f aca="false">IF($N23="","",INDEX(반배정!E$7:E$86,$N23))</f>
        <v/>
      </c>
      <c r="F23" s="35" t="str">
        <f aca="false">IF($N23="","",INDEX(반배정!G$7:G$86,$N23))</f>
        <v/>
      </c>
      <c r="G23" s="35" t="str">
        <f aca="false">IF($N23="","",INDEX(반배정!H$7:H$86,$N23))</f>
        <v/>
      </c>
      <c r="H23" s="45" t="str">
        <f aca="false">IF($N23="","",INDEX(반배정!I$7:I$86,$N23))</f>
        <v/>
      </c>
      <c r="I23" s="34" t="str">
        <f aca="false">IF($N23="","",INDEX(반배정!O$7:O$86,$N23))</f>
        <v/>
      </c>
      <c r="J23" s="35" t="str">
        <f aca="false">IF($N23="","",INDEX(반배정!N$7:N$86,$N23)&amp;"")</f>
        <v/>
      </c>
      <c r="K23" s="35" t="str">
        <f aca="false">IF($N23="","",INDEX(반배정!L$7:L$86,$N23))</f>
        <v/>
      </c>
      <c r="L23" s="35" t="str">
        <f aca="false">IF($N23="","",INDEX(반배정!P$7:P$86,$N23))</f>
        <v/>
      </c>
      <c r="M23" s="15" t="str">
        <f aca="false">IFERROR(SMALL(반배정!$Q$7:$Q$86,17),"")</f>
        <v/>
      </c>
      <c r="N23" s="15" t="str">
        <f aca="false">IF(M23="","",MATCH(M23,반배정!$Q$7:$Q$86,0))</f>
        <v/>
      </c>
    </row>
    <row r="24" customFormat="false" ht="15" hidden="false" customHeight="false" outlineLevel="0" collapsed="false">
      <c r="A24" s="35" t="str">
        <f aca="false">IF($N24="","",INDEX(반배정!J$7:J$86,$N24))</f>
        <v/>
      </c>
      <c r="B24" s="35" t="str">
        <f aca="false">IF($N24="","",INDEX(반배정!B$7:B$86,$N24))</f>
        <v/>
      </c>
      <c r="C24" s="35" t="str">
        <f aca="false">IF($N24="","",INDEX(반배정!C$7:C$86,$N24))</f>
        <v/>
      </c>
      <c r="D24" s="35" t="str">
        <f aca="false">IF($N24="","",INDEX(반배정!D$7:D$86,$N24))</f>
        <v/>
      </c>
      <c r="E24" s="35" t="str">
        <f aca="false">IF($N24="","",INDEX(반배정!E$7:E$86,$N24))</f>
        <v/>
      </c>
      <c r="F24" s="35" t="str">
        <f aca="false">IF($N24="","",INDEX(반배정!G$7:G$86,$N24))</f>
        <v/>
      </c>
      <c r="G24" s="35" t="str">
        <f aca="false">IF($N24="","",INDEX(반배정!H$7:H$86,$N24))</f>
        <v/>
      </c>
      <c r="H24" s="45" t="str">
        <f aca="false">IF($N24="","",INDEX(반배정!I$7:I$86,$N24))</f>
        <v/>
      </c>
      <c r="I24" s="34" t="str">
        <f aca="false">IF($N24="","",INDEX(반배정!O$7:O$86,$N24))</f>
        <v/>
      </c>
      <c r="J24" s="35" t="str">
        <f aca="false">IF($N24="","",INDEX(반배정!N$7:N$86,$N24)&amp;"")</f>
        <v/>
      </c>
      <c r="K24" s="35" t="str">
        <f aca="false">IF($N24="","",INDEX(반배정!L$7:L$86,$N24))</f>
        <v/>
      </c>
      <c r="L24" s="35" t="str">
        <f aca="false">IF($N24="","",INDEX(반배정!P$7:P$86,$N24))</f>
        <v/>
      </c>
      <c r="M24" s="15" t="str">
        <f aca="false">IFERROR(SMALL(반배정!$Q$7:$Q$86,18),"")</f>
        <v/>
      </c>
      <c r="N24" s="15" t="str">
        <f aca="false">IF(M24="","",MATCH(M24,반배정!$Q$7:$Q$86,0))</f>
        <v/>
      </c>
    </row>
    <row r="25" customFormat="false" ht="15" hidden="false" customHeight="false" outlineLevel="0" collapsed="false">
      <c r="A25" s="35" t="str">
        <f aca="false">IF($N25="","",INDEX(반배정!J$7:J$86,$N25))</f>
        <v/>
      </c>
      <c r="B25" s="35" t="str">
        <f aca="false">IF($N25="","",INDEX(반배정!B$7:B$86,$N25))</f>
        <v/>
      </c>
      <c r="C25" s="35" t="str">
        <f aca="false">IF($N25="","",INDEX(반배정!C$7:C$86,$N25))</f>
        <v/>
      </c>
      <c r="D25" s="35" t="str">
        <f aca="false">IF($N25="","",INDEX(반배정!D$7:D$86,$N25))</f>
        <v/>
      </c>
      <c r="E25" s="35" t="str">
        <f aca="false">IF($N25="","",INDEX(반배정!E$7:E$86,$N25))</f>
        <v/>
      </c>
      <c r="F25" s="35" t="str">
        <f aca="false">IF($N25="","",INDEX(반배정!G$7:G$86,$N25))</f>
        <v/>
      </c>
      <c r="G25" s="35" t="str">
        <f aca="false">IF($N25="","",INDEX(반배정!H$7:H$86,$N25))</f>
        <v/>
      </c>
      <c r="H25" s="45" t="str">
        <f aca="false">IF($N25="","",INDEX(반배정!I$7:I$86,$N25))</f>
        <v/>
      </c>
      <c r="I25" s="34" t="str">
        <f aca="false">IF($N25="","",INDEX(반배정!O$7:O$86,$N25))</f>
        <v/>
      </c>
      <c r="J25" s="35" t="str">
        <f aca="false">IF($N25="","",INDEX(반배정!N$7:N$86,$N25)&amp;"")</f>
        <v/>
      </c>
      <c r="K25" s="35" t="str">
        <f aca="false">IF($N25="","",INDEX(반배정!L$7:L$86,$N25))</f>
        <v/>
      </c>
      <c r="L25" s="35" t="str">
        <f aca="false">IF($N25="","",INDEX(반배정!P$7:P$86,$N25))</f>
        <v/>
      </c>
      <c r="M25" s="15" t="str">
        <f aca="false">IFERROR(SMALL(반배정!$Q$7:$Q$86,19),"")</f>
        <v/>
      </c>
      <c r="N25" s="15" t="str">
        <f aca="false">IF(M25="","",MATCH(M25,반배정!$Q$7:$Q$86,0))</f>
        <v/>
      </c>
    </row>
    <row r="26" customFormat="false" ht="15" hidden="false" customHeight="false" outlineLevel="0" collapsed="false">
      <c r="A26" s="35" t="str">
        <f aca="false">IF($N26="","",INDEX(반배정!J$7:J$86,$N26))</f>
        <v/>
      </c>
      <c r="B26" s="35" t="str">
        <f aca="false">IF($N26="","",INDEX(반배정!B$7:B$86,$N26))</f>
        <v/>
      </c>
      <c r="C26" s="35" t="str">
        <f aca="false">IF($N26="","",INDEX(반배정!C$7:C$86,$N26))</f>
        <v/>
      </c>
      <c r="D26" s="35" t="str">
        <f aca="false">IF($N26="","",INDEX(반배정!D$7:D$86,$N26))</f>
        <v/>
      </c>
      <c r="E26" s="35" t="str">
        <f aca="false">IF($N26="","",INDEX(반배정!E$7:E$86,$N26))</f>
        <v/>
      </c>
      <c r="F26" s="35" t="str">
        <f aca="false">IF($N26="","",INDEX(반배정!G$7:G$86,$N26))</f>
        <v/>
      </c>
      <c r="G26" s="35" t="str">
        <f aca="false">IF($N26="","",INDEX(반배정!H$7:H$86,$N26))</f>
        <v/>
      </c>
      <c r="H26" s="45" t="str">
        <f aca="false">IF($N26="","",INDEX(반배정!I$7:I$86,$N26))</f>
        <v/>
      </c>
      <c r="I26" s="34" t="str">
        <f aca="false">IF($N26="","",INDEX(반배정!O$7:O$86,$N26))</f>
        <v/>
      </c>
      <c r="J26" s="35" t="str">
        <f aca="false">IF($N26="","",INDEX(반배정!N$7:N$86,$N26)&amp;"")</f>
        <v/>
      </c>
      <c r="K26" s="35" t="str">
        <f aca="false">IF($N26="","",INDEX(반배정!L$7:L$86,$N26))</f>
        <v/>
      </c>
      <c r="L26" s="35" t="str">
        <f aca="false">IF($N26="","",INDEX(반배정!P$7:P$86,$N26))</f>
        <v/>
      </c>
      <c r="M26" s="15" t="str">
        <f aca="false">IFERROR(SMALL(반배정!$Q$7:$Q$86,20),"")</f>
        <v/>
      </c>
      <c r="N26" s="15" t="str">
        <f aca="false">IF(M26="","",MATCH(M26,반배정!$Q$7:$Q$86,0))</f>
        <v/>
      </c>
    </row>
    <row r="27" customFormat="false" ht="15" hidden="false" customHeight="false" outlineLevel="0" collapsed="false">
      <c r="A27" s="35" t="str">
        <f aca="false">IF($N27="","",INDEX(반배정!J$7:J$86,$N27))</f>
        <v/>
      </c>
      <c r="B27" s="35" t="str">
        <f aca="false">IF($N27="","",INDEX(반배정!B$7:B$86,$N27))</f>
        <v/>
      </c>
      <c r="C27" s="35" t="str">
        <f aca="false">IF($N27="","",INDEX(반배정!C$7:C$86,$N27))</f>
        <v/>
      </c>
      <c r="D27" s="35" t="str">
        <f aca="false">IF($N27="","",INDEX(반배정!D$7:D$86,$N27))</f>
        <v/>
      </c>
      <c r="E27" s="35" t="str">
        <f aca="false">IF($N27="","",INDEX(반배정!E$7:E$86,$N27))</f>
        <v/>
      </c>
      <c r="F27" s="35" t="str">
        <f aca="false">IF($N27="","",INDEX(반배정!G$7:G$86,$N27))</f>
        <v/>
      </c>
      <c r="G27" s="35" t="str">
        <f aca="false">IF($N27="","",INDEX(반배정!H$7:H$86,$N27))</f>
        <v/>
      </c>
      <c r="H27" s="45" t="str">
        <f aca="false">IF($N27="","",INDEX(반배정!I$7:I$86,$N27))</f>
        <v/>
      </c>
      <c r="I27" s="34" t="str">
        <f aca="false">IF($N27="","",INDEX(반배정!O$7:O$86,$N27))</f>
        <v/>
      </c>
      <c r="J27" s="35" t="str">
        <f aca="false">IF($N27="","",INDEX(반배정!N$7:N$86,$N27)&amp;"")</f>
        <v/>
      </c>
      <c r="K27" s="35" t="str">
        <f aca="false">IF($N27="","",INDEX(반배정!L$7:L$86,$N27))</f>
        <v/>
      </c>
      <c r="L27" s="35" t="str">
        <f aca="false">IF($N27="","",INDEX(반배정!P$7:P$86,$N27))</f>
        <v/>
      </c>
      <c r="M27" s="15" t="str">
        <f aca="false">IFERROR(SMALL(반배정!$Q$7:$Q$86,21),"")</f>
        <v/>
      </c>
      <c r="N27" s="15" t="str">
        <f aca="false">IF(M27="","",MATCH(M27,반배정!$Q$7:$Q$86,0))</f>
        <v/>
      </c>
    </row>
    <row r="28" customFormat="false" ht="15" hidden="false" customHeight="false" outlineLevel="0" collapsed="false">
      <c r="A28" s="35" t="str">
        <f aca="false">IF($N28="","",INDEX(반배정!J$7:J$86,$N28))</f>
        <v/>
      </c>
      <c r="B28" s="35" t="str">
        <f aca="false">IF($N28="","",INDEX(반배정!B$7:B$86,$N28))</f>
        <v/>
      </c>
      <c r="C28" s="35" t="str">
        <f aca="false">IF($N28="","",INDEX(반배정!C$7:C$86,$N28))</f>
        <v/>
      </c>
      <c r="D28" s="35" t="str">
        <f aca="false">IF($N28="","",INDEX(반배정!D$7:D$86,$N28))</f>
        <v/>
      </c>
      <c r="E28" s="35" t="str">
        <f aca="false">IF($N28="","",INDEX(반배정!E$7:E$86,$N28))</f>
        <v/>
      </c>
      <c r="F28" s="35" t="str">
        <f aca="false">IF($N28="","",INDEX(반배정!G$7:G$86,$N28))</f>
        <v/>
      </c>
      <c r="G28" s="35" t="str">
        <f aca="false">IF($N28="","",INDEX(반배정!H$7:H$86,$N28))</f>
        <v/>
      </c>
      <c r="H28" s="45" t="str">
        <f aca="false">IF($N28="","",INDEX(반배정!I$7:I$86,$N28))</f>
        <v/>
      </c>
      <c r="I28" s="34" t="str">
        <f aca="false">IF($N28="","",INDEX(반배정!O$7:O$86,$N28))</f>
        <v/>
      </c>
      <c r="J28" s="35" t="str">
        <f aca="false">IF($N28="","",INDEX(반배정!N$7:N$86,$N28)&amp;"")</f>
        <v/>
      </c>
      <c r="K28" s="35" t="str">
        <f aca="false">IF($N28="","",INDEX(반배정!L$7:L$86,$N28))</f>
        <v/>
      </c>
      <c r="L28" s="35" t="str">
        <f aca="false">IF($N28="","",INDEX(반배정!P$7:P$86,$N28))</f>
        <v/>
      </c>
      <c r="M28" s="15" t="str">
        <f aca="false">IFERROR(SMALL(반배정!$Q$7:$Q$86,22),"")</f>
        <v/>
      </c>
      <c r="N28" s="15" t="str">
        <f aca="false">IF(M28="","",MATCH(M28,반배정!$Q$7:$Q$86,0))</f>
        <v/>
      </c>
    </row>
    <row r="29" customFormat="false" ht="15" hidden="false" customHeight="false" outlineLevel="0" collapsed="false">
      <c r="A29" s="35" t="str">
        <f aca="false">IF($N29="","",INDEX(반배정!J$7:J$86,$N29))</f>
        <v/>
      </c>
      <c r="B29" s="35" t="str">
        <f aca="false">IF($N29="","",INDEX(반배정!B$7:B$86,$N29))</f>
        <v/>
      </c>
      <c r="C29" s="35" t="str">
        <f aca="false">IF($N29="","",INDEX(반배정!C$7:C$86,$N29))</f>
        <v/>
      </c>
      <c r="D29" s="35" t="str">
        <f aca="false">IF($N29="","",INDEX(반배정!D$7:D$86,$N29))</f>
        <v/>
      </c>
      <c r="E29" s="35" t="str">
        <f aca="false">IF($N29="","",INDEX(반배정!E$7:E$86,$N29))</f>
        <v/>
      </c>
      <c r="F29" s="35" t="str">
        <f aca="false">IF($N29="","",INDEX(반배정!G$7:G$86,$N29))</f>
        <v/>
      </c>
      <c r="G29" s="35" t="str">
        <f aca="false">IF($N29="","",INDEX(반배정!H$7:H$86,$N29))</f>
        <v/>
      </c>
      <c r="H29" s="45" t="str">
        <f aca="false">IF($N29="","",INDEX(반배정!I$7:I$86,$N29))</f>
        <v/>
      </c>
      <c r="I29" s="34" t="str">
        <f aca="false">IF($N29="","",INDEX(반배정!O$7:O$86,$N29))</f>
        <v/>
      </c>
      <c r="J29" s="35" t="str">
        <f aca="false">IF($N29="","",INDEX(반배정!N$7:N$86,$N29)&amp;"")</f>
        <v/>
      </c>
      <c r="K29" s="35" t="str">
        <f aca="false">IF($N29="","",INDEX(반배정!L$7:L$86,$N29))</f>
        <v/>
      </c>
      <c r="L29" s="35" t="str">
        <f aca="false">IF($N29="","",INDEX(반배정!P$7:P$86,$N29))</f>
        <v/>
      </c>
      <c r="M29" s="15" t="str">
        <f aca="false">IFERROR(SMALL(반배정!$Q$7:$Q$86,23),"")</f>
        <v/>
      </c>
      <c r="N29" s="15" t="str">
        <f aca="false">IF(M29="","",MATCH(M29,반배정!$Q$7:$Q$86,0))</f>
        <v/>
      </c>
    </row>
    <row r="30" customFormat="false" ht="15" hidden="false" customHeight="false" outlineLevel="0" collapsed="false">
      <c r="A30" s="35" t="str">
        <f aca="false">IF($N30="","",INDEX(반배정!J$7:J$86,$N30))</f>
        <v/>
      </c>
      <c r="B30" s="35" t="str">
        <f aca="false">IF($N30="","",INDEX(반배정!B$7:B$86,$N30))</f>
        <v/>
      </c>
      <c r="C30" s="35" t="str">
        <f aca="false">IF($N30="","",INDEX(반배정!C$7:C$86,$N30))</f>
        <v/>
      </c>
      <c r="D30" s="35" t="str">
        <f aca="false">IF($N30="","",INDEX(반배정!D$7:D$86,$N30))</f>
        <v/>
      </c>
      <c r="E30" s="35" t="str">
        <f aca="false">IF($N30="","",INDEX(반배정!E$7:E$86,$N30))</f>
        <v/>
      </c>
      <c r="F30" s="35" t="str">
        <f aca="false">IF($N30="","",INDEX(반배정!G$7:G$86,$N30))</f>
        <v/>
      </c>
      <c r="G30" s="35" t="str">
        <f aca="false">IF($N30="","",INDEX(반배정!H$7:H$86,$N30))</f>
        <v/>
      </c>
      <c r="H30" s="45" t="str">
        <f aca="false">IF($N30="","",INDEX(반배정!I$7:I$86,$N30))</f>
        <v/>
      </c>
      <c r="I30" s="34" t="str">
        <f aca="false">IF($N30="","",INDEX(반배정!O$7:O$86,$N30))</f>
        <v/>
      </c>
      <c r="J30" s="35" t="str">
        <f aca="false">IF($N30="","",INDEX(반배정!N$7:N$86,$N30)&amp;"")</f>
        <v/>
      </c>
      <c r="K30" s="35" t="str">
        <f aca="false">IF($N30="","",INDEX(반배정!L$7:L$86,$N30))</f>
        <v/>
      </c>
      <c r="L30" s="35" t="str">
        <f aca="false">IF($N30="","",INDEX(반배정!P$7:P$86,$N30))</f>
        <v/>
      </c>
      <c r="M30" s="15" t="str">
        <f aca="false">IFERROR(SMALL(반배정!$Q$7:$Q$86,24),"")</f>
        <v/>
      </c>
      <c r="N30" s="15" t="str">
        <f aca="false">IF(M30="","",MATCH(M30,반배정!$Q$7:$Q$86,0))</f>
        <v/>
      </c>
    </row>
    <row r="31" customFormat="false" ht="15" hidden="false" customHeight="false" outlineLevel="0" collapsed="false">
      <c r="A31" s="35" t="str">
        <f aca="false">IF($N31="","",INDEX(반배정!J$7:J$86,$N31))</f>
        <v/>
      </c>
      <c r="B31" s="35" t="str">
        <f aca="false">IF($N31="","",INDEX(반배정!B$7:B$86,$N31))</f>
        <v/>
      </c>
      <c r="C31" s="35" t="str">
        <f aca="false">IF($N31="","",INDEX(반배정!C$7:C$86,$N31))</f>
        <v/>
      </c>
      <c r="D31" s="35" t="str">
        <f aca="false">IF($N31="","",INDEX(반배정!D$7:D$86,$N31))</f>
        <v/>
      </c>
      <c r="E31" s="35" t="str">
        <f aca="false">IF($N31="","",INDEX(반배정!E$7:E$86,$N31))</f>
        <v/>
      </c>
      <c r="F31" s="35" t="str">
        <f aca="false">IF($N31="","",INDEX(반배정!G$7:G$86,$N31))</f>
        <v/>
      </c>
      <c r="G31" s="35" t="str">
        <f aca="false">IF($N31="","",INDEX(반배정!H$7:H$86,$N31))</f>
        <v/>
      </c>
      <c r="H31" s="45" t="str">
        <f aca="false">IF($N31="","",INDEX(반배정!I$7:I$86,$N31))</f>
        <v/>
      </c>
      <c r="I31" s="34" t="str">
        <f aca="false">IF($N31="","",INDEX(반배정!O$7:O$86,$N31))</f>
        <v/>
      </c>
      <c r="J31" s="35" t="str">
        <f aca="false">IF($N31="","",INDEX(반배정!N$7:N$86,$N31)&amp;"")</f>
        <v/>
      </c>
      <c r="K31" s="35" t="str">
        <f aca="false">IF($N31="","",INDEX(반배정!L$7:L$86,$N31))</f>
        <v/>
      </c>
      <c r="L31" s="35" t="str">
        <f aca="false">IF($N31="","",INDEX(반배정!P$7:P$86,$N31))</f>
        <v/>
      </c>
      <c r="M31" s="15" t="str">
        <f aca="false">IFERROR(SMALL(반배정!$Q$7:$Q$86,25),"")</f>
        <v/>
      </c>
      <c r="N31" s="15" t="str">
        <f aca="false">IF(M31="","",MATCH(M31,반배정!$Q$7:$Q$86,0))</f>
        <v/>
      </c>
    </row>
    <row r="32" customFormat="false" ht="15" hidden="false" customHeight="false" outlineLevel="0" collapsed="false">
      <c r="A32" s="35" t="str">
        <f aca="false">IF($N32="","",INDEX(반배정!J$7:J$86,$N32))</f>
        <v/>
      </c>
      <c r="B32" s="35" t="str">
        <f aca="false">IF($N32="","",INDEX(반배정!B$7:B$86,$N32))</f>
        <v/>
      </c>
      <c r="C32" s="35" t="str">
        <f aca="false">IF($N32="","",INDEX(반배정!C$7:C$86,$N32))</f>
        <v/>
      </c>
      <c r="D32" s="35" t="str">
        <f aca="false">IF($N32="","",INDEX(반배정!D$7:D$86,$N32))</f>
        <v/>
      </c>
      <c r="E32" s="35" t="str">
        <f aca="false">IF($N32="","",INDEX(반배정!E$7:E$86,$N32))</f>
        <v/>
      </c>
      <c r="F32" s="35" t="str">
        <f aca="false">IF($N32="","",INDEX(반배정!G$7:G$86,$N32))</f>
        <v/>
      </c>
      <c r="G32" s="35" t="str">
        <f aca="false">IF($N32="","",INDEX(반배정!H$7:H$86,$N32))</f>
        <v/>
      </c>
      <c r="H32" s="45" t="str">
        <f aca="false">IF($N32="","",INDEX(반배정!I$7:I$86,$N32))</f>
        <v/>
      </c>
      <c r="I32" s="34" t="str">
        <f aca="false">IF($N32="","",INDEX(반배정!O$7:O$86,$N32))</f>
        <v/>
      </c>
      <c r="J32" s="35" t="str">
        <f aca="false">IF($N32="","",INDEX(반배정!N$7:N$86,$N32)&amp;"")</f>
        <v/>
      </c>
      <c r="K32" s="35" t="str">
        <f aca="false">IF($N32="","",INDEX(반배정!L$7:L$86,$N32))</f>
        <v/>
      </c>
      <c r="L32" s="35" t="str">
        <f aca="false">IF($N32="","",INDEX(반배정!P$7:P$86,$N32))</f>
        <v/>
      </c>
      <c r="M32" s="15" t="str">
        <f aca="false">IFERROR(SMALL(반배정!$Q$7:$Q$86,26),"")</f>
        <v/>
      </c>
      <c r="N32" s="15" t="str">
        <f aca="false">IF(M32="","",MATCH(M32,반배정!$Q$7:$Q$86,0))</f>
        <v/>
      </c>
    </row>
    <row r="33" customFormat="false" ht="15" hidden="false" customHeight="false" outlineLevel="0" collapsed="false">
      <c r="A33" s="35" t="str">
        <f aca="false">IF($N33="","",INDEX(반배정!J$7:J$86,$N33))</f>
        <v/>
      </c>
      <c r="B33" s="35" t="str">
        <f aca="false">IF($N33="","",INDEX(반배정!B$7:B$86,$N33))</f>
        <v/>
      </c>
      <c r="C33" s="35" t="str">
        <f aca="false">IF($N33="","",INDEX(반배정!C$7:C$86,$N33))</f>
        <v/>
      </c>
      <c r="D33" s="35" t="str">
        <f aca="false">IF($N33="","",INDEX(반배정!D$7:D$86,$N33))</f>
        <v/>
      </c>
      <c r="E33" s="35" t="str">
        <f aca="false">IF($N33="","",INDEX(반배정!E$7:E$86,$N33))</f>
        <v/>
      </c>
      <c r="F33" s="35" t="str">
        <f aca="false">IF($N33="","",INDEX(반배정!G$7:G$86,$N33))</f>
        <v/>
      </c>
      <c r="G33" s="35" t="str">
        <f aca="false">IF($N33="","",INDEX(반배정!H$7:H$86,$N33))</f>
        <v/>
      </c>
      <c r="H33" s="45" t="str">
        <f aca="false">IF($N33="","",INDEX(반배정!I$7:I$86,$N33))</f>
        <v/>
      </c>
      <c r="I33" s="34" t="str">
        <f aca="false">IF($N33="","",INDEX(반배정!O$7:O$86,$N33))</f>
        <v/>
      </c>
      <c r="J33" s="35" t="str">
        <f aca="false">IF($N33="","",INDEX(반배정!N$7:N$86,$N33)&amp;"")</f>
        <v/>
      </c>
      <c r="K33" s="35" t="str">
        <f aca="false">IF($N33="","",INDEX(반배정!L$7:L$86,$N33))</f>
        <v/>
      </c>
      <c r="L33" s="35" t="str">
        <f aca="false">IF($N33="","",INDEX(반배정!P$7:P$86,$N33))</f>
        <v/>
      </c>
      <c r="M33" s="15" t="str">
        <f aca="false">IFERROR(SMALL(반배정!$Q$7:$Q$86,27),"")</f>
        <v/>
      </c>
      <c r="N33" s="15" t="str">
        <f aca="false">IF(M33="","",MATCH(M33,반배정!$Q$7:$Q$86,0))</f>
        <v/>
      </c>
    </row>
    <row r="34" customFormat="false" ht="15" hidden="false" customHeight="false" outlineLevel="0" collapsed="false">
      <c r="A34" s="35" t="str">
        <f aca="false">IF($N34="","",INDEX(반배정!J$7:J$86,$N34))</f>
        <v/>
      </c>
      <c r="B34" s="35" t="str">
        <f aca="false">IF($N34="","",INDEX(반배정!B$7:B$86,$N34))</f>
        <v/>
      </c>
      <c r="C34" s="35" t="str">
        <f aca="false">IF($N34="","",INDEX(반배정!C$7:C$86,$N34))</f>
        <v/>
      </c>
      <c r="D34" s="35" t="str">
        <f aca="false">IF($N34="","",INDEX(반배정!D$7:D$86,$N34))</f>
        <v/>
      </c>
      <c r="E34" s="35" t="str">
        <f aca="false">IF($N34="","",INDEX(반배정!E$7:E$86,$N34))</f>
        <v/>
      </c>
      <c r="F34" s="35" t="str">
        <f aca="false">IF($N34="","",INDEX(반배정!G$7:G$86,$N34))</f>
        <v/>
      </c>
      <c r="G34" s="35" t="str">
        <f aca="false">IF($N34="","",INDEX(반배정!H$7:H$86,$N34))</f>
        <v/>
      </c>
      <c r="H34" s="45" t="str">
        <f aca="false">IF($N34="","",INDEX(반배정!I$7:I$86,$N34))</f>
        <v/>
      </c>
      <c r="I34" s="34" t="str">
        <f aca="false">IF($N34="","",INDEX(반배정!O$7:O$86,$N34))</f>
        <v/>
      </c>
      <c r="J34" s="35" t="str">
        <f aca="false">IF($N34="","",INDEX(반배정!N$7:N$86,$N34)&amp;"")</f>
        <v/>
      </c>
      <c r="K34" s="35" t="str">
        <f aca="false">IF($N34="","",INDEX(반배정!L$7:L$86,$N34))</f>
        <v/>
      </c>
      <c r="L34" s="35" t="str">
        <f aca="false">IF($N34="","",INDEX(반배정!P$7:P$86,$N34))</f>
        <v/>
      </c>
      <c r="M34" s="15" t="str">
        <f aca="false">IFERROR(SMALL(반배정!$Q$7:$Q$86,28),"")</f>
        <v/>
      </c>
      <c r="N34" s="15" t="str">
        <f aca="false">IF(M34="","",MATCH(M34,반배정!$Q$7:$Q$86,0))</f>
        <v/>
      </c>
    </row>
    <row r="35" customFormat="false" ht="15" hidden="false" customHeight="false" outlineLevel="0" collapsed="false">
      <c r="A35" s="35" t="str">
        <f aca="false">IF($N35="","",INDEX(반배정!J$7:J$86,$N35))</f>
        <v/>
      </c>
      <c r="B35" s="35" t="str">
        <f aca="false">IF($N35="","",INDEX(반배정!B$7:B$86,$N35))</f>
        <v/>
      </c>
      <c r="C35" s="35" t="str">
        <f aca="false">IF($N35="","",INDEX(반배정!C$7:C$86,$N35))</f>
        <v/>
      </c>
      <c r="D35" s="35" t="str">
        <f aca="false">IF($N35="","",INDEX(반배정!D$7:D$86,$N35))</f>
        <v/>
      </c>
      <c r="E35" s="35" t="str">
        <f aca="false">IF($N35="","",INDEX(반배정!E$7:E$86,$N35))</f>
        <v/>
      </c>
      <c r="F35" s="35" t="str">
        <f aca="false">IF($N35="","",INDEX(반배정!G$7:G$86,$N35))</f>
        <v/>
      </c>
      <c r="G35" s="35" t="str">
        <f aca="false">IF($N35="","",INDEX(반배정!H$7:H$86,$N35))</f>
        <v/>
      </c>
      <c r="H35" s="45" t="str">
        <f aca="false">IF($N35="","",INDEX(반배정!I$7:I$86,$N35))</f>
        <v/>
      </c>
      <c r="I35" s="34" t="str">
        <f aca="false">IF($N35="","",INDEX(반배정!O$7:O$86,$N35))</f>
        <v/>
      </c>
      <c r="J35" s="35" t="str">
        <f aca="false">IF($N35="","",INDEX(반배정!N$7:N$86,$N35)&amp;"")</f>
        <v/>
      </c>
      <c r="K35" s="35" t="str">
        <f aca="false">IF($N35="","",INDEX(반배정!L$7:L$86,$N35))</f>
        <v/>
      </c>
      <c r="L35" s="35" t="str">
        <f aca="false">IF($N35="","",INDEX(반배정!P$7:P$86,$N35))</f>
        <v/>
      </c>
      <c r="M35" s="15" t="str">
        <f aca="false">IFERROR(SMALL(반배정!$Q$7:$Q$86,29),"")</f>
        <v/>
      </c>
      <c r="N35" s="15" t="str">
        <f aca="false">IF(M35="","",MATCH(M35,반배정!$Q$7:$Q$86,0))</f>
        <v/>
      </c>
    </row>
    <row r="36" customFormat="false" ht="15" hidden="false" customHeight="false" outlineLevel="0" collapsed="false">
      <c r="A36" s="35" t="str">
        <f aca="false">IF($N36="","",INDEX(반배정!J$7:J$86,$N36))</f>
        <v/>
      </c>
      <c r="B36" s="35" t="str">
        <f aca="false">IF($N36="","",INDEX(반배정!B$7:B$86,$N36))</f>
        <v/>
      </c>
      <c r="C36" s="35" t="str">
        <f aca="false">IF($N36="","",INDEX(반배정!C$7:C$86,$N36))</f>
        <v/>
      </c>
      <c r="D36" s="35" t="str">
        <f aca="false">IF($N36="","",INDEX(반배정!D$7:D$86,$N36))</f>
        <v/>
      </c>
      <c r="E36" s="35" t="str">
        <f aca="false">IF($N36="","",INDEX(반배정!E$7:E$86,$N36))</f>
        <v/>
      </c>
      <c r="F36" s="35" t="str">
        <f aca="false">IF($N36="","",INDEX(반배정!G$7:G$86,$N36))</f>
        <v/>
      </c>
      <c r="G36" s="35" t="str">
        <f aca="false">IF($N36="","",INDEX(반배정!H$7:H$86,$N36))</f>
        <v/>
      </c>
      <c r="H36" s="45" t="str">
        <f aca="false">IF($N36="","",INDEX(반배정!I$7:I$86,$N36))</f>
        <v/>
      </c>
      <c r="I36" s="34" t="str">
        <f aca="false">IF($N36="","",INDEX(반배정!O$7:O$86,$N36))</f>
        <v/>
      </c>
      <c r="J36" s="35" t="str">
        <f aca="false">IF($N36="","",INDEX(반배정!N$7:N$86,$N36)&amp;"")</f>
        <v/>
      </c>
      <c r="K36" s="35" t="str">
        <f aca="false">IF($N36="","",INDEX(반배정!L$7:L$86,$N36))</f>
        <v/>
      </c>
      <c r="L36" s="35" t="str">
        <f aca="false">IF($N36="","",INDEX(반배정!P$7:P$86,$N36))</f>
        <v/>
      </c>
      <c r="M36" s="15" t="str">
        <f aca="false">IFERROR(SMALL(반배정!$Q$7:$Q$86,30),"")</f>
        <v/>
      </c>
      <c r="N36" s="15" t="str">
        <f aca="false">IF(M36="","",MATCH(M36,반배정!$Q$7:$Q$86,0))</f>
        <v/>
      </c>
    </row>
    <row r="37" customFormat="false" ht="15" hidden="false" customHeight="false" outlineLevel="0" collapsed="false">
      <c r="A37" s="35" t="str">
        <f aca="false">IF($N37="","",INDEX(반배정!J$7:J$86,$N37))</f>
        <v/>
      </c>
      <c r="B37" s="35" t="str">
        <f aca="false">IF($N37="","",INDEX(반배정!B$7:B$86,$N37))</f>
        <v/>
      </c>
      <c r="C37" s="35" t="str">
        <f aca="false">IF($N37="","",INDEX(반배정!C$7:C$86,$N37))</f>
        <v/>
      </c>
      <c r="D37" s="35" t="str">
        <f aca="false">IF($N37="","",INDEX(반배정!D$7:D$86,$N37))</f>
        <v/>
      </c>
      <c r="E37" s="35" t="str">
        <f aca="false">IF($N37="","",INDEX(반배정!E$7:E$86,$N37))</f>
        <v/>
      </c>
      <c r="F37" s="35" t="str">
        <f aca="false">IF($N37="","",INDEX(반배정!G$7:G$86,$N37))</f>
        <v/>
      </c>
      <c r="G37" s="35" t="str">
        <f aca="false">IF($N37="","",INDEX(반배정!H$7:H$86,$N37))</f>
        <v/>
      </c>
      <c r="H37" s="45" t="str">
        <f aca="false">IF($N37="","",INDEX(반배정!I$7:I$86,$N37))</f>
        <v/>
      </c>
      <c r="I37" s="34" t="str">
        <f aca="false">IF($N37="","",INDEX(반배정!O$7:O$86,$N37))</f>
        <v/>
      </c>
      <c r="J37" s="35" t="str">
        <f aca="false">IF($N37="","",INDEX(반배정!N$7:N$86,$N37)&amp;"")</f>
        <v/>
      </c>
      <c r="K37" s="35" t="str">
        <f aca="false">IF($N37="","",INDEX(반배정!L$7:L$86,$N37))</f>
        <v/>
      </c>
      <c r="L37" s="35" t="str">
        <f aca="false">IF($N37="","",INDEX(반배정!P$7:P$86,$N37))</f>
        <v/>
      </c>
      <c r="M37" s="15" t="str">
        <f aca="false">IFERROR(SMALL(반배정!$Q$7:$Q$86,31),"")</f>
        <v/>
      </c>
      <c r="N37" s="15" t="str">
        <f aca="false">IF(M37="","",MATCH(M37,반배정!$Q$7:$Q$86,0))</f>
        <v/>
      </c>
    </row>
    <row r="38" customFormat="false" ht="15" hidden="false" customHeight="false" outlineLevel="0" collapsed="false">
      <c r="A38" s="35" t="str">
        <f aca="false">IF($N38="","",INDEX(반배정!J$7:J$86,$N38))</f>
        <v/>
      </c>
      <c r="B38" s="35" t="str">
        <f aca="false">IF($N38="","",INDEX(반배정!B$7:B$86,$N38))</f>
        <v/>
      </c>
      <c r="C38" s="35" t="str">
        <f aca="false">IF($N38="","",INDEX(반배정!C$7:C$86,$N38))</f>
        <v/>
      </c>
      <c r="D38" s="35" t="str">
        <f aca="false">IF($N38="","",INDEX(반배정!D$7:D$86,$N38))</f>
        <v/>
      </c>
      <c r="E38" s="35" t="str">
        <f aca="false">IF($N38="","",INDEX(반배정!E$7:E$86,$N38))</f>
        <v/>
      </c>
      <c r="F38" s="35" t="str">
        <f aca="false">IF($N38="","",INDEX(반배정!G$7:G$86,$N38))</f>
        <v/>
      </c>
      <c r="G38" s="35" t="str">
        <f aca="false">IF($N38="","",INDEX(반배정!H$7:H$86,$N38))</f>
        <v/>
      </c>
      <c r="H38" s="45" t="str">
        <f aca="false">IF($N38="","",INDEX(반배정!I$7:I$86,$N38))</f>
        <v/>
      </c>
      <c r="I38" s="34" t="str">
        <f aca="false">IF($N38="","",INDEX(반배정!O$7:O$86,$N38))</f>
        <v/>
      </c>
      <c r="J38" s="35" t="str">
        <f aca="false">IF($N38="","",INDEX(반배정!N$7:N$86,$N38)&amp;"")</f>
        <v/>
      </c>
      <c r="K38" s="35" t="str">
        <f aca="false">IF($N38="","",INDEX(반배정!L$7:L$86,$N38))</f>
        <v/>
      </c>
      <c r="L38" s="35" t="str">
        <f aca="false">IF($N38="","",INDEX(반배정!P$7:P$86,$N38))</f>
        <v/>
      </c>
      <c r="M38" s="15" t="str">
        <f aca="false">IFERROR(SMALL(반배정!$Q$7:$Q$86,32),"")</f>
        <v/>
      </c>
      <c r="N38" s="15" t="str">
        <f aca="false">IF(M38="","",MATCH(M38,반배정!$Q$7:$Q$86,0))</f>
        <v/>
      </c>
    </row>
    <row r="39" customFormat="false" ht="15" hidden="false" customHeight="false" outlineLevel="0" collapsed="false">
      <c r="A39" s="35" t="str">
        <f aca="false">IF($N39="","",INDEX(반배정!J$7:J$86,$N39))</f>
        <v/>
      </c>
      <c r="B39" s="35" t="str">
        <f aca="false">IF($N39="","",INDEX(반배정!B$7:B$86,$N39))</f>
        <v/>
      </c>
      <c r="C39" s="35" t="str">
        <f aca="false">IF($N39="","",INDEX(반배정!C$7:C$86,$N39))</f>
        <v/>
      </c>
      <c r="D39" s="35" t="str">
        <f aca="false">IF($N39="","",INDEX(반배정!D$7:D$86,$N39))</f>
        <v/>
      </c>
      <c r="E39" s="35" t="str">
        <f aca="false">IF($N39="","",INDEX(반배정!E$7:E$86,$N39))</f>
        <v/>
      </c>
      <c r="F39" s="35" t="str">
        <f aca="false">IF($N39="","",INDEX(반배정!G$7:G$86,$N39))</f>
        <v/>
      </c>
      <c r="G39" s="35" t="str">
        <f aca="false">IF($N39="","",INDEX(반배정!H$7:H$86,$N39))</f>
        <v/>
      </c>
      <c r="H39" s="45" t="str">
        <f aca="false">IF($N39="","",INDEX(반배정!I$7:I$86,$N39))</f>
        <v/>
      </c>
      <c r="I39" s="34" t="str">
        <f aca="false">IF($N39="","",INDEX(반배정!O$7:O$86,$N39))</f>
        <v/>
      </c>
      <c r="J39" s="35" t="str">
        <f aca="false">IF($N39="","",INDEX(반배정!N$7:N$86,$N39)&amp;"")</f>
        <v/>
      </c>
      <c r="K39" s="35" t="str">
        <f aca="false">IF($N39="","",INDEX(반배정!L$7:L$86,$N39))</f>
        <v/>
      </c>
      <c r="L39" s="35" t="str">
        <f aca="false">IF($N39="","",INDEX(반배정!P$7:P$86,$N39))</f>
        <v/>
      </c>
      <c r="M39" s="15" t="str">
        <f aca="false">IFERROR(SMALL(반배정!$Q$7:$Q$86,33),"")</f>
        <v/>
      </c>
      <c r="N39" s="15" t="str">
        <f aca="false">IF(M39="","",MATCH(M39,반배정!$Q$7:$Q$86,0))</f>
        <v/>
      </c>
    </row>
    <row r="40" customFormat="false" ht="15" hidden="false" customHeight="false" outlineLevel="0" collapsed="false">
      <c r="A40" s="35" t="str">
        <f aca="false">IF($N40="","",INDEX(반배정!J$7:J$86,$N40))</f>
        <v/>
      </c>
      <c r="B40" s="35" t="str">
        <f aca="false">IF($N40="","",INDEX(반배정!B$7:B$86,$N40))</f>
        <v/>
      </c>
      <c r="C40" s="35" t="str">
        <f aca="false">IF($N40="","",INDEX(반배정!C$7:C$86,$N40))</f>
        <v/>
      </c>
      <c r="D40" s="35" t="str">
        <f aca="false">IF($N40="","",INDEX(반배정!D$7:D$86,$N40))</f>
        <v/>
      </c>
      <c r="E40" s="35" t="str">
        <f aca="false">IF($N40="","",INDEX(반배정!E$7:E$86,$N40))</f>
        <v/>
      </c>
      <c r="F40" s="35" t="str">
        <f aca="false">IF($N40="","",INDEX(반배정!G$7:G$86,$N40))</f>
        <v/>
      </c>
      <c r="G40" s="35" t="str">
        <f aca="false">IF($N40="","",INDEX(반배정!H$7:H$86,$N40))</f>
        <v/>
      </c>
      <c r="H40" s="45" t="str">
        <f aca="false">IF($N40="","",INDEX(반배정!I$7:I$86,$N40))</f>
        <v/>
      </c>
      <c r="I40" s="34" t="str">
        <f aca="false">IF($N40="","",INDEX(반배정!O$7:O$86,$N40))</f>
        <v/>
      </c>
      <c r="J40" s="35" t="str">
        <f aca="false">IF($N40="","",INDEX(반배정!N$7:N$86,$N40)&amp;"")</f>
        <v/>
      </c>
      <c r="K40" s="35" t="str">
        <f aca="false">IF($N40="","",INDEX(반배정!L$7:L$86,$N40))</f>
        <v/>
      </c>
      <c r="L40" s="35" t="str">
        <f aca="false">IF($N40="","",INDEX(반배정!P$7:P$86,$N40))</f>
        <v/>
      </c>
      <c r="M40" s="15" t="str">
        <f aca="false">IFERROR(SMALL(반배정!$Q$7:$Q$86,34),"")</f>
        <v/>
      </c>
      <c r="N40" s="15" t="str">
        <f aca="false">IF(M40="","",MATCH(M40,반배정!$Q$7:$Q$86,0))</f>
        <v/>
      </c>
    </row>
    <row r="41" customFormat="false" ht="15" hidden="false" customHeight="false" outlineLevel="0" collapsed="false">
      <c r="A41" s="35" t="str">
        <f aca="false">IF($N41="","",INDEX(반배정!J$7:J$86,$N41))</f>
        <v/>
      </c>
      <c r="B41" s="35" t="str">
        <f aca="false">IF($N41="","",INDEX(반배정!B$7:B$86,$N41))</f>
        <v/>
      </c>
      <c r="C41" s="35" t="str">
        <f aca="false">IF($N41="","",INDEX(반배정!C$7:C$86,$N41))</f>
        <v/>
      </c>
      <c r="D41" s="35" t="str">
        <f aca="false">IF($N41="","",INDEX(반배정!D$7:D$86,$N41))</f>
        <v/>
      </c>
      <c r="E41" s="35" t="str">
        <f aca="false">IF($N41="","",INDEX(반배정!E$7:E$86,$N41))</f>
        <v/>
      </c>
      <c r="F41" s="35" t="str">
        <f aca="false">IF($N41="","",INDEX(반배정!G$7:G$86,$N41))</f>
        <v/>
      </c>
      <c r="G41" s="35" t="str">
        <f aca="false">IF($N41="","",INDEX(반배정!H$7:H$86,$N41))</f>
        <v/>
      </c>
      <c r="H41" s="45" t="str">
        <f aca="false">IF($N41="","",INDEX(반배정!I$7:I$86,$N41))</f>
        <v/>
      </c>
      <c r="I41" s="34" t="str">
        <f aca="false">IF($N41="","",INDEX(반배정!O$7:O$86,$N41))</f>
        <v/>
      </c>
      <c r="J41" s="35" t="str">
        <f aca="false">IF($N41="","",INDEX(반배정!N$7:N$86,$N41)&amp;"")</f>
        <v/>
      </c>
      <c r="K41" s="35" t="str">
        <f aca="false">IF($N41="","",INDEX(반배정!L$7:L$86,$N41))</f>
        <v/>
      </c>
      <c r="L41" s="35" t="str">
        <f aca="false">IF($N41="","",INDEX(반배정!P$7:P$86,$N41))</f>
        <v/>
      </c>
      <c r="M41" s="15" t="str">
        <f aca="false">IFERROR(SMALL(반배정!$Q$7:$Q$86,35),"")</f>
        <v/>
      </c>
      <c r="N41" s="15" t="str">
        <f aca="false">IF(M41="","",MATCH(M41,반배정!$Q$7:$Q$86,0))</f>
        <v/>
      </c>
    </row>
    <row r="42" customFormat="false" ht="15" hidden="false" customHeight="false" outlineLevel="0" collapsed="false">
      <c r="A42" s="35" t="str">
        <f aca="false">IF($N42="","",INDEX(반배정!J$7:J$86,$N42))</f>
        <v/>
      </c>
      <c r="B42" s="35" t="str">
        <f aca="false">IF($N42="","",INDEX(반배정!B$7:B$86,$N42))</f>
        <v/>
      </c>
      <c r="C42" s="35" t="str">
        <f aca="false">IF($N42="","",INDEX(반배정!C$7:C$86,$N42))</f>
        <v/>
      </c>
      <c r="D42" s="35" t="str">
        <f aca="false">IF($N42="","",INDEX(반배정!D$7:D$86,$N42))</f>
        <v/>
      </c>
      <c r="E42" s="35" t="str">
        <f aca="false">IF($N42="","",INDEX(반배정!E$7:E$86,$N42))</f>
        <v/>
      </c>
      <c r="F42" s="35" t="str">
        <f aca="false">IF($N42="","",INDEX(반배정!G$7:G$86,$N42))</f>
        <v/>
      </c>
      <c r="G42" s="35" t="str">
        <f aca="false">IF($N42="","",INDEX(반배정!H$7:H$86,$N42))</f>
        <v/>
      </c>
      <c r="H42" s="45" t="str">
        <f aca="false">IF($N42="","",INDEX(반배정!I$7:I$86,$N42))</f>
        <v/>
      </c>
      <c r="I42" s="34" t="str">
        <f aca="false">IF($N42="","",INDEX(반배정!O$7:O$86,$N42))</f>
        <v/>
      </c>
      <c r="J42" s="35" t="str">
        <f aca="false">IF($N42="","",INDEX(반배정!N$7:N$86,$N42)&amp;"")</f>
        <v/>
      </c>
      <c r="K42" s="35" t="str">
        <f aca="false">IF($N42="","",INDEX(반배정!L$7:L$86,$N42))</f>
        <v/>
      </c>
      <c r="L42" s="35" t="str">
        <f aca="false">IF($N42="","",INDEX(반배정!P$7:P$86,$N42))</f>
        <v/>
      </c>
      <c r="M42" s="15" t="str">
        <f aca="false">IFERROR(SMALL(반배정!$Q$7:$Q$86,36),"")</f>
        <v/>
      </c>
      <c r="N42" s="15" t="str">
        <f aca="false">IF(M42="","",MATCH(M42,반배정!$Q$7:$Q$86,0))</f>
        <v/>
      </c>
    </row>
    <row r="43" customFormat="false" ht="15" hidden="false" customHeight="false" outlineLevel="0" collapsed="false">
      <c r="A43" s="35" t="str">
        <f aca="false">IF($N43="","",INDEX(반배정!J$7:J$86,$N43))</f>
        <v/>
      </c>
      <c r="B43" s="35" t="str">
        <f aca="false">IF($N43="","",INDEX(반배정!B$7:B$86,$N43))</f>
        <v/>
      </c>
      <c r="C43" s="35" t="str">
        <f aca="false">IF($N43="","",INDEX(반배정!C$7:C$86,$N43))</f>
        <v/>
      </c>
      <c r="D43" s="35" t="str">
        <f aca="false">IF($N43="","",INDEX(반배정!D$7:D$86,$N43))</f>
        <v/>
      </c>
      <c r="E43" s="35" t="str">
        <f aca="false">IF($N43="","",INDEX(반배정!E$7:E$86,$N43))</f>
        <v/>
      </c>
      <c r="F43" s="35" t="str">
        <f aca="false">IF($N43="","",INDEX(반배정!G$7:G$86,$N43))</f>
        <v/>
      </c>
      <c r="G43" s="35" t="str">
        <f aca="false">IF($N43="","",INDEX(반배정!H$7:H$86,$N43))</f>
        <v/>
      </c>
      <c r="H43" s="45" t="str">
        <f aca="false">IF($N43="","",INDEX(반배정!I$7:I$86,$N43))</f>
        <v/>
      </c>
      <c r="I43" s="34" t="str">
        <f aca="false">IF($N43="","",INDEX(반배정!O$7:O$86,$N43))</f>
        <v/>
      </c>
      <c r="J43" s="35" t="str">
        <f aca="false">IF($N43="","",INDEX(반배정!N$7:N$86,$N43)&amp;"")</f>
        <v/>
      </c>
      <c r="K43" s="35" t="str">
        <f aca="false">IF($N43="","",INDEX(반배정!L$7:L$86,$N43))</f>
        <v/>
      </c>
      <c r="L43" s="35" t="str">
        <f aca="false">IF($N43="","",INDEX(반배정!P$7:P$86,$N43))</f>
        <v/>
      </c>
      <c r="M43" s="15" t="str">
        <f aca="false">IFERROR(SMALL(반배정!$Q$7:$Q$86,37),"")</f>
        <v/>
      </c>
      <c r="N43" s="15" t="str">
        <f aca="false">IF(M43="","",MATCH(M43,반배정!$Q$7:$Q$86,0))</f>
        <v/>
      </c>
    </row>
    <row r="44" customFormat="false" ht="15" hidden="false" customHeight="false" outlineLevel="0" collapsed="false">
      <c r="A44" s="35" t="str">
        <f aca="false">IF($N44="","",INDEX(반배정!J$7:J$86,$N44))</f>
        <v/>
      </c>
      <c r="B44" s="35" t="str">
        <f aca="false">IF($N44="","",INDEX(반배정!B$7:B$86,$N44))</f>
        <v/>
      </c>
      <c r="C44" s="35" t="str">
        <f aca="false">IF($N44="","",INDEX(반배정!C$7:C$86,$N44))</f>
        <v/>
      </c>
      <c r="D44" s="35" t="str">
        <f aca="false">IF($N44="","",INDEX(반배정!D$7:D$86,$N44))</f>
        <v/>
      </c>
      <c r="E44" s="35" t="str">
        <f aca="false">IF($N44="","",INDEX(반배정!E$7:E$86,$N44))</f>
        <v/>
      </c>
      <c r="F44" s="35" t="str">
        <f aca="false">IF($N44="","",INDEX(반배정!G$7:G$86,$N44))</f>
        <v/>
      </c>
      <c r="G44" s="35" t="str">
        <f aca="false">IF($N44="","",INDEX(반배정!H$7:H$86,$N44))</f>
        <v/>
      </c>
      <c r="H44" s="45" t="str">
        <f aca="false">IF($N44="","",INDEX(반배정!I$7:I$86,$N44))</f>
        <v/>
      </c>
      <c r="I44" s="34" t="str">
        <f aca="false">IF($N44="","",INDEX(반배정!O$7:O$86,$N44))</f>
        <v/>
      </c>
      <c r="J44" s="35" t="str">
        <f aca="false">IF($N44="","",INDEX(반배정!N$7:N$86,$N44)&amp;"")</f>
        <v/>
      </c>
      <c r="K44" s="35" t="str">
        <f aca="false">IF($N44="","",INDEX(반배정!L$7:L$86,$N44))</f>
        <v/>
      </c>
      <c r="L44" s="35" t="str">
        <f aca="false">IF($N44="","",INDEX(반배정!P$7:P$86,$N44))</f>
        <v/>
      </c>
      <c r="M44" s="15" t="str">
        <f aca="false">IFERROR(SMALL(반배정!$Q$7:$Q$86,38),"")</f>
        <v/>
      </c>
      <c r="N44" s="15" t="str">
        <f aca="false">IF(M44="","",MATCH(M44,반배정!$Q$7:$Q$86,0))</f>
        <v/>
      </c>
    </row>
    <row r="45" customFormat="false" ht="15" hidden="false" customHeight="false" outlineLevel="0" collapsed="false">
      <c r="A45" s="35" t="str">
        <f aca="false">IF($N45="","",INDEX(반배정!J$7:J$86,$N45))</f>
        <v/>
      </c>
      <c r="B45" s="35" t="str">
        <f aca="false">IF($N45="","",INDEX(반배정!B$7:B$86,$N45))</f>
        <v/>
      </c>
      <c r="C45" s="35" t="str">
        <f aca="false">IF($N45="","",INDEX(반배정!C$7:C$86,$N45))</f>
        <v/>
      </c>
      <c r="D45" s="35" t="str">
        <f aca="false">IF($N45="","",INDEX(반배정!D$7:D$86,$N45))</f>
        <v/>
      </c>
      <c r="E45" s="35" t="str">
        <f aca="false">IF($N45="","",INDEX(반배정!E$7:E$86,$N45))</f>
        <v/>
      </c>
      <c r="F45" s="35" t="str">
        <f aca="false">IF($N45="","",INDEX(반배정!G$7:G$86,$N45))</f>
        <v/>
      </c>
      <c r="G45" s="35" t="str">
        <f aca="false">IF($N45="","",INDEX(반배정!H$7:H$86,$N45))</f>
        <v/>
      </c>
      <c r="H45" s="45" t="str">
        <f aca="false">IF($N45="","",INDEX(반배정!I$7:I$86,$N45))</f>
        <v/>
      </c>
      <c r="I45" s="34" t="str">
        <f aca="false">IF($N45="","",INDEX(반배정!O$7:O$86,$N45))</f>
        <v/>
      </c>
      <c r="J45" s="35" t="str">
        <f aca="false">IF($N45="","",INDEX(반배정!N$7:N$86,$N45)&amp;"")</f>
        <v/>
      </c>
      <c r="K45" s="35" t="str">
        <f aca="false">IF($N45="","",INDEX(반배정!L$7:L$86,$N45))</f>
        <v/>
      </c>
      <c r="L45" s="35" t="str">
        <f aca="false">IF($N45="","",INDEX(반배정!P$7:P$86,$N45))</f>
        <v/>
      </c>
      <c r="M45" s="15" t="str">
        <f aca="false">IFERROR(SMALL(반배정!$Q$7:$Q$86,39),"")</f>
        <v/>
      </c>
      <c r="N45" s="15" t="str">
        <f aca="false">IF(M45="","",MATCH(M45,반배정!$Q$7:$Q$86,0))</f>
        <v/>
      </c>
    </row>
    <row r="46" customFormat="false" ht="15" hidden="false" customHeight="false" outlineLevel="0" collapsed="false">
      <c r="A46" s="35" t="str">
        <f aca="false">IF($N46="","",INDEX(반배정!J$7:J$86,$N46))</f>
        <v/>
      </c>
      <c r="B46" s="35" t="str">
        <f aca="false">IF($N46="","",INDEX(반배정!B$7:B$86,$N46))</f>
        <v/>
      </c>
      <c r="C46" s="35" t="str">
        <f aca="false">IF($N46="","",INDEX(반배정!C$7:C$86,$N46))</f>
        <v/>
      </c>
      <c r="D46" s="35" t="str">
        <f aca="false">IF($N46="","",INDEX(반배정!D$7:D$86,$N46))</f>
        <v/>
      </c>
      <c r="E46" s="35" t="str">
        <f aca="false">IF($N46="","",INDEX(반배정!E$7:E$86,$N46))</f>
        <v/>
      </c>
      <c r="F46" s="35" t="str">
        <f aca="false">IF($N46="","",INDEX(반배정!G$7:G$86,$N46))</f>
        <v/>
      </c>
      <c r="G46" s="35" t="str">
        <f aca="false">IF($N46="","",INDEX(반배정!H$7:H$86,$N46))</f>
        <v/>
      </c>
      <c r="H46" s="45" t="str">
        <f aca="false">IF($N46="","",INDEX(반배정!I$7:I$86,$N46))</f>
        <v/>
      </c>
      <c r="I46" s="34" t="str">
        <f aca="false">IF($N46="","",INDEX(반배정!O$7:O$86,$N46))</f>
        <v/>
      </c>
      <c r="J46" s="35" t="str">
        <f aca="false">IF($N46="","",INDEX(반배정!N$7:N$86,$N46)&amp;"")</f>
        <v/>
      </c>
      <c r="K46" s="35" t="str">
        <f aca="false">IF($N46="","",INDEX(반배정!L$7:L$86,$N46))</f>
        <v/>
      </c>
      <c r="L46" s="35" t="str">
        <f aca="false">IF($N46="","",INDEX(반배정!P$7:P$86,$N46))</f>
        <v/>
      </c>
      <c r="M46" s="15" t="str">
        <f aca="false">IFERROR(SMALL(반배정!$Q$7:$Q$86,40),"")</f>
        <v/>
      </c>
      <c r="N46" s="15" t="str">
        <f aca="false">IF(M46="","",MATCH(M46,반배정!$Q$7:$Q$86,0))</f>
        <v/>
      </c>
    </row>
    <row r="47" customFormat="false" ht="15" hidden="false" customHeight="false" outlineLevel="0" collapsed="false">
      <c r="A47" s="35" t="str">
        <f aca="false">IF($N47="","",INDEX(반배정!J$7:J$86,$N47))</f>
        <v/>
      </c>
      <c r="B47" s="35" t="str">
        <f aca="false">IF($N47="","",INDEX(반배정!B$7:B$86,$N47))</f>
        <v/>
      </c>
      <c r="C47" s="35" t="str">
        <f aca="false">IF($N47="","",INDEX(반배정!C$7:C$86,$N47))</f>
        <v/>
      </c>
      <c r="D47" s="35" t="str">
        <f aca="false">IF($N47="","",INDEX(반배정!D$7:D$86,$N47))</f>
        <v/>
      </c>
      <c r="E47" s="35" t="str">
        <f aca="false">IF($N47="","",INDEX(반배정!E$7:E$86,$N47))</f>
        <v/>
      </c>
      <c r="F47" s="35" t="str">
        <f aca="false">IF($N47="","",INDEX(반배정!G$7:G$86,$N47))</f>
        <v/>
      </c>
      <c r="G47" s="35" t="str">
        <f aca="false">IF($N47="","",INDEX(반배정!H$7:H$86,$N47))</f>
        <v/>
      </c>
      <c r="H47" s="45" t="str">
        <f aca="false">IF($N47="","",INDEX(반배정!I$7:I$86,$N47))</f>
        <v/>
      </c>
      <c r="I47" s="34" t="str">
        <f aca="false">IF($N47="","",INDEX(반배정!O$7:O$86,$N47))</f>
        <v/>
      </c>
      <c r="J47" s="35" t="str">
        <f aca="false">IF($N47="","",INDEX(반배정!N$7:N$86,$N47)&amp;"")</f>
        <v/>
      </c>
      <c r="K47" s="35" t="str">
        <f aca="false">IF($N47="","",INDEX(반배정!L$7:L$86,$N47))</f>
        <v/>
      </c>
      <c r="L47" s="35" t="str">
        <f aca="false">IF($N47="","",INDEX(반배정!P$7:P$86,$N47))</f>
        <v/>
      </c>
      <c r="M47" s="15" t="str">
        <f aca="false">IFERROR(SMALL(반배정!$Q$7:$Q$86,41),"")</f>
        <v/>
      </c>
      <c r="N47" s="15" t="str">
        <f aca="false">IF(M47="","",MATCH(M47,반배정!$Q$7:$Q$86,0))</f>
        <v/>
      </c>
    </row>
    <row r="48" customFormat="false" ht="15" hidden="false" customHeight="false" outlineLevel="0" collapsed="false">
      <c r="A48" s="35" t="str">
        <f aca="false">IF($N48="","",INDEX(반배정!J$7:J$86,$N48))</f>
        <v/>
      </c>
      <c r="B48" s="35" t="str">
        <f aca="false">IF($N48="","",INDEX(반배정!B$7:B$86,$N48))</f>
        <v/>
      </c>
      <c r="C48" s="35" t="str">
        <f aca="false">IF($N48="","",INDEX(반배정!C$7:C$86,$N48))</f>
        <v/>
      </c>
      <c r="D48" s="35" t="str">
        <f aca="false">IF($N48="","",INDEX(반배정!D$7:D$86,$N48))</f>
        <v/>
      </c>
      <c r="E48" s="35" t="str">
        <f aca="false">IF($N48="","",INDEX(반배정!E$7:E$86,$N48))</f>
        <v/>
      </c>
      <c r="F48" s="35" t="str">
        <f aca="false">IF($N48="","",INDEX(반배정!G$7:G$86,$N48))</f>
        <v/>
      </c>
      <c r="G48" s="35" t="str">
        <f aca="false">IF($N48="","",INDEX(반배정!H$7:H$86,$N48))</f>
        <v/>
      </c>
      <c r="H48" s="45" t="str">
        <f aca="false">IF($N48="","",INDEX(반배정!I$7:I$86,$N48))</f>
        <v/>
      </c>
      <c r="I48" s="34" t="str">
        <f aca="false">IF($N48="","",INDEX(반배정!O$7:O$86,$N48))</f>
        <v/>
      </c>
      <c r="J48" s="35" t="str">
        <f aca="false">IF($N48="","",INDEX(반배정!N$7:N$86,$N48)&amp;"")</f>
        <v/>
      </c>
      <c r="K48" s="35" t="str">
        <f aca="false">IF($N48="","",INDEX(반배정!L$7:L$86,$N48))</f>
        <v/>
      </c>
      <c r="L48" s="35" t="str">
        <f aca="false">IF($N48="","",INDEX(반배정!P$7:P$86,$N48))</f>
        <v/>
      </c>
      <c r="M48" s="15" t="str">
        <f aca="false">IFERROR(SMALL(반배정!$Q$7:$Q$86,42),"")</f>
        <v/>
      </c>
      <c r="N48" s="15" t="str">
        <f aca="false">IF(M48="","",MATCH(M48,반배정!$Q$7:$Q$86,0))</f>
        <v/>
      </c>
    </row>
    <row r="49" customFormat="false" ht="15" hidden="false" customHeight="false" outlineLevel="0" collapsed="false">
      <c r="A49" s="35" t="str">
        <f aca="false">IF($N49="","",INDEX(반배정!J$7:J$86,$N49))</f>
        <v/>
      </c>
      <c r="B49" s="35" t="str">
        <f aca="false">IF($N49="","",INDEX(반배정!B$7:B$86,$N49))</f>
        <v/>
      </c>
      <c r="C49" s="35" t="str">
        <f aca="false">IF($N49="","",INDEX(반배정!C$7:C$86,$N49))</f>
        <v/>
      </c>
      <c r="D49" s="35" t="str">
        <f aca="false">IF($N49="","",INDEX(반배정!D$7:D$86,$N49))</f>
        <v/>
      </c>
      <c r="E49" s="35" t="str">
        <f aca="false">IF($N49="","",INDEX(반배정!E$7:E$86,$N49))</f>
        <v/>
      </c>
      <c r="F49" s="35" t="str">
        <f aca="false">IF($N49="","",INDEX(반배정!G$7:G$86,$N49))</f>
        <v/>
      </c>
      <c r="G49" s="35" t="str">
        <f aca="false">IF($N49="","",INDEX(반배정!H$7:H$86,$N49))</f>
        <v/>
      </c>
      <c r="H49" s="45" t="str">
        <f aca="false">IF($N49="","",INDEX(반배정!I$7:I$86,$N49))</f>
        <v/>
      </c>
      <c r="I49" s="34" t="str">
        <f aca="false">IF($N49="","",INDEX(반배정!O$7:O$86,$N49))</f>
        <v/>
      </c>
      <c r="J49" s="35" t="str">
        <f aca="false">IF($N49="","",INDEX(반배정!N$7:N$86,$N49)&amp;"")</f>
        <v/>
      </c>
      <c r="K49" s="35" t="str">
        <f aca="false">IF($N49="","",INDEX(반배정!L$7:L$86,$N49))</f>
        <v/>
      </c>
      <c r="L49" s="35" t="str">
        <f aca="false">IF($N49="","",INDEX(반배정!P$7:P$86,$N49))</f>
        <v/>
      </c>
      <c r="M49" s="15" t="str">
        <f aca="false">IFERROR(SMALL(반배정!$Q$7:$Q$86,43),"")</f>
        <v/>
      </c>
      <c r="N49" s="15" t="str">
        <f aca="false">IF(M49="","",MATCH(M49,반배정!$Q$7:$Q$86,0))</f>
        <v/>
      </c>
    </row>
    <row r="50" customFormat="false" ht="15" hidden="false" customHeight="false" outlineLevel="0" collapsed="false">
      <c r="A50" s="35" t="str">
        <f aca="false">IF($N50="","",INDEX(반배정!J$7:J$86,$N50))</f>
        <v/>
      </c>
      <c r="B50" s="35" t="str">
        <f aca="false">IF($N50="","",INDEX(반배정!B$7:B$86,$N50))</f>
        <v/>
      </c>
      <c r="C50" s="35" t="str">
        <f aca="false">IF($N50="","",INDEX(반배정!C$7:C$86,$N50))</f>
        <v/>
      </c>
      <c r="D50" s="35" t="str">
        <f aca="false">IF($N50="","",INDEX(반배정!D$7:D$86,$N50))</f>
        <v/>
      </c>
      <c r="E50" s="35" t="str">
        <f aca="false">IF($N50="","",INDEX(반배정!E$7:E$86,$N50))</f>
        <v/>
      </c>
      <c r="F50" s="35" t="str">
        <f aca="false">IF($N50="","",INDEX(반배정!G$7:G$86,$N50))</f>
        <v/>
      </c>
      <c r="G50" s="35" t="str">
        <f aca="false">IF($N50="","",INDEX(반배정!H$7:H$86,$N50))</f>
        <v/>
      </c>
      <c r="H50" s="45" t="str">
        <f aca="false">IF($N50="","",INDEX(반배정!I$7:I$86,$N50))</f>
        <v/>
      </c>
      <c r="I50" s="34" t="str">
        <f aca="false">IF($N50="","",INDEX(반배정!O$7:O$86,$N50))</f>
        <v/>
      </c>
      <c r="J50" s="35" t="str">
        <f aca="false">IF($N50="","",INDEX(반배정!N$7:N$86,$N50)&amp;"")</f>
        <v/>
      </c>
      <c r="K50" s="35" t="str">
        <f aca="false">IF($N50="","",INDEX(반배정!L$7:L$86,$N50))</f>
        <v/>
      </c>
      <c r="L50" s="35" t="str">
        <f aca="false">IF($N50="","",INDEX(반배정!P$7:P$86,$N50))</f>
        <v/>
      </c>
      <c r="M50" s="15" t="str">
        <f aca="false">IFERROR(SMALL(반배정!$Q$7:$Q$86,44),"")</f>
        <v/>
      </c>
      <c r="N50" s="15" t="str">
        <f aca="false">IF(M50="","",MATCH(M50,반배정!$Q$7:$Q$86,0))</f>
        <v/>
      </c>
    </row>
    <row r="51" customFormat="false" ht="15" hidden="false" customHeight="false" outlineLevel="0" collapsed="false">
      <c r="A51" s="35" t="str">
        <f aca="false">IF($N51="","",INDEX(반배정!J$7:J$86,$N51))</f>
        <v/>
      </c>
      <c r="B51" s="35" t="str">
        <f aca="false">IF($N51="","",INDEX(반배정!B$7:B$86,$N51))</f>
        <v/>
      </c>
      <c r="C51" s="35" t="str">
        <f aca="false">IF($N51="","",INDEX(반배정!C$7:C$86,$N51))</f>
        <v/>
      </c>
      <c r="D51" s="35" t="str">
        <f aca="false">IF($N51="","",INDEX(반배정!D$7:D$86,$N51))</f>
        <v/>
      </c>
      <c r="E51" s="35" t="str">
        <f aca="false">IF($N51="","",INDEX(반배정!E$7:E$86,$N51))</f>
        <v/>
      </c>
      <c r="F51" s="35" t="str">
        <f aca="false">IF($N51="","",INDEX(반배정!G$7:G$86,$N51))</f>
        <v/>
      </c>
      <c r="G51" s="35" t="str">
        <f aca="false">IF($N51="","",INDEX(반배정!H$7:H$86,$N51))</f>
        <v/>
      </c>
      <c r="H51" s="45" t="str">
        <f aca="false">IF($N51="","",INDEX(반배정!I$7:I$86,$N51))</f>
        <v/>
      </c>
      <c r="I51" s="34" t="str">
        <f aca="false">IF($N51="","",INDEX(반배정!O$7:O$86,$N51))</f>
        <v/>
      </c>
      <c r="J51" s="35" t="str">
        <f aca="false">IF($N51="","",INDEX(반배정!N$7:N$86,$N51)&amp;"")</f>
        <v/>
      </c>
      <c r="K51" s="35" t="str">
        <f aca="false">IF($N51="","",INDEX(반배정!L$7:L$86,$N51))</f>
        <v/>
      </c>
      <c r="L51" s="35" t="str">
        <f aca="false">IF($N51="","",INDEX(반배정!P$7:P$86,$N51))</f>
        <v/>
      </c>
      <c r="M51" s="15" t="str">
        <f aca="false">IFERROR(SMALL(반배정!$Q$7:$Q$86,45),"")</f>
        <v/>
      </c>
      <c r="N51" s="15" t="str">
        <f aca="false">IF(M51="","",MATCH(M51,반배정!$Q$7:$Q$86,0))</f>
        <v/>
      </c>
    </row>
    <row r="52" customFormat="false" ht="15" hidden="false" customHeight="false" outlineLevel="0" collapsed="false">
      <c r="A52" s="35" t="str">
        <f aca="false">IF($N52="","",INDEX(반배정!J$7:J$86,$N52))</f>
        <v/>
      </c>
      <c r="B52" s="35" t="str">
        <f aca="false">IF($N52="","",INDEX(반배정!B$7:B$86,$N52))</f>
        <v/>
      </c>
      <c r="C52" s="35" t="str">
        <f aca="false">IF($N52="","",INDEX(반배정!C$7:C$86,$N52))</f>
        <v/>
      </c>
      <c r="D52" s="35" t="str">
        <f aca="false">IF($N52="","",INDEX(반배정!D$7:D$86,$N52))</f>
        <v/>
      </c>
      <c r="E52" s="35" t="str">
        <f aca="false">IF($N52="","",INDEX(반배정!E$7:E$86,$N52))</f>
        <v/>
      </c>
      <c r="F52" s="35" t="str">
        <f aca="false">IF($N52="","",INDEX(반배정!G$7:G$86,$N52))</f>
        <v/>
      </c>
      <c r="G52" s="35" t="str">
        <f aca="false">IF($N52="","",INDEX(반배정!H$7:H$86,$N52))</f>
        <v/>
      </c>
      <c r="H52" s="45" t="str">
        <f aca="false">IF($N52="","",INDEX(반배정!I$7:I$86,$N52))</f>
        <v/>
      </c>
      <c r="I52" s="34" t="str">
        <f aca="false">IF($N52="","",INDEX(반배정!O$7:O$86,$N52))</f>
        <v/>
      </c>
      <c r="J52" s="35" t="str">
        <f aca="false">IF($N52="","",INDEX(반배정!N$7:N$86,$N52)&amp;"")</f>
        <v/>
      </c>
      <c r="K52" s="35" t="str">
        <f aca="false">IF($N52="","",INDEX(반배정!L$7:L$86,$N52))</f>
        <v/>
      </c>
      <c r="L52" s="35" t="str">
        <f aca="false">IF($N52="","",INDEX(반배정!P$7:P$86,$N52))</f>
        <v/>
      </c>
      <c r="M52" s="15" t="str">
        <f aca="false">IFERROR(SMALL(반배정!$Q$7:$Q$86,46),"")</f>
        <v/>
      </c>
      <c r="N52" s="15" t="str">
        <f aca="false">IF(M52="","",MATCH(M52,반배정!$Q$7:$Q$86,0))</f>
        <v/>
      </c>
    </row>
    <row r="53" customFormat="false" ht="15" hidden="false" customHeight="false" outlineLevel="0" collapsed="false">
      <c r="A53" s="35" t="str">
        <f aca="false">IF($N53="","",INDEX(반배정!J$7:J$86,$N53))</f>
        <v/>
      </c>
      <c r="B53" s="35" t="str">
        <f aca="false">IF($N53="","",INDEX(반배정!B$7:B$86,$N53))</f>
        <v/>
      </c>
      <c r="C53" s="35" t="str">
        <f aca="false">IF($N53="","",INDEX(반배정!C$7:C$86,$N53))</f>
        <v/>
      </c>
      <c r="D53" s="35" t="str">
        <f aca="false">IF($N53="","",INDEX(반배정!D$7:D$86,$N53))</f>
        <v/>
      </c>
      <c r="E53" s="35" t="str">
        <f aca="false">IF($N53="","",INDEX(반배정!E$7:E$86,$N53))</f>
        <v/>
      </c>
      <c r="F53" s="35" t="str">
        <f aca="false">IF($N53="","",INDEX(반배정!G$7:G$86,$N53))</f>
        <v/>
      </c>
      <c r="G53" s="35" t="str">
        <f aca="false">IF($N53="","",INDEX(반배정!H$7:H$86,$N53))</f>
        <v/>
      </c>
      <c r="H53" s="45" t="str">
        <f aca="false">IF($N53="","",INDEX(반배정!I$7:I$86,$N53))</f>
        <v/>
      </c>
      <c r="I53" s="34" t="str">
        <f aca="false">IF($N53="","",INDEX(반배정!O$7:O$86,$N53))</f>
        <v/>
      </c>
      <c r="J53" s="35" t="str">
        <f aca="false">IF($N53="","",INDEX(반배정!N$7:N$86,$N53)&amp;"")</f>
        <v/>
      </c>
      <c r="K53" s="35" t="str">
        <f aca="false">IF($N53="","",INDEX(반배정!L$7:L$86,$N53))</f>
        <v/>
      </c>
      <c r="L53" s="35" t="str">
        <f aca="false">IF($N53="","",INDEX(반배정!P$7:P$86,$N53))</f>
        <v/>
      </c>
      <c r="M53" s="15" t="str">
        <f aca="false">IFERROR(SMALL(반배정!$Q$7:$Q$86,47),"")</f>
        <v/>
      </c>
      <c r="N53" s="15" t="str">
        <f aca="false">IF(M53="","",MATCH(M53,반배정!$Q$7:$Q$86,0))</f>
        <v/>
      </c>
    </row>
    <row r="54" customFormat="false" ht="15" hidden="false" customHeight="false" outlineLevel="0" collapsed="false">
      <c r="A54" s="35" t="str">
        <f aca="false">IF($N54="","",INDEX(반배정!J$7:J$86,$N54))</f>
        <v/>
      </c>
      <c r="B54" s="35" t="str">
        <f aca="false">IF($N54="","",INDEX(반배정!B$7:B$86,$N54))</f>
        <v/>
      </c>
      <c r="C54" s="35" t="str">
        <f aca="false">IF($N54="","",INDEX(반배정!C$7:C$86,$N54))</f>
        <v/>
      </c>
      <c r="D54" s="35" t="str">
        <f aca="false">IF($N54="","",INDEX(반배정!D$7:D$86,$N54))</f>
        <v/>
      </c>
      <c r="E54" s="35" t="str">
        <f aca="false">IF($N54="","",INDEX(반배정!E$7:E$86,$N54))</f>
        <v/>
      </c>
      <c r="F54" s="35" t="str">
        <f aca="false">IF($N54="","",INDEX(반배정!G$7:G$86,$N54))</f>
        <v/>
      </c>
      <c r="G54" s="35" t="str">
        <f aca="false">IF($N54="","",INDEX(반배정!H$7:H$86,$N54))</f>
        <v/>
      </c>
      <c r="H54" s="45" t="str">
        <f aca="false">IF($N54="","",INDEX(반배정!I$7:I$86,$N54))</f>
        <v/>
      </c>
      <c r="I54" s="34" t="str">
        <f aca="false">IF($N54="","",INDEX(반배정!O$7:O$86,$N54))</f>
        <v/>
      </c>
      <c r="J54" s="35" t="str">
        <f aca="false">IF($N54="","",INDEX(반배정!N$7:N$86,$N54)&amp;"")</f>
        <v/>
      </c>
      <c r="K54" s="35" t="str">
        <f aca="false">IF($N54="","",INDEX(반배정!L$7:L$86,$N54))</f>
        <v/>
      </c>
      <c r="L54" s="35" t="str">
        <f aca="false">IF($N54="","",INDEX(반배정!P$7:P$86,$N54))</f>
        <v/>
      </c>
      <c r="M54" s="15" t="str">
        <f aca="false">IFERROR(SMALL(반배정!$Q$7:$Q$86,48),"")</f>
        <v/>
      </c>
      <c r="N54" s="15" t="str">
        <f aca="false">IF(M54="","",MATCH(M54,반배정!$Q$7:$Q$86,0))</f>
        <v/>
      </c>
    </row>
    <row r="55" customFormat="false" ht="15" hidden="false" customHeight="false" outlineLevel="0" collapsed="false">
      <c r="A55" s="35" t="str">
        <f aca="false">IF($N55="","",INDEX(반배정!J$7:J$86,$N55))</f>
        <v/>
      </c>
      <c r="B55" s="35" t="str">
        <f aca="false">IF($N55="","",INDEX(반배정!B$7:B$86,$N55))</f>
        <v/>
      </c>
      <c r="C55" s="35" t="str">
        <f aca="false">IF($N55="","",INDEX(반배정!C$7:C$86,$N55))</f>
        <v/>
      </c>
      <c r="D55" s="35" t="str">
        <f aca="false">IF($N55="","",INDEX(반배정!D$7:D$86,$N55))</f>
        <v/>
      </c>
      <c r="E55" s="35" t="str">
        <f aca="false">IF($N55="","",INDEX(반배정!E$7:E$86,$N55))</f>
        <v/>
      </c>
      <c r="F55" s="35" t="str">
        <f aca="false">IF($N55="","",INDEX(반배정!G$7:G$86,$N55))</f>
        <v/>
      </c>
      <c r="G55" s="35" t="str">
        <f aca="false">IF($N55="","",INDEX(반배정!H$7:H$86,$N55))</f>
        <v/>
      </c>
      <c r="H55" s="45" t="str">
        <f aca="false">IF($N55="","",INDEX(반배정!I$7:I$86,$N55))</f>
        <v/>
      </c>
      <c r="I55" s="34" t="str">
        <f aca="false">IF($N55="","",INDEX(반배정!O$7:O$86,$N55))</f>
        <v/>
      </c>
      <c r="J55" s="35" t="str">
        <f aca="false">IF($N55="","",INDEX(반배정!N$7:N$86,$N55)&amp;"")</f>
        <v/>
      </c>
      <c r="K55" s="35" t="str">
        <f aca="false">IF($N55="","",INDEX(반배정!L$7:L$86,$N55))</f>
        <v/>
      </c>
      <c r="L55" s="35" t="str">
        <f aca="false">IF($N55="","",INDEX(반배정!P$7:P$86,$N55))</f>
        <v/>
      </c>
      <c r="M55" s="15" t="str">
        <f aca="false">IFERROR(SMALL(반배정!$Q$7:$Q$86,49),"")</f>
        <v/>
      </c>
      <c r="N55" s="15" t="str">
        <f aca="false">IF(M55="","",MATCH(M55,반배정!$Q$7:$Q$86,0))</f>
        <v/>
      </c>
    </row>
    <row r="56" customFormat="false" ht="15" hidden="false" customHeight="false" outlineLevel="0" collapsed="false">
      <c r="A56" s="35" t="str">
        <f aca="false">IF($N56="","",INDEX(반배정!J$7:J$86,$N56))</f>
        <v/>
      </c>
      <c r="B56" s="35" t="str">
        <f aca="false">IF($N56="","",INDEX(반배정!B$7:B$86,$N56))</f>
        <v/>
      </c>
      <c r="C56" s="35" t="str">
        <f aca="false">IF($N56="","",INDEX(반배정!C$7:C$86,$N56))</f>
        <v/>
      </c>
      <c r="D56" s="35" t="str">
        <f aca="false">IF($N56="","",INDEX(반배정!D$7:D$86,$N56))</f>
        <v/>
      </c>
      <c r="E56" s="35" t="str">
        <f aca="false">IF($N56="","",INDEX(반배정!E$7:E$86,$N56))</f>
        <v/>
      </c>
      <c r="F56" s="35" t="str">
        <f aca="false">IF($N56="","",INDEX(반배정!G$7:G$86,$N56))</f>
        <v/>
      </c>
      <c r="G56" s="35" t="str">
        <f aca="false">IF($N56="","",INDEX(반배정!H$7:H$86,$N56))</f>
        <v/>
      </c>
      <c r="H56" s="45" t="str">
        <f aca="false">IF($N56="","",INDEX(반배정!I$7:I$86,$N56))</f>
        <v/>
      </c>
      <c r="I56" s="34" t="str">
        <f aca="false">IF($N56="","",INDEX(반배정!O$7:O$86,$N56))</f>
        <v/>
      </c>
      <c r="J56" s="35" t="str">
        <f aca="false">IF($N56="","",INDEX(반배정!N$7:N$86,$N56)&amp;"")</f>
        <v/>
      </c>
      <c r="K56" s="35" t="str">
        <f aca="false">IF($N56="","",INDEX(반배정!L$7:L$86,$N56))</f>
        <v/>
      </c>
      <c r="L56" s="35" t="str">
        <f aca="false">IF($N56="","",INDEX(반배정!P$7:P$86,$N56))</f>
        <v/>
      </c>
      <c r="M56" s="15" t="str">
        <f aca="false">IFERROR(SMALL(반배정!$Q$7:$Q$86,50),"")</f>
        <v/>
      </c>
      <c r="N56" s="15" t="str">
        <f aca="false">IF(M56="","",MATCH(M56,반배정!$Q$7:$Q$86,0))</f>
        <v/>
      </c>
    </row>
    <row r="57" customFormat="false" ht="15" hidden="false" customHeight="false" outlineLevel="0" collapsed="false">
      <c r="A57" s="35" t="str">
        <f aca="false">IF($N57="","",INDEX(반배정!J$7:J$86,$N57))</f>
        <v/>
      </c>
      <c r="B57" s="35" t="str">
        <f aca="false">IF($N57="","",INDEX(반배정!B$7:B$86,$N57))</f>
        <v/>
      </c>
      <c r="C57" s="35" t="str">
        <f aca="false">IF($N57="","",INDEX(반배정!C$7:C$86,$N57))</f>
        <v/>
      </c>
      <c r="D57" s="35" t="str">
        <f aca="false">IF($N57="","",INDEX(반배정!D$7:D$86,$N57))</f>
        <v/>
      </c>
      <c r="E57" s="35" t="str">
        <f aca="false">IF($N57="","",INDEX(반배정!E$7:E$86,$N57))</f>
        <v/>
      </c>
      <c r="F57" s="35" t="str">
        <f aca="false">IF($N57="","",INDEX(반배정!G$7:G$86,$N57))</f>
        <v/>
      </c>
      <c r="G57" s="35" t="str">
        <f aca="false">IF($N57="","",INDEX(반배정!H$7:H$86,$N57))</f>
        <v/>
      </c>
      <c r="H57" s="45" t="str">
        <f aca="false">IF($N57="","",INDEX(반배정!I$7:I$86,$N57))</f>
        <v/>
      </c>
      <c r="I57" s="34" t="str">
        <f aca="false">IF($N57="","",INDEX(반배정!O$7:O$86,$N57))</f>
        <v/>
      </c>
      <c r="J57" s="35" t="str">
        <f aca="false">IF($N57="","",INDEX(반배정!N$7:N$86,$N57)&amp;"")</f>
        <v/>
      </c>
      <c r="K57" s="35" t="str">
        <f aca="false">IF($N57="","",INDEX(반배정!L$7:L$86,$N57))</f>
        <v/>
      </c>
      <c r="L57" s="35" t="str">
        <f aca="false">IF($N57="","",INDEX(반배정!P$7:P$86,$N57))</f>
        <v/>
      </c>
      <c r="M57" s="15" t="str">
        <f aca="false">IFERROR(SMALL(반배정!$Q$7:$Q$86,51),"")</f>
        <v/>
      </c>
      <c r="N57" s="15" t="str">
        <f aca="false">IF(M57="","",MATCH(M57,반배정!$Q$7:$Q$86,0))</f>
        <v/>
      </c>
    </row>
    <row r="58" customFormat="false" ht="15" hidden="false" customHeight="false" outlineLevel="0" collapsed="false">
      <c r="A58" s="35" t="str">
        <f aca="false">IF($N58="","",INDEX(반배정!J$7:J$86,$N58))</f>
        <v/>
      </c>
      <c r="B58" s="35" t="str">
        <f aca="false">IF($N58="","",INDEX(반배정!B$7:B$86,$N58))</f>
        <v/>
      </c>
      <c r="C58" s="35" t="str">
        <f aca="false">IF($N58="","",INDEX(반배정!C$7:C$86,$N58))</f>
        <v/>
      </c>
      <c r="D58" s="35" t="str">
        <f aca="false">IF($N58="","",INDEX(반배정!D$7:D$86,$N58))</f>
        <v/>
      </c>
      <c r="E58" s="35" t="str">
        <f aca="false">IF($N58="","",INDEX(반배정!E$7:E$86,$N58))</f>
        <v/>
      </c>
      <c r="F58" s="35" t="str">
        <f aca="false">IF($N58="","",INDEX(반배정!G$7:G$86,$N58))</f>
        <v/>
      </c>
      <c r="G58" s="35" t="str">
        <f aca="false">IF($N58="","",INDEX(반배정!H$7:H$86,$N58))</f>
        <v/>
      </c>
      <c r="H58" s="45" t="str">
        <f aca="false">IF($N58="","",INDEX(반배정!I$7:I$86,$N58))</f>
        <v/>
      </c>
      <c r="I58" s="34" t="str">
        <f aca="false">IF($N58="","",INDEX(반배정!O$7:O$86,$N58))</f>
        <v/>
      </c>
      <c r="J58" s="35" t="str">
        <f aca="false">IF($N58="","",INDEX(반배정!N$7:N$86,$N58)&amp;"")</f>
        <v/>
      </c>
      <c r="K58" s="35" t="str">
        <f aca="false">IF($N58="","",INDEX(반배정!L$7:L$86,$N58))</f>
        <v/>
      </c>
      <c r="L58" s="35" t="str">
        <f aca="false">IF($N58="","",INDEX(반배정!P$7:P$86,$N58))</f>
        <v/>
      </c>
      <c r="M58" s="15" t="str">
        <f aca="false">IFERROR(SMALL(반배정!$Q$7:$Q$86,52),"")</f>
        <v/>
      </c>
      <c r="N58" s="15" t="str">
        <f aca="false">IF(M58="","",MATCH(M58,반배정!$Q$7:$Q$86,0))</f>
        <v/>
      </c>
    </row>
    <row r="59" customFormat="false" ht="15" hidden="false" customHeight="false" outlineLevel="0" collapsed="false">
      <c r="A59" s="35" t="str">
        <f aca="false">IF($N59="","",INDEX(반배정!J$7:J$86,$N59))</f>
        <v/>
      </c>
      <c r="B59" s="35" t="str">
        <f aca="false">IF($N59="","",INDEX(반배정!B$7:B$86,$N59))</f>
        <v/>
      </c>
      <c r="C59" s="35" t="str">
        <f aca="false">IF($N59="","",INDEX(반배정!C$7:C$86,$N59))</f>
        <v/>
      </c>
      <c r="D59" s="35" t="str">
        <f aca="false">IF($N59="","",INDEX(반배정!D$7:D$86,$N59))</f>
        <v/>
      </c>
      <c r="E59" s="35" t="str">
        <f aca="false">IF($N59="","",INDEX(반배정!E$7:E$86,$N59))</f>
        <v/>
      </c>
      <c r="F59" s="35" t="str">
        <f aca="false">IF($N59="","",INDEX(반배정!G$7:G$86,$N59))</f>
        <v/>
      </c>
      <c r="G59" s="35" t="str">
        <f aca="false">IF($N59="","",INDEX(반배정!H$7:H$86,$N59))</f>
        <v/>
      </c>
      <c r="H59" s="45" t="str">
        <f aca="false">IF($N59="","",INDEX(반배정!I$7:I$86,$N59))</f>
        <v/>
      </c>
      <c r="I59" s="34" t="str">
        <f aca="false">IF($N59="","",INDEX(반배정!O$7:O$86,$N59))</f>
        <v/>
      </c>
      <c r="J59" s="35" t="str">
        <f aca="false">IF($N59="","",INDEX(반배정!N$7:N$86,$N59)&amp;"")</f>
        <v/>
      </c>
      <c r="K59" s="35" t="str">
        <f aca="false">IF($N59="","",INDEX(반배정!L$7:L$86,$N59))</f>
        <v/>
      </c>
      <c r="L59" s="35" t="str">
        <f aca="false">IF($N59="","",INDEX(반배정!P$7:P$86,$N59))</f>
        <v/>
      </c>
      <c r="M59" s="15" t="str">
        <f aca="false">IFERROR(SMALL(반배정!$Q$7:$Q$86,53),"")</f>
        <v/>
      </c>
      <c r="N59" s="15" t="str">
        <f aca="false">IF(M59="","",MATCH(M59,반배정!$Q$7:$Q$86,0))</f>
        <v/>
      </c>
    </row>
    <row r="60" customFormat="false" ht="15" hidden="false" customHeight="false" outlineLevel="0" collapsed="false">
      <c r="A60" s="35" t="str">
        <f aca="false">IF($N60="","",INDEX(반배정!J$7:J$86,$N60))</f>
        <v/>
      </c>
      <c r="B60" s="35" t="str">
        <f aca="false">IF($N60="","",INDEX(반배정!B$7:B$86,$N60))</f>
        <v/>
      </c>
      <c r="C60" s="35" t="str">
        <f aca="false">IF($N60="","",INDEX(반배정!C$7:C$86,$N60))</f>
        <v/>
      </c>
      <c r="D60" s="35" t="str">
        <f aca="false">IF($N60="","",INDEX(반배정!D$7:D$86,$N60))</f>
        <v/>
      </c>
      <c r="E60" s="35" t="str">
        <f aca="false">IF($N60="","",INDEX(반배정!E$7:E$86,$N60))</f>
        <v/>
      </c>
      <c r="F60" s="35" t="str">
        <f aca="false">IF($N60="","",INDEX(반배정!G$7:G$86,$N60))</f>
        <v/>
      </c>
      <c r="G60" s="35" t="str">
        <f aca="false">IF($N60="","",INDEX(반배정!H$7:H$86,$N60))</f>
        <v/>
      </c>
      <c r="H60" s="45" t="str">
        <f aca="false">IF($N60="","",INDEX(반배정!I$7:I$86,$N60))</f>
        <v/>
      </c>
      <c r="I60" s="34" t="str">
        <f aca="false">IF($N60="","",INDEX(반배정!O$7:O$86,$N60))</f>
        <v/>
      </c>
      <c r="J60" s="35" t="str">
        <f aca="false">IF($N60="","",INDEX(반배정!N$7:N$86,$N60)&amp;"")</f>
        <v/>
      </c>
      <c r="K60" s="35" t="str">
        <f aca="false">IF($N60="","",INDEX(반배정!L$7:L$86,$N60))</f>
        <v/>
      </c>
      <c r="L60" s="35" t="str">
        <f aca="false">IF($N60="","",INDEX(반배정!P$7:P$86,$N60))</f>
        <v/>
      </c>
      <c r="M60" s="15" t="str">
        <f aca="false">IFERROR(SMALL(반배정!$Q$7:$Q$86,54),"")</f>
        <v/>
      </c>
      <c r="N60" s="15" t="str">
        <f aca="false">IF(M60="","",MATCH(M60,반배정!$Q$7:$Q$86,0))</f>
        <v/>
      </c>
    </row>
    <row r="61" customFormat="false" ht="15" hidden="false" customHeight="false" outlineLevel="0" collapsed="false">
      <c r="A61" s="35" t="str">
        <f aca="false">IF($N61="","",INDEX(반배정!J$7:J$86,$N61))</f>
        <v/>
      </c>
      <c r="B61" s="35" t="str">
        <f aca="false">IF($N61="","",INDEX(반배정!B$7:B$86,$N61))</f>
        <v/>
      </c>
      <c r="C61" s="35" t="str">
        <f aca="false">IF($N61="","",INDEX(반배정!C$7:C$86,$N61))</f>
        <v/>
      </c>
      <c r="D61" s="35" t="str">
        <f aca="false">IF($N61="","",INDEX(반배정!D$7:D$86,$N61))</f>
        <v/>
      </c>
      <c r="E61" s="35" t="str">
        <f aca="false">IF($N61="","",INDEX(반배정!E$7:E$86,$N61))</f>
        <v/>
      </c>
      <c r="F61" s="35" t="str">
        <f aca="false">IF($N61="","",INDEX(반배정!G$7:G$86,$N61))</f>
        <v/>
      </c>
      <c r="G61" s="35" t="str">
        <f aca="false">IF($N61="","",INDEX(반배정!H$7:H$86,$N61))</f>
        <v/>
      </c>
      <c r="H61" s="45" t="str">
        <f aca="false">IF($N61="","",INDEX(반배정!I$7:I$86,$N61))</f>
        <v/>
      </c>
      <c r="I61" s="34" t="str">
        <f aca="false">IF($N61="","",INDEX(반배정!O$7:O$86,$N61))</f>
        <v/>
      </c>
      <c r="J61" s="35" t="str">
        <f aca="false">IF($N61="","",INDEX(반배정!N$7:N$86,$N61)&amp;"")</f>
        <v/>
      </c>
      <c r="K61" s="35" t="str">
        <f aca="false">IF($N61="","",INDEX(반배정!L$7:L$86,$N61))</f>
        <v/>
      </c>
      <c r="L61" s="35" t="str">
        <f aca="false">IF($N61="","",INDEX(반배정!P$7:P$86,$N61))</f>
        <v/>
      </c>
      <c r="M61" s="15" t="str">
        <f aca="false">IFERROR(SMALL(반배정!$Q$7:$Q$86,55),"")</f>
        <v/>
      </c>
      <c r="N61" s="15" t="str">
        <f aca="false">IF(M61="","",MATCH(M61,반배정!$Q$7:$Q$86,0))</f>
        <v/>
      </c>
    </row>
    <row r="62" customFormat="false" ht="15" hidden="false" customHeight="false" outlineLevel="0" collapsed="false">
      <c r="A62" s="35" t="str">
        <f aca="false">IF($N62="","",INDEX(반배정!J$7:J$86,$N62))</f>
        <v/>
      </c>
      <c r="B62" s="35" t="str">
        <f aca="false">IF($N62="","",INDEX(반배정!B$7:B$86,$N62))</f>
        <v/>
      </c>
      <c r="C62" s="35" t="str">
        <f aca="false">IF($N62="","",INDEX(반배정!C$7:C$86,$N62))</f>
        <v/>
      </c>
      <c r="D62" s="35" t="str">
        <f aca="false">IF($N62="","",INDEX(반배정!D$7:D$86,$N62))</f>
        <v/>
      </c>
      <c r="E62" s="35" t="str">
        <f aca="false">IF($N62="","",INDEX(반배정!E$7:E$86,$N62))</f>
        <v/>
      </c>
      <c r="F62" s="35" t="str">
        <f aca="false">IF($N62="","",INDEX(반배정!G$7:G$86,$N62))</f>
        <v/>
      </c>
      <c r="G62" s="35" t="str">
        <f aca="false">IF($N62="","",INDEX(반배정!H$7:H$86,$N62))</f>
        <v/>
      </c>
      <c r="H62" s="45" t="str">
        <f aca="false">IF($N62="","",INDEX(반배정!I$7:I$86,$N62))</f>
        <v/>
      </c>
      <c r="I62" s="34" t="str">
        <f aca="false">IF($N62="","",INDEX(반배정!O$7:O$86,$N62))</f>
        <v/>
      </c>
      <c r="J62" s="35" t="str">
        <f aca="false">IF($N62="","",INDEX(반배정!N$7:N$86,$N62)&amp;"")</f>
        <v/>
      </c>
      <c r="K62" s="35" t="str">
        <f aca="false">IF($N62="","",INDEX(반배정!L$7:L$86,$N62))</f>
        <v/>
      </c>
      <c r="L62" s="35" t="str">
        <f aca="false">IF($N62="","",INDEX(반배정!P$7:P$86,$N62))</f>
        <v/>
      </c>
      <c r="M62" s="15" t="str">
        <f aca="false">IFERROR(SMALL(반배정!$Q$7:$Q$86,56),"")</f>
        <v/>
      </c>
      <c r="N62" s="15" t="str">
        <f aca="false">IF(M62="","",MATCH(M62,반배정!$Q$7:$Q$86,0))</f>
        <v/>
      </c>
    </row>
    <row r="63" customFormat="false" ht="15" hidden="false" customHeight="false" outlineLevel="0" collapsed="false">
      <c r="A63" s="35" t="str">
        <f aca="false">IF($N63="","",INDEX(반배정!J$7:J$86,$N63))</f>
        <v/>
      </c>
      <c r="B63" s="35" t="str">
        <f aca="false">IF($N63="","",INDEX(반배정!B$7:B$86,$N63))</f>
        <v/>
      </c>
      <c r="C63" s="35" t="str">
        <f aca="false">IF($N63="","",INDEX(반배정!C$7:C$86,$N63))</f>
        <v/>
      </c>
      <c r="D63" s="35" t="str">
        <f aca="false">IF($N63="","",INDEX(반배정!D$7:D$86,$N63))</f>
        <v/>
      </c>
      <c r="E63" s="35" t="str">
        <f aca="false">IF($N63="","",INDEX(반배정!E$7:E$86,$N63))</f>
        <v/>
      </c>
      <c r="F63" s="35" t="str">
        <f aca="false">IF($N63="","",INDEX(반배정!G$7:G$86,$N63))</f>
        <v/>
      </c>
      <c r="G63" s="35" t="str">
        <f aca="false">IF($N63="","",INDEX(반배정!H$7:H$86,$N63))</f>
        <v/>
      </c>
      <c r="H63" s="45" t="str">
        <f aca="false">IF($N63="","",INDEX(반배정!I$7:I$86,$N63))</f>
        <v/>
      </c>
      <c r="I63" s="34" t="str">
        <f aca="false">IF($N63="","",INDEX(반배정!O$7:O$86,$N63))</f>
        <v/>
      </c>
      <c r="J63" s="35" t="str">
        <f aca="false">IF($N63="","",INDEX(반배정!N$7:N$86,$N63)&amp;"")</f>
        <v/>
      </c>
      <c r="K63" s="35" t="str">
        <f aca="false">IF($N63="","",INDEX(반배정!L$7:L$86,$N63))</f>
        <v/>
      </c>
      <c r="L63" s="35" t="str">
        <f aca="false">IF($N63="","",INDEX(반배정!P$7:P$86,$N63))</f>
        <v/>
      </c>
      <c r="M63" s="15" t="str">
        <f aca="false">IFERROR(SMALL(반배정!$Q$7:$Q$86,57),"")</f>
        <v/>
      </c>
      <c r="N63" s="15" t="str">
        <f aca="false">IF(M63="","",MATCH(M63,반배정!$Q$7:$Q$86,0))</f>
        <v/>
      </c>
    </row>
    <row r="64" customFormat="false" ht="15" hidden="false" customHeight="false" outlineLevel="0" collapsed="false">
      <c r="A64" s="35" t="str">
        <f aca="false">IF($N64="","",INDEX(반배정!J$7:J$86,$N64))</f>
        <v/>
      </c>
      <c r="B64" s="35" t="str">
        <f aca="false">IF($N64="","",INDEX(반배정!B$7:B$86,$N64))</f>
        <v/>
      </c>
      <c r="C64" s="35" t="str">
        <f aca="false">IF($N64="","",INDEX(반배정!C$7:C$86,$N64))</f>
        <v/>
      </c>
      <c r="D64" s="35" t="str">
        <f aca="false">IF($N64="","",INDEX(반배정!D$7:D$86,$N64))</f>
        <v/>
      </c>
      <c r="E64" s="35" t="str">
        <f aca="false">IF($N64="","",INDEX(반배정!E$7:E$86,$N64))</f>
        <v/>
      </c>
      <c r="F64" s="35" t="str">
        <f aca="false">IF($N64="","",INDEX(반배정!G$7:G$86,$N64))</f>
        <v/>
      </c>
      <c r="G64" s="35" t="str">
        <f aca="false">IF($N64="","",INDEX(반배정!H$7:H$86,$N64))</f>
        <v/>
      </c>
      <c r="H64" s="45" t="str">
        <f aca="false">IF($N64="","",INDEX(반배정!I$7:I$86,$N64))</f>
        <v/>
      </c>
      <c r="I64" s="34" t="str">
        <f aca="false">IF($N64="","",INDEX(반배정!O$7:O$86,$N64))</f>
        <v/>
      </c>
      <c r="J64" s="35" t="str">
        <f aca="false">IF($N64="","",INDEX(반배정!N$7:N$86,$N64)&amp;"")</f>
        <v/>
      </c>
      <c r="K64" s="35" t="str">
        <f aca="false">IF($N64="","",INDEX(반배정!L$7:L$86,$N64))</f>
        <v/>
      </c>
      <c r="L64" s="35" t="str">
        <f aca="false">IF($N64="","",INDEX(반배정!P$7:P$86,$N64))</f>
        <v/>
      </c>
      <c r="M64" s="15" t="str">
        <f aca="false">IFERROR(SMALL(반배정!$Q$7:$Q$86,58),"")</f>
        <v/>
      </c>
      <c r="N64" s="15" t="str">
        <f aca="false">IF(M64="","",MATCH(M64,반배정!$Q$7:$Q$86,0))</f>
        <v/>
      </c>
    </row>
    <row r="65" customFormat="false" ht="15" hidden="false" customHeight="false" outlineLevel="0" collapsed="false">
      <c r="A65" s="35" t="str">
        <f aca="false">IF($N65="","",INDEX(반배정!J$7:J$86,$N65))</f>
        <v/>
      </c>
      <c r="B65" s="35" t="str">
        <f aca="false">IF($N65="","",INDEX(반배정!B$7:B$86,$N65))</f>
        <v/>
      </c>
      <c r="C65" s="35" t="str">
        <f aca="false">IF($N65="","",INDEX(반배정!C$7:C$86,$N65))</f>
        <v/>
      </c>
      <c r="D65" s="35" t="str">
        <f aca="false">IF($N65="","",INDEX(반배정!D$7:D$86,$N65))</f>
        <v/>
      </c>
      <c r="E65" s="35" t="str">
        <f aca="false">IF($N65="","",INDEX(반배정!E$7:E$86,$N65))</f>
        <v/>
      </c>
      <c r="F65" s="35" t="str">
        <f aca="false">IF($N65="","",INDEX(반배정!G$7:G$86,$N65))</f>
        <v/>
      </c>
      <c r="G65" s="35" t="str">
        <f aca="false">IF($N65="","",INDEX(반배정!H$7:H$86,$N65))</f>
        <v/>
      </c>
      <c r="H65" s="45" t="str">
        <f aca="false">IF($N65="","",INDEX(반배정!I$7:I$86,$N65))</f>
        <v/>
      </c>
      <c r="I65" s="34" t="str">
        <f aca="false">IF($N65="","",INDEX(반배정!O$7:O$86,$N65))</f>
        <v/>
      </c>
      <c r="J65" s="35" t="str">
        <f aca="false">IF($N65="","",INDEX(반배정!N$7:N$86,$N65)&amp;"")</f>
        <v/>
      </c>
      <c r="K65" s="35" t="str">
        <f aca="false">IF($N65="","",INDEX(반배정!L$7:L$86,$N65))</f>
        <v/>
      </c>
      <c r="L65" s="35" t="str">
        <f aca="false">IF($N65="","",INDEX(반배정!P$7:P$86,$N65))</f>
        <v/>
      </c>
      <c r="M65" s="15" t="str">
        <f aca="false">IFERROR(SMALL(반배정!$Q$7:$Q$86,59),"")</f>
        <v/>
      </c>
      <c r="N65" s="15" t="str">
        <f aca="false">IF(M65="","",MATCH(M65,반배정!$Q$7:$Q$86,0))</f>
        <v/>
      </c>
    </row>
    <row r="66" customFormat="false" ht="15" hidden="false" customHeight="false" outlineLevel="0" collapsed="false">
      <c r="A66" s="35" t="str">
        <f aca="false">IF($N66="","",INDEX(반배정!J$7:J$86,$N66))</f>
        <v/>
      </c>
      <c r="B66" s="35" t="str">
        <f aca="false">IF($N66="","",INDEX(반배정!B$7:B$86,$N66))</f>
        <v/>
      </c>
      <c r="C66" s="35" t="str">
        <f aca="false">IF($N66="","",INDEX(반배정!C$7:C$86,$N66))</f>
        <v/>
      </c>
      <c r="D66" s="35" t="str">
        <f aca="false">IF($N66="","",INDEX(반배정!D$7:D$86,$N66))</f>
        <v/>
      </c>
      <c r="E66" s="35" t="str">
        <f aca="false">IF($N66="","",INDEX(반배정!E$7:E$86,$N66))</f>
        <v/>
      </c>
      <c r="F66" s="35" t="str">
        <f aca="false">IF($N66="","",INDEX(반배정!G$7:G$86,$N66))</f>
        <v/>
      </c>
      <c r="G66" s="35" t="str">
        <f aca="false">IF($N66="","",INDEX(반배정!H$7:H$86,$N66))</f>
        <v/>
      </c>
      <c r="H66" s="45" t="str">
        <f aca="false">IF($N66="","",INDEX(반배정!I$7:I$86,$N66))</f>
        <v/>
      </c>
      <c r="I66" s="34" t="str">
        <f aca="false">IF($N66="","",INDEX(반배정!O$7:O$86,$N66))</f>
        <v/>
      </c>
      <c r="J66" s="35" t="str">
        <f aca="false">IF($N66="","",INDEX(반배정!N$7:N$86,$N66)&amp;"")</f>
        <v/>
      </c>
      <c r="K66" s="35" t="str">
        <f aca="false">IF($N66="","",INDEX(반배정!L$7:L$86,$N66))</f>
        <v/>
      </c>
      <c r="L66" s="35" t="str">
        <f aca="false">IF($N66="","",INDEX(반배정!P$7:P$86,$N66))</f>
        <v/>
      </c>
      <c r="M66" s="15" t="str">
        <f aca="false">IFERROR(SMALL(반배정!$Q$7:$Q$86,60),"")</f>
        <v/>
      </c>
      <c r="N66" s="15" t="str">
        <f aca="false">IF(M66="","",MATCH(M66,반배정!$Q$7:$Q$86,0))</f>
        <v/>
      </c>
    </row>
    <row r="67" customFormat="false" ht="15" hidden="false" customHeight="false" outlineLevel="0" collapsed="false">
      <c r="A67" s="35" t="str">
        <f aca="false">IF($N67="","",INDEX(반배정!J$7:J$86,$N67))</f>
        <v/>
      </c>
      <c r="B67" s="35" t="str">
        <f aca="false">IF($N67="","",INDEX(반배정!B$7:B$86,$N67))</f>
        <v/>
      </c>
      <c r="C67" s="35" t="str">
        <f aca="false">IF($N67="","",INDEX(반배정!C$7:C$86,$N67))</f>
        <v/>
      </c>
      <c r="D67" s="35" t="str">
        <f aca="false">IF($N67="","",INDEX(반배정!D$7:D$86,$N67))</f>
        <v/>
      </c>
      <c r="E67" s="35" t="str">
        <f aca="false">IF($N67="","",INDEX(반배정!E$7:E$86,$N67))</f>
        <v/>
      </c>
      <c r="F67" s="35" t="str">
        <f aca="false">IF($N67="","",INDEX(반배정!G$7:G$86,$N67))</f>
        <v/>
      </c>
      <c r="G67" s="35" t="str">
        <f aca="false">IF($N67="","",INDEX(반배정!H$7:H$86,$N67))</f>
        <v/>
      </c>
      <c r="H67" s="45" t="str">
        <f aca="false">IF($N67="","",INDEX(반배정!I$7:I$86,$N67))</f>
        <v/>
      </c>
      <c r="I67" s="34" t="str">
        <f aca="false">IF($N67="","",INDEX(반배정!O$7:O$86,$N67))</f>
        <v/>
      </c>
      <c r="J67" s="35" t="str">
        <f aca="false">IF($N67="","",INDEX(반배정!N$7:N$86,$N67)&amp;"")</f>
        <v/>
      </c>
      <c r="K67" s="35" t="str">
        <f aca="false">IF($N67="","",INDEX(반배정!L$7:L$86,$N67))</f>
        <v/>
      </c>
      <c r="L67" s="35" t="str">
        <f aca="false">IF($N67="","",INDEX(반배정!P$7:P$86,$N67))</f>
        <v/>
      </c>
      <c r="M67" s="15" t="str">
        <f aca="false">IFERROR(SMALL(반배정!$Q$7:$Q$86,61),"")</f>
        <v/>
      </c>
      <c r="N67" s="15" t="str">
        <f aca="false">IF(M67="","",MATCH(M67,반배정!$Q$7:$Q$86,0))</f>
        <v/>
      </c>
    </row>
    <row r="68" customFormat="false" ht="15" hidden="false" customHeight="false" outlineLevel="0" collapsed="false">
      <c r="A68" s="35" t="str">
        <f aca="false">IF($N68="","",INDEX(반배정!J$7:J$86,$N68))</f>
        <v/>
      </c>
      <c r="B68" s="35" t="str">
        <f aca="false">IF($N68="","",INDEX(반배정!B$7:B$86,$N68))</f>
        <v/>
      </c>
      <c r="C68" s="35" t="str">
        <f aca="false">IF($N68="","",INDEX(반배정!C$7:C$86,$N68))</f>
        <v/>
      </c>
      <c r="D68" s="35" t="str">
        <f aca="false">IF($N68="","",INDEX(반배정!D$7:D$86,$N68))</f>
        <v/>
      </c>
      <c r="E68" s="35" t="str">
        <f aca="false">IF($N68="","",INDEX(반배정!E$7:E$86,$N68))</f>
        <v/>
      </c>
      <c r="F68" s="35" t="str">
        <f aca="false">IF($N68="","",INDEX(반배정!G$7:G$86,$N68))</f>
        <v/>
      </c>
      <c r="G68" s="35" t="str">
        <f aca="false">IF($N68="","",INDEX(반배정!H$7:H$86,$N68))</f>
        <v/>
      </c>
      <c r="H68" s="45" t="str">
        <f aca="false">IF($N68="","",INDEX(반배정!I$7:I$86,$N68))</f>
        <v/>
      </c>
      <c r="I68" s="34" t="str">
        <f aca="false">IF($N68="","",INDEX(반배정!O$7:O$86,$N68))</f>
        <v/>
      </c>
      <c r="J68" s="35" t="str">
        <f aca="false">IF($N68="","",INDEX(반배정!N$7:N$86,$N68)&amp;"")</f>
        <v/>
      </c>
      <c r="K68" s="35" t="str">
        <f aca="false">IF($N68="","",INDEX(반배정!L$7:L$86,$N68))</f>
        <v/>
      </c>
      <c r="L68" s="35" t="str">
        <f aca="false">IF($N68="","",INDEX(반배정!P$7:P$86,$N68))</f>
        <v/>
      </c>
      <c r="M68" s="15" t="str">
        <f aca="false">IFERROR(SMALL(반배정!$Q$7:$Q$86,62),"")</f>
        <v/>
      </c>
      <c r="N68" s="15" t="str">
        <f aca="false">IF(M68="","",MATCH(M68,반배정!$Q$7:$Q$86,0))</f>
        <v/>
      </c>
    </row>
    <row r="69" customFormat="false" ht="15" hidden="false" customHeight="false" outlineLevel="0" collapsed="false">
      <c r="A69" s="35" t="str">
        <f aca="false">IF($N69="","",INDEX(반배정!J$7:J$86,$N69))</f>
        <v/>
      </c>
      <c r="B69" s="35" t="str">
        <f aca="false">IF($N69="","",INDEX(반배정!B$7:B$86,$N69))</f>
        <v/>
      </c>
      <c r="C69" s="35" t="str">
        <f aca="false">IF($N69="","",INDEX(반배정!C$7:C$86,$N69))</f>
        <v/>
      </c>
      <c r="D69" s="35" t="str">
        <f aca="false">IF($N69="","",INDEX(반배정!D$7:D$86,$N69))</f>
        <v/>
      </c>
      <c r="E69" s="35" t="str">
        <f aca="false">IF($N69="","",INDEX(반배정!E$7:E$86,$N69))</f>
        <v/>
      </c>
      <c r="F69" s="35" t="str">
        <f aca="false">IF($N69="","",INDEX(반배정!G$7:G$86,$N69))</f>
        <v/>
      </c>
      <c r="G69" s="35" t="str">
        <f aca="false">IF($N69="","",INDEX(반배정!H$7:H$86,$N69))</f>
        <v/>
      </c>
      <c r="H69" s="45" t="str">
        <f aca="false">IF($N69="","",INDEX(반배정!I$7:I$86,$N69))</f>
        <v/>
      </c>
      <c r="I69" s="34" t="str">
        <f aca="false">IF($N69="","",INDEX(반배정!O$7:O$86,$N69))</f>
        <v/>
      </c>
      <c r="J69" s="35" t="str">
        <f aca="false">IF($N69="","",INDEX(반배정!N$7:N$86,$N69)&amp;"")</f>
        <v/>
      </c>
      <c r="K69" s="35" t="str">
        <f aca="false">IF($N69="","",INDEX(반배정!L$7:L$86,$N69))</f>
        <v/>
      </c>
      <c r="L69" s="35" t="str">
        <f aca="false">IF($N69="","",INDEX(반배정!P$7:P$86,$N69))</f>
        <v/>
      </c>
      <c r="M69" s="15" t="str">
        <f aca="false">IFERROR(SMALL(반배정!$Q$7:$Q$86,63),"")</f>
        <v/>
      </c>
      <c r="N69" s="15" t="str">
        <f aca="false">IF(M69="","",MATCH(M69,반배정!$Q$7:$Q$86,0))</f>
        <v/>
      </c>
    </row>
    <row r="70" customFormat="false" ht="15" hidden="false" customHeight="false" outlineLevel="0" collapsed="false">
      <c r="A70" s="35" t="str">
        <f aca="false">IF($N70="","",INDEX(반배정!J$7:J$86,$N70))</f>
        <v/>
      </c>
      <c r="B70" s="35" t="str">
        <f aca="false">IF($N70="","",INDEX(반배정!B$7:B$86,$N70))</f>
        <v/>
      </c>
      <c r="C70" s="35" t="str">
        <f aca="false">IF($N70="","",INDEX(반배정!C$7:C$86,$N70))</f>
        <v/>
      </c>
      <c r="D70" s="35" t="str">
        <f aca="false">IF($N70="","",INDEX(반배정!D$7:D$86,$N70))</f>
        <v/>
      </c>
      <c r="E70" s="35" t="str">
        <f aca="false">IF($N70="","",INDEX(반배정!E$7:E$86,$N70))</f>
        <v/>
      </c>
      <c r="F70" s="35" t="str">
        <f aca="false">IF($N70="","",INDEX(반배정!G$7:G$86,$N70))</f>
        <v/>
      </c>
      <c r="G70" s="35" t="str">
        <f aca="false">IF($N70="","",INDEX(반배정!H$7:H$86,$N70))</f>
        <v/>
      </c>
      <c r="H70" s="45" t="str">
        <f aca="false">IF($N70="","",INDEX(반배정!I$7:I$86,$N70))</f>
        <v/>
      </c>
      <c r="I70" s="34" t="str">
        <f aca="false">IF($N70="","",INDEX(반배정!O$7:O$86,$N70))</f>
        <v/>
      </c>
      <c r="J70" s="35" t="str">
        <f aca="false">IF($N70="","",INDEX(반배정!N$7:N$86,$N70)&amp;"")</f>
        <v/>
      </c>
      <c r="K70" s="35" t="str">
        <f aca="false">IF($N70="","",INDEX(반배정!L$7:L$86,$N70))</f>
        <v/>
      </c>
      <c r="L70" s="35" t="str">
        <f aca="false">IF($N70="","",INDEX(반배정!P$7:P$86,$N70))</f>
        <v/>
      </c>
      <c r="M70" s="15" t="str">
        <f aca="false">IFERROR(SMALL(반배정!$Q$7:$Q$86,64),"")</f>
        <v/>
      </c>
      <c r="N70" s="15" t="str">
        <f aca="false">IF(M70="","",MATCH(M70,반배정!$Q$7:$Q$86,0))</f>
        <v/>
      </c>
    </row>
    <row r="71" customFormat="false" ht="15" hidden="false" customHeight="false" outlineLevel="0" collapsed="false">
      <c r="A71" s="35" t="str">
        <f aca="false">IF($N71="","",INDEX(반배정!J$7:J$86,$N71))</f>
        <v/>
      </c>
      <c r="B71" s="35" t="str">
        <f aca="false">IF($N71="","",INDEX(반배정!B$7:B$86,$N71))</f>
        <v/>
      </c>
      <c r="C71" s="35" t="str">
        <f aca="false">IF($N71="","",INDEX(반배정!C$7:C$86,$N71))</f>
        <v/>
      </c>
      <c r="D71" s="35" t="str">
        <f aca="false">IF($N71="","",INDEX(반배정!D$7:D$86,$N71))</f>
        <v/>
      </c>
      <c r="E71" s="35" t="str">
        <f aca="false">IF($N71="","",INDEX(반배정!E$7:E$86,$N71))</f>
        <v/>
      </c>
      <c r="F71" s="35" t="str">
        <f aca="false">IF($N71="","",INDEX(반배정!G$7:G$86,$N71))</f>
        <v/>
      </c>
      <c r="G71" s="35" t="str">
        <f aca="false">IF($N71="","",INDEX(반배정!H$7:H$86,$N71))</f>
        <v/>
      </c>
      <c r="H71" s="45" t="str">
        <f aca="false">IF($N71="","",INDEX(반배정!I$7:I$86,$N71))</f>
        <v/>
      </c>
      <c r="I71" s="34" t="str">
        <f aca="false">IF($N71="","",INDEX(반배정!O$7:O$86,$N71))</f>
        <v/>
      </c>
      <c r="J71" s="35" t="str">
        <f aca="false">IF($N71="","",INDEX(반배정!N$7:N$86,$N71)&amp;"")</f>
        <v/>
      </c>
      <c r="K71" s="35" t="str">
        <f aca="false">IF($N71="","",INDEX(반배정!L$7:L$86,$N71))</f>
        <v/>
      </c>
      <c r="L71" s="35" t="str">
        <f aca="false">IF($N71="","",INDEX(반배정!P$7:P$86,$N71))</f>
        <v/>
      </c>
      <c r="M71" s="15" t="str">
        <f aca="false">IFERROR(SMALL(반배정!$Q$7:$Q$86,65),"")</f>
        <v/>
      </c>
      <c r="N71" s="15" t="str">
        <f aca="false">IF(M71="","",MATCH(M71,반배정!$Q$7:$Q$86,0))</f>
        <v/>
      </c>
    </row>
    <row r="72" customFormat="false" ht="15" hidden="false" customHeight="false" outlineLevel="0" collapsed="false">
      <c r="A72" s="35" t="str">
        <f aca="false">IF($N72="","",INDEX(반배정!J$7:J$86,$N72))</f>
        <v/>
      </c>
      <c r="B72" s="35" t="str">
        <f aca="false">IF($N72="","",INDEX(반배정!B$7:B$86,$N72))</f>
        <v/>
      </c>
      <c r="C72" s="35" t="str">
        <f aca="false">IF($N72="","",INDEX(반배정!C$7:C$86,$N72))</f>
        <v/>
      </c>
      <c r="D72" s="35" t="str">
        <f aca="false">IF($N72="","",INDEX(반배정!D$7:D$86,$N72))</f>
        <v/>
      </c>
      <c r="E72" s="35" t="str">
        <f aca="false">IF($N72="","",INDEX(반배정!E$7:E$86,$N72))</f>
        <v/>
      </c>
      <c r="F72" s="35" t="str">
        <f aca="false">IF($N72="","",INDEX(반배정!G$7:G$86,$N72))</f>
        <v/>
      </c>
      <c r="G72" s="35" t="str">
        <f aca="false">IF($N72="","",INDEX(반배정!H$7:H$86,$N72))</f>
        <v/>
      </c>
      <c r="H72" s="45" t="str">
        <f aca="false">IF($N72="","",INDEX(반배정!I$7:I$86,$N72))</f>
        <v/>
      </c>
      <c r="I72" s="34" t="str">
        <f aca="false">IF($N72="","",INDEX(반배정!O$7:O$86,$N72))</f>
        <v/>
      </c>
      <c r="J72" s="35" t="str">
        <f aca="false">IF($N72="","",INDEX(반배정!N$7:N$86,$N72)&amp;"")</f>
        <v/>
      </c>
      <c r="K72" s="35" t="str">
        <f aca="false">IF($N72="","",INDEX(반배정!L$7:L$86,$N72))</f>
        <v/>
      </c>
      <c r="L72" s="35" t="str">
        <f aca="false">IF($N72="","",INDEX(반배정!P$7:P$86,$N72))</f>
        <v/>
      </c>
      <c r="M72" s="15" t="str">
        <f aca="false">IFERROR(SMALL(반배정!$Q$7:$Q$86,66),"")</f>
        <v/>
      </c>
      <c r="N72" s="15" t="str">
        <f aca="false">IF(M72="","",MATCH(M72,반배정!$Q$7:$Q$86,0))</f>
        <v/>
      </c>
    </row>
    <row r="73" customFormat="false" ht="15" hidden="false" customHeight="false" outlineLevel="0" collapsed="false">
      <c r="A73" s="35" t="str">
        <f aca="false">IF($N73="","",INDEX(반배정!J$7:J$86,$N73))</f>
        <v/>
      </c>
      <c r="B73" s="35" t="str">
        <f aca="false">IF($N73="","",INDEX(반배정!B$7:B$86,$N73))</f>
        <v/>
      </c>
      <c r="C73" s="35" t="str">
        <f aca="false">IF($N73="","",INDEX(반배정!C$7:C$86,$N73))</f>
        <v/>
      </c>
      <c r="D73" s="35" t="str">
        <f aca="false">IF($N73="","",INDEX(반배정!D$7:D$86,$N73))</f>
        <v/>
      </c>
      <c r="E73" s="35" t="str">
        <f aca="false">IF($N73="","",INDEX(반배정!E$7:E$86,$N73))</f>
        <v/>
      </c>
      <c r="F73" s="35" t="str">
        <f aca="false">IF($N73="","",INDEX(반배정!G$7:G$86,$N73))</f>
        <v/>
      </c>
      <c r="G73" s="35" t="str">
        <f aca="false">IF($N73="","",INDEX(반배정!H$7:H$86,$N73))</f>
        <v/>
      </c>
      <c r="H73" s="45" t="str">
        <f aca="false">IF($N73="","",INDEX(반배정!I$7:I$86,$N73))</f>
        <v/>
      </c>
      <c r="I73" s="34" t="str">
        <f aca="false">IF($N73="","",INDEX(반배정!O$7:O$86,$N73))</f>
        <v/>
      </c>
      <c r="J73" s="35" t="str">
        <f aca="false">IF($N73="","",INDEX(반배정!N$7:N$86,$N73)&amp;"")</f>
        <v/>
      </c>
      <c r="K73" s="35" t="str">
        <f aca="false">IF($N73="","",INDEX(반배정!L$7:L$86,$N73))</f>
        <v/>
      </c>
      <c r="L73" s="35" t="str">
        <f aca="false">IF($N73="","",INDEX(반배정!P$7:P$86,$N73))</f>
        <v/>
      </c>
      <c r="M73" s="15" t="str">
        <f aca="false">IFERROR(SMALL(반배정!$Q$7:$Q$86,67),"")</f>
        <v/>
      </c>
      <c r="N73" s="15" t="str">
        <f aca="false">IF(M73="","",MATCH(M73,반배정!$Q$7:$Q$86,0))</f>
        <v/>
      </c>
    </row>
    <row r="74" customFormat="false" ht="15" hidden="false" customHeight="false" outlineLevel="0" collapsed="false">
      <c r="A74" s="35" t="str">
        <f aca="false">IF($N74="","",INDEX(반배정!J$7:J$86,$N74))</f>
        <v/>
      </c>
      <c r="B74" s="35" t="str">
        <f aca="false">IF($N74="","",INDEX(반배정!B$7:B$86,$N74))</f>
        <v/>
      </c>
      <c r="C74" s="35" t="str">
        <f aca="false">IF($N74="","",INDEX(반배정!C$7:C$86,$N74))</f>
        <v/>
      </c>
      <c r="D74" s="35" t="str">
        <f aca="false">IF($N74="","",INDEX(반배정!D$7:D$86,$N74))</f>
        <v/>
      </c>
      <c r="E74" s="35" t="str">
        <f aca="false">IF($N74="","",INDEX(반배정!E$7:E$86,$N74))</f>
        <v/>
      </c>
      <c r="F74" s="35" t="str">
        <f aca="false">IF($N74="","",INDEX(반배정!G$7:G$86,$N74))</f>
        <v/>
      </c>
      <c r="G74" s="35" t="str">
        <f aca="false">IF($N74="","",INDEX(반배정!H$7:H$86,$N74))</f>
        <v/>
      </c>
      <c r="H74" s="45" t="str">
        <f aca="false">IF($N74="","",INDEX(반배정!I$7:I$86,$N74))</f>
        <v/>
      </c>
      <c r="I74" s="34" t="str">
        <f aca="false">IF($N74="","",INDEX(반배정!O$7:O$86,$N74))</f>
        <v/>
      </c>
      <c r="J74" s="35" t="str">
        <f aca="false">IF($N74="","",INDEX(반배정!N$7:N$86,$N74)&amp;"")</f>
        <v/>
      </c>
      <c r="K74" s="35" t="str">
        <f aca="false">IF($N74="","",INDEX(반배정!L$7:L$86,$N74))</f>
        <v/>
      </c>
      <c r="L74" s="35" t="str">
        <f aca="false">IF($N74="","",INDEX(반배정!P$7:P$86,$N74))</f>
        <v/>
      </c>
      <c r="M74" s="15" t="str">
        <f aca="false">IFERROR(SMALL(반배정!$Q$7:$Q$86,68),"")</f>
        <v/>
      </c>
      <c r="N74" s="15" t="str">
        <f aca="false">IF(M74="","",MATCH(M74,반배정!$Q$7:$Q$86,0))</f>
        <v/>
      </c>
    </row>
    <row r="75" customFormat="false" ht="15" hidden="false" customHeight="false" outlineLevel="0" collapsed="false">
      <c r="A75" s="35" t="str">
        <f aca="false">IF($N75="","",INDEX(반배정!J$7:J$86,$N75))</f>
        <v/>
      </c>
      <c r="B75" s="35" t="str">
        <f aca="false">IF($N75="","",INDEX(반배정!B$7:B$86,$N75))</f>
        <v/>
      </c>
      <c r="C75" s="35" t="str">
        <f aca="false">IF($N75="","",INDEX(반배정!C$7:C$86,$N75))</f>
        <v/>
      </c>
      <c r="D75" s="35" t="str">
        <f aca="false">IF($N75="","",INDEX(반배정!D$7:D$86,$N75))</f>
        <v/>
      </c>
      <c r="E75" s="35" t="str">
        <f aca="false">IF($N75="","",INDEX(반배정!E$7:E$86,$N75))</f>
        <v/>
      </c>
      <c r="F75" s="35" t="str">
        <f aca="false">IF($N75="","",INDEX(반배정!G$7:G$86,$N75))</f>
        <v/>
      </c>
      <c r="G75" s="35" t="str">
        <f aca="false">IF($N75="","",INDEX(반배정!H$7:H$86,$N75))</f>
        <v/>
      </c>
      <c r="H75" s="45" t="str">
        <f aca="false">IF($N75="","",INDEX(반배정!I$7:I$86,$N75))</f>
        <v/>
      </c>
      <c r="I75" s="34" t="str">
        <f aca="false">IF($N75="","",INDEX(반배정!O$7:O$86,$N75))</f>
        <v/>
      </c>
      <c r="J75" s="35" t="str">
        <f aca="false">IF($N75="","",INDEX(반배정!N$7:N$86,$N75)&amp;"")</f>
        <v/>
      </c>
      <c r="K75" s="35" t="str">
        <f aca="false">IF($N75="","",INDEX(반배정!L$7:L$86,$N75))</f>
        <v/>
      </c>
      <c r="L75" s="35" t="str">
        <f aca="false">IF($N75="","",INDEX(반배정!P$7:P$86,$N75))</f>
        <v/>
      </c>
      <c r="M75" s="15" t="str">
        <f aca="false">IFERROR(SMALL(반배정!$Q$7:$Q$86,69),"")</f>
        <v/>
      </c>
      <c r="N75" s="15" t="str">
        <f aca="false">IF(M75="","",MATCH(M75,반배정!$Q$7:$Q$86,0))</f>
        <v/>
      </c>
    </row>
    <row r="76" customFormat="false" ht="15" hidden="false" customHeight="false" outlineLevel="0" collapsed="false">
      <c r="A76" s="35" t="str">
        <f aca="false">IF($N76="","",INDEX(반배정!J$7:J$86,$N76))</f>
        <v/>
      </c>
      <c r="B76" s="35" t="str">
        <f aca="false">IF($N76="","",INDEX(반배정!B$7:B$86,$N76))</f>
        <v/>
      </c>
      <c r="C76" s="35" t="str">
        <f aca="false">IF($N76="","",INDEX(반배정!C$7:C$86,$N76))</f>
        <v/>
      </c>
      <c r="D76" s="35" t="str">
        <f aca="false">IF($N76="","",INDEX(반배정!D$7:D$86,$N76))</f>
        <v/>
      </c>
      <c r="E76" s="35" t="str">
        <f aca="false">IF($N76="","",INDEX(반배정!E$7:E$86,$N76))</f>
        <v/>
      </c>
      <c r="F76" s="35" t="str">
        <f aca="false">IF($N76="","",INDEX(반배정!G$7:G$86,$N76))</f>
        <v/>
      </c>
      <c r="G76" s="35" t="str">
        <f aca="false">IF($N76="","",INDEX(반배정!H$7:H$86,$N76))</f>
        <v/>
      </c>
      <c r="H76" s="45" t="str">
        <f aca="false">IF($N76="","",INDEX(반배정!I$7:I$86,$N76))</f>
        <v/>
      </c>
      <c r="I76" s="34" t="str">
        <f aca="false">IF($N76="","",INDEX(반배정!O$7:O$86,$N76))</f>
        <v/>
      </c>
      <c r="J76" s="35" t="str">
        <f aca="false">IF($N76="","",INDEX(반배정!N$7:N$86,$N76)&amp;"")</f>
        <v/>
      </c>
      <c r="K76" s="35" t="str">
        <f aca="false">IF($N76="","",INDEX(반배정!L$7:L$86,$N76))</f>
        <v/>
      </c>
      <c r="L76" s="35" t="str">
        <f aca="false">IF($N76="","",INDEX(반배정!P$7:P$86,$N76))</f>
        <v/>
      </c>
      <c r="M76" s="15" t="str">
        <f aca="false">IFERROR(SMALL(반배정!$Q$7:$Q$86,70),"")</f>
        <v/>
      </c>
      <c r="N76" s="15" t="str">
        <f aca="false">IF(M76="","",MATCH(M76,반배정!$Q$7:$Q$86,0))</f>
        <v/>
      </c>
    </row>
    <row r="77" customFormat="false" ht="15" hidden="false" customHeight="false" outlineLevel="0" collapsed="false">
      <c r="A77" s="35" t="str">
        <f aca="false">IF($N77="","",INDEX(반배정!J$7:J$86,$N77))</f>
        <v/>
      </c>
      <c r="B77" s="35" t="str">
        <f aca="false">IF($N77="","",INDEX(반배정!B$7:B$86,$N77))</f>
        <v/>
      </c>
      <c r="C77" s="35" t="str">
        <f aca="false">IF($N77="","",INDEX(반배정!C$7:C$86,$N77))</f>
        <v/>
      </c>
      <c r="D77" s="35" t="str">
        <f aca="false">IF($N77="","",INDEX(반배정!D$7:D$86,$N77))</f>
        <v/>
      </c>
      <c r="E77" s="35" t="str">
        <f aca="false">IF($N77="","",INDEX(반배정!E$7:E$86,$N77))</f>
        <v/>
      </c>
      <c r="F77" s="35" t="str">
        <f aca="false">IF($N77="","",INDEX(반배정!G$7:G$86,$N77))</f>
        <v/>
      </c>
      <c r="G77" s="35" t="str">
        <f aca="false">IF($N77="","",INDEX(반배정!H$7:H$86,$N77))</f>
        <v/>
      </c>
      <c r="H77" s="45" t="str">
        <f aca="false">IF($N77="","",INDEX(반배정!I$7:I$86,$N77))</f>
        <v/>
      </c>
      <c r="I77" s="34" t="str">
        <f aca="false">IF($N77="","",INDEX(반배정!O$7:O$86,$N77))</f>
        <v/>
      </c>
      <c r="J77" s="35" t="str">
        <f aca="false">IF($N77="","",INDEX(반배정!N$7:N$86,$N77)&amp;"")</f>
        <v/>
      </c>
      <c r="K77" s="35" t="str">
        <f aca="false">IF($N77="","",INDEX(반배정!L$7:L$86,$N77))</f>
        <v/>
      </c>
      <c r="L77" s="35" t="str">
        <f aca="false">IF($N77="","",INDEX(반배정!P$7:P$86,$N77))</f>
        <v/>
      </c>
      <c r="M77" s="15" t="str">
        <f aca="false">IFERROR(SMALL(반배정!$Q$7:$Q$86,71),"")</f>
        <v/>
      </c>
      <c r="N77" s="15" t="str">
        <f aca="false">IF(M77="","",MATCH(M77,반배정!$Q$7:$Q$86,0))</f>
        <v/>
      </c>
    </row>
    <row r="78" customFormat="false" ht="15" hidden="false" customHeight="false" outlineLevel="0" collapsed="false">
      <c r="A78" s="35" t="str">
        <f aca="false">IF($N78="","",INDEX(반배정!J$7:J$86,$N78))</f>
        <v/>
      </c>
      <c r="B78" s="35" t="str">
        <f aca="false">IF($N78="","",INDEX(반배정!B$7:B$86,$N78))</f>
        <v/>
      </c>
      <c r="C78" s="35" t="str">
        <f aca="false">IF($N78="","",INDEX(반배정!C$7:C$86,$N78))</f>
        <v/>
      </c>
      <c r="D78" s="35" t="str">
        <f aca="false">IF($N78="","",INDEX(반배정!D$7:D$86,$N78))</f>
        <v/>
      </c>
      <c r="E78" s="35" t="str">
        <f aca="false">IF($N78="","",INDEX(반배정!E$7:E$86,$N78))</f>
        <v/>
      </c>
      <c r="F78" s="35" t="str">
        <f aca="false">IF($N78="","",INDEX(반배정!G$7:G$86,$N78))</f>
        <v/>
      </c>
      <c r="G78" s="35" t="str">
        <f aca="false">IF($N78="","",INDEX(반배정!H$7:H$86,$N78))</f>
        <v/>
      </c>
      <c r="H78" s="45" t="str">
        <f aca="false">IF($N78="","",INDEX(반배정!I$7:I$86,$N78))</f>
        <v/>
      </c>
      <c r="I78" s="34" t="str">
        <f aca="false">IF($N78="","",INDEX(반배정!O$7:O$86,$N78))</f>
        <v/>
      </c>
      <c r="J78" s="35" t="str">
        <f aca="false">IF($N78="","",INDEX(반배정!N$7:N$86,$N78)&amp;"")</f>
        <v/>
      </c>
      <c r="K78" s="35" t="str">
        <f aca="false">IF($N78="","",INDEX(반배정!L$7:L$86,$N78))</f>
        <v/>
      </c>
      <c r="L78" s="35" t="str">
        <f aca="false">IF($N78="","",INDEX(반배정!P$7:P$86,$N78))</f>
        <v/>
      </c>
      <c r="M78" s="15" t="str">
        <f aca="false">IFERROR(SMALL(반배정!$Q$7:$Q$86,72),"")</f>
        <v/>
      </c>
      <c r="N78" s="15" t="str">
        <f aca="false">IF(M78="","",MATCH(M78,반배정!$Q$7:$Q$86,0))</f>
        <v/>
      </c>
    </row>
    <row r="79" customFormat="false" ht="15" hidden="false" customHeight="false" outlineLevel="0" collapsed="false">
      <c r="A79" s="35" t="str">
        <f aca="false">IF($N79="","",INDEX(반배정!J$7:J$86,$N79))</f>
        <v/>
      </c>
      <c r="B79" s="35" t="str">
        <f aca="false">IF($N79="","",INDEX(반배정!B$7:B$86,$N79))</f>
        <v/>
      </c>
      <c r="C79" s="35" t="str">
        <f aca="false">IF($N79="","",INDEX(반배정!C$7:C$86,$N79))</f>
        <v/>
      </c>
      <c r="D79" s="35" t="str">
        <f aca="false">IF($N79="","",INDEX(반배정!D$7:D$86,$N79))</f>
        <v/>
      </c>
      <c r="E79" s="35" t="str">
        <f aca="false">IF($N79="","",INDEX(반배정!E$7:E$86,$N79))</f>
        <v/>
      </c>
      <c r="F79" s="35" t="str">
        <f aca="false">IF($N79="","",INDEX(반배정!G$7:G$86,$N79))</f>
        <v/>
      </c>
      <c r="G79" s="35" t="str">
        <f aca="false">IF($N79="","",INDEX(반배정!H$7:H$86,$N79))</f>
        <v/>
      </c>
      <c r="H79" s="45" t="str">
        <f aca="false">IF($N79="","",INDEX(반배정!I$7:I$86,$N79))</f>
        <v/>
      </c>
      <c r="I79" s="34" t="str">
        <f aca="false">IF($N79="","",INDEX(반배정!O$7:O$86,$N79))</f>
        <v/>
      </c>
      <c r="J79" s="35" t="str">
        <f aca="false">IF($N79="","",INDEX(반배정!N$7:N$86,$N79)&amp;"")</f>
        <v/>
      </c>
      <c r="K79" s="35" t="str">
        <f aca="false">IF($N79="","",INDEX(반배정!L$7:L$86,$N79))</f>
        <v/>
      </c>
      <c r="L79" s="35" t="str">
        <f aca="false">IF($N79="","",INDEX(반배정!P$7:P$86,$N79))</f>
        <v/>
      </c>
      <c r="M79" s="15" t="str">
        <f aca="false">IFERROR(SMALL(반배정!$Q$7:$Q$86,73),"")</f>
        <v/>
      </c>
      <c r="N79" s="15" t="str">
        <f aca="false">IF(M79="","",MATCH(M79,반배정!$Q$7:$Q$86,0))</f>
        <v/>
      </c>
    </row>
    <row r="80" customFormat="false" ht="15" hidden="false" customHeight="false" outlineLevel="0" collapsed="false">
      <c r="A80" s="35" t="str">
        <f aca="false">IF($N80="","",INDEX(반배정!J$7:J$86,$N80))</f>
        <v/>
      </c>
      <c r="B80" s="35" t="str">
        <f aca="false">IF($N80="","",INDEX(반배정!B$7:B$86,$N80))</f>
        <v/>
      </c>
      <c r="C80" s="35" t="str">
        <f aca="false">IF($N80="","",INDEX(반배정!C$7:C$86,$N80))</f>
        <v/>
      </c>
      <c r="D80" s="35" t="str">
        <f aca="false">IF($N80="","",INDEX(반배정!D$7:D$86,$N80))</f>
        <v/>
      </c>
      <c r="E80" s="35" t="str">
        <f aca="false">IF($N80="","",INDEX(반배정!E$7:E$86,$N80))</f>
        <v/>
      </c>
      <c r="F80" s="35" t="str">
        <f aca="false">IF($N80="","",INDEX(반배정!G$7:G$86,$N80))</f>
        <v/>
      </c>
      <c r="G80" s="35" t="str">
        <f aca="false">IF($N80="","",INDEX(반배정!H$7:H$86,$N80))</f>
        <v/>
      </c>
      <c r="H80" s="45" t="str">
        <f aca="false">IF($N80="","",INDEX(반배정!I$7:I$86,$N80))</f>
        <v/>
      </c>
      <c r="I80" s="34" t="str">
        <f aca="false">IF($N80="","",INDEX(반배정!O$7:O$86,$N80))</f>
        <v/>
      </c>
      <c r="J80" s="35" t="str">
        <f aca="false">IF($N80="","",INDEX(반배정!N$7:N$86,$N80)&amp;"")</f>
        <v/>
      </c>
      <c r="K80" s="35" t="str">
        <f aca="false">IF($N80="","",INDEX(반배정!L$7:L$86,$N80))</f>
        <v/>
      </c>
      <c r="L80" s="35" t="str">
        <f aca="false">IF($N80="","",INDEX(반배정!P$7:P$86,$N80))</f>
        <v/>
      </c>
      <c r="M80" s="15" t="str">
        <f aca="false">IFERROR(SMALL(반배정!$Q$7:$Q$86,74),"")</f>
        <v/>
      </c>
      <c r="N80" s="15" t="str">
        <f aca="false">IF(M80="","",MATCH(M80,반배정!$Q$7:$Q$86,0))</f>
        <v/>
      </c>
    </row>
    <row r="81" customFormat="false" ht="15" hidden="false" customHeight="false" outlineLevel="0" collapsed="false">
      <c r="A81" s="35" t="str">
        <f aca="false">IF($N81="","",INDEX(반배정!J$7:J$86,$N81))</f>
        <v/>
      </c>
      <c r="B81" s="35" t="str">
        <f aca="false">IF($N81="","",INDEX(반배정!B$7:B$86,$N81))</f>
        <v/>
      </c>
      <c r="C81" s="35" t="str">
        <f aca="false">IF($N81="","",INDEX(반배정!C$7:C$86,$N81))</f>
        <v/>
      </c>
      <c r="D81" s="35" t="str">
        <f aca="false">IF($N81="","",INDEX(반배정!D$7:D$86,$N81))</f>
        <v/>
      </c>
      <c r="E81" s="35" t="str">
        <f aca="false">IF($N81="","",INDEX(반배정!E$7:E$86,$N81))</f>
        <v/>
      </c>
      <c r="F81" s="35" t="str">
        <f aca="false">IF($N81="","",INDEX(반배정!G$7:G$86,$N81))</f>
        <v/>
      </c>
      <c r="G81" s="35" t="str">
        <f aca="false">IF($N81="","",INDEX(반배정!H$7:H$86,$N81))</f>
        <v/>
      </c>
      <c r="H81" s="45" t="str">
        <f aca="false">IF($N81="","",INDEX(반배정!I$7:I$86,$N81))</f>
        <v/>
      </c>
      <c r="I81" s="34" t="str">
        <f aca="false">IF($N81="","",INDEX(반배정!O$7:O$86,$N81))</f>
        <v/>
      </c>
      <c r="J81" s="35" t="str">
        <f aca="false">IF($N81="","",INDEX(반배정!N$7:N$86,$N81)&amp;"")</f>
        <v/>
      </c>
      <c r="K81" s="35" t="str">
        <f aca="false">IF($N81="","",INDEX(반배정!L$7:L$86,$N81))</f>
        <v/>
      </c>
      <c r="L81" s="35" t="str">
        <f aca="false">IF($N81="","",INDEX(반배정!P$7:P$86,$N81))</f>
        <v/>
      </c>
      <c r="M81" s="15" t="str">
        <f aca="false">IFERROR(SMALL(반배정!$Q$7:$Q$86,75),"")</f>
        <v/>
      </c>
      <c r="N81" s="15" t="str">
        <f aca="false">IF(M81="","",MATCH(M81,반배정!$Q$7:$Q$86,0))</f>
        <v/>
      </c>
    </row>
    <row r="82" customFormat="false" ht="15" hidden="false" customHeight="false" outlineLevel="0" collapsed="false">
      <c r="A82" s="35" t="str">
        <f aca="false">IF($N82="","",INDEX(반배정!J$7:J$86,$N82))</f>
        <v/>
      </c>
      <c r="B82" s="35" t="str">
        <f aca="false">IF($N82="","",INDEX(반배정!B$7:B$86,$N82))</f>
        <v/>
      </c>
      <c r="C82" s="35" t="str">
        <f aca="false">IF($N82="","",INDEX(반배정!C$7:C$86,$N82))</f>
        <v/>
      </c>
      <c r="D82" s="35" t="str">
        <f aca="false">IF($N82="","",INDEX(반배정!D$7:D$86,$N82))</f>
        <v/>
      </c>
      <c r="E82" s="35" t="str">
        <f aca="false">IF($N82="","",INDEX(반배정!E$7:E$86,$N82))</f>
        <v/>
      </c>
      <c r="F82" s="35" t="str">
        <f aca="false">IF($N82="","",INDEX(반배정!G$7:G$86,$N82))</f>
        <v/>
      </c>
      <c r="G82" s="35" t="str">
        <f aca="false">IF($N82="","",INDEX(반배정!H$7:H$86,$N82))</f>
        <v/>
      </c>
      <c r="H82" s="45" t="str">
        <f aca="false">IF($N82="","",INDEX(반배정!I$7:I$86,$N82))</f>
        <v/>
      </c>
      <c r="I82" s="34" t="str">
        <f aca="false">IF($N82="","",INDEX(반배정!O$7:O$86,$N82))</f>
        <v/>
      </c>
      <c r="J82" s="35" t="str">
        <f aca="false">IF($N82="","",INDEX(반배정!N$7:N$86,$N82)&amp;"")</f>
        <v/>
      </c>
      <c r="K82" s="35" t="str">
        <f aca="false">IF($N82="","",INDEX(반배정!L$7:L$86,$N82))</f>
        <v/>
      </c>
      <c r="L82" s="35" t="str">
        <f aca="false">IF($N82="","",INDEX(반배정!P$7:P$86,$N82))</f>
        <v/>
      </c>
      <c r="M82" s="15" t="str">
        <f aca="false">IFERROR(SMALL(반배정!$Q$7:$Q$86,76),"")</f>
        <v/>
      </c>
      <c r="N82" s="15" t="str">
        <f aca="false">IF(M82="","",MATCH(M82,반배정!$Q$7:$Q$86,0))</f>
        <v/>
      </c>
    </row>
    <row r="83" customFormat="false" ht="15" hidden="false" customHeight="false" outlineLevel="0" collapsed="false">
      <c r="A83" s="35" t="str">
        <f aca="false">IF($N83="","",INDEX(반배정!J$7:J$86,$N83))</f>
        <v/>
      </c>
      <c r="B83" s="35" t="str">
        <f aca="false">IF($N83="","",INDEX(반배정!B$7:B$86,$N83))</f>
        <v/>
      </c>
      <c r="C83" s="35" t="str">
        <f aca="false">IF($N83="","",INDEX(반배정!C$7:C$86,$N83))</f>
        <v/>
      </c>
      <c r="D83" s="35" t="str">
        <f aca="false">IF($N83="","",INDEX(반배정!D$7:D$86,$N83))</f>
        <v/>
      </c>
      <c r="E83" s="35" t="str">
        <f aca="false">IF($N83="","",INDEX(반배정!E$7:E$86,$N83))</f>
        <v/>
      </c>
      <c r="F83" s="35" t="str">
        <f aca="false">IF($N83="","",INDEX(반배정!G$7:G$86,$N83))</f>
        <v/>
      </c>
      <c r="G83" s="35" t="str">
        <f aca="false">IF($N83="","",INDEX(반배정!H$7:H$86,$N83))</f>
        <v/>
      </c>
      <c r="H83" s="45" t="str">
        <f aca="false">IF($N83="","",INDEX(반배정!I$7:I$86,$N83))</f>
        <v/>
      </c>
      <c r="I83" s="34" t="str">
        <f aca="false">IF($N83="","",INDEX(반배정!O$7:O$86,$N83))</f>
        <v/>
      </c>
      <c r="J83" s="35" t="str">
        <f aca="false">IF($N83="","",INDEX(반배정!N$7:N$86,$N83)&amp;"")</f>
        <v/>
      </c>
      <c r="K83" s="35" t="str">
        <f aca="false">IF($N83="","",INDEX(반배정!L$7:L$86,$N83))</f>
        <v/>
      </c>
      <c r="L83" s="35" t="str">
        <f aca="false">IF($N83="","",INDEX(반배정!P$7:P$86,$N83))</f>
        <v/>
      </c>
      <c r="M83" s="15" t="str">
        <f aca="false">IFERROR(SMALL(반배정!$Q$7:$Q$86,77),"")</f>
        <v/>
      </c>
      <c r="N83" s="15" t="str">
        <f aca="false">IF(M83="","",MATCH(M83,반배정!$Q$7:$Q$86,0))</f>
        <v/>
      </c>
    </row>
    <row r="84" customFormat="false" ht="15" hidden="false" customHeight="false" outlineLevel="0" collapsed="false">
      <c r="A84" s="35" t="str">
        <f aca="false">IF($N84="","",INDEX(반배정!J$7:J$86,$N84))</f>
        <v/>
      </c>
      <c r="B84" s="35" t="str">
        <f aca="false">IF($N84="","",INDEX(반배정!B$7:B$86,$N84))</f>
        <v/>
      </c>
      <c r="C84" s="35" t="str">
        <f aca="false">IF($N84="","",INDEX(반배정!C$7:C$86,$N84))</f>
        <v/>
      </c>
      <c r="D84" s="35" t="str">
        <f aca="false">IF($N84="","",INDEX(반배정!D$7:D$86,$N84))</f>
        <v/>
      </c>
      <c r="E84" s="35" t="str">
        <f aca="false">IF($N84="","",INDEX(반배정!E$7:E$86,$N84))</f>
        <v/>
      </c>
      <c r="F84" s="35" t="str">
        <f aca="false">IF($N84="","",INDEX(반배정!G$7:G$86,$N84))</f>
        <v/>
      </c>
      <c r="G84" s="35" t="str">
        <f aca="false">IF($N84="","",INDEX(반배정!H$7:H$86,$N84))</f>
        <v/>
      </c>
      <c r="H84" s="45" t="str">
        <f aca="false">IF($N84="","",INDEX(반배정!I$7:I$86,$N84))</f>
        <v/>
      </c>
      <c r="I84" s="34" t="str">
        <f aca="false">IF($N84="","",INDEX(반배정!O$7:O$86,$N84))</f>
        <v/>
      </c>
      <c r="J84" s="35" t="str">
        <f aca="false">IF($N84="","",INDEX(반배정!N$7:N$86,$N84)&amp;"")</f>
        <v/>
      </c>
      <c r="K84" s="35" t="str">
        <f aca="false">IF($N84="","",INDEX(반배정!L$7:L$86,$N84))</f>
        <v/>
      </c>
      <c r="L84" s="35" t="str">
        <f aca="false">IF($N84="","",INDEX(반배정!P$7:P$86,$N84))</f>
        <v/>
      </c>
      <c r="M84" s="15" t="str">
        <f aca="false">IFERROR(SMALL(반배정!$Q$7:$Q$86,78),"")</f>
        <v/>
      </c>
      <c r="N84" s="15" t="str">
        <f aca="false">IF(M84="","",MATCH(M84,반배정!$Q$7:$Q$86,0))</f>
        <v/>
      </c>
    </row>
    <row r="85" customFormat="false" ht="15" hidden="false" customHeight="false" outlineLevel="0" collapsed="false">
      <c r="A85" s="35" t="str">
        <f aca="false">IF($N85="","",INDEX(반배정!J$7:J$86,$N85))</f>
        <v/>
      </c>
      <c r="B85" s="35" t="str">
        <f aca="false">IF($N85="","",INDEX(반배정!B$7:B$86,$N85))</f>
        <v/>
      </c>
      <c r="C85" s="35" t="str">
        <f aca="false">IF($N85="","",INDEX(반배정!C$7:C$86,$N85))</f>
        <v/>
      </c>
      <c r="D85" s="35" t="str">
        <f aca="false">IF($N85="","",INDEX(반배정!D$7:D$86,$N85))</f>
        <v/>
      </c>
      <c r="E85" s="35" t="str">
        <f aca="false">IF($N85="","",INDEX(반배정!E$7:E$86,$N85))</f>
        <v/>
      </c>
      <c r="F85" s="35" t="str">
        <f aca="false">IF($N85="","",INDEX(반배정!G$7:G$86,$N85))</f>
        <v/>
      </c>
      <c r="G85" s="35" t="str">
        <f aca="false">IF($N85="","",INDEX(반배정!H$7:H$86,$N85))</f>
        <v/>
      </c>
      <c r="H85" s="45" t="str">
        <f aca="false">IF($N85="","",INDEX(반배정!I$7:I$86,$N85))</f>
        <v/>
      </c>
      <c r="I85" s="34" t="str">
        <f aca="false">IF($N85="","",INDEX(반배정!O$7:O$86,$N85))</f>
        <v/>
      </c>
      <c r="J85" s="35" t="str">
        <f aca="false">IF($N85="","",INDEX(반배정!N$7:N$86,$N85)&amp;"")</f>
        <v/>
      </c>
      <c r="K85" s="35" t="str">
        <f aca="false">IF($N85="","",INDEX(반배정!L$7:L$86,$N85))</f>
        <v/>
      </c>
      <c r="L85" s="35" t="str">
        <f aca="false">IF($N85="","",INDEX(반배정!P$7:P$86,$N85))</f>
        <v/>
      </c>
      <c r="M85" s="15" t="str">
        <f aca="false">IFERROR(SMALL(반배정!$Q$7:$Q$86,79),"")</f>
        <v/>
      </c>
      <c r="N85" s="15" t="str">
        <f aca="false">IF(M85="","",MATCH(M85,반배정!$Q$7:$Q$86,0))</f>
        <v/>
      </c>
    </row>
    <row r="86" customFormat="false" ht="15" hidden="false" customHeight="false" outlineLevel="0" collapsed="false">
      <c r="A86" s="35" t="str">
        <f aca="false">IF($N86="","",INDEX(반배정!J$7:J$86,$N86))</f>
        <v/>
      </c>
      <c r="B86" s="35" t="str">
        <f aca="false">IF($N86="","",INDEX(반배정!B$7:B$86,$N86))</f>
        <v/>
      </c>
      <c r="C86" s="35" t="str">
        <f aca="false">IF($N86="","",INDEX(반배정!C$7:C$86,$N86))</f>
        <v/>
      </c>
      <c r="D86" s="35" t="str">
        <f aca="false">IF($N86="","",INDEX(반배정!D$7:D$86,$N86))</f>
        <v/>
      </c>
      <c r="E86" s="35" t="str">
        <f aca="false">IF($N86="","",INDEX(반배정!E$7:E$86,$N86))</f>
        <v/>
      </c>
      <c r="F86" s="35" t="str">
        <f aca="false">IF($N86="","",INDEX(반배정!G$7:G$86,$N86))</f>
        <v/>
      </c>
      <c r="G86" s="35" t="str">
        <f aca="false">IF($N86="","",INDEX(반배정!H$7:H$86,$N86))</f>
        <v/>
      </c>
      <c r="H86" s="45" t="str">
        <f aca="false">IF($N86="","",INDEX(반배정!I$7:I$86,$N86))</f>
        <v/>
      </c>
      <c r="I86" s="34" t="str">
        <f aca="false">IF($N86="","",INDEX(반배정!O$7:O$86,$N86))</f>
        <v/>
      </c>
      <c r="J86" s="35" t="str">
        <f aca="false">IF($N86="","",INDEX(반배정!N$7:N$86,$N86)&amp;"")</f>
        <v/>
      </c>
      <c r="K86" s="35" t="str">
        <f aca="false">IF($N86="","",INDEX(반배정!L$7:L$86,$N86))</f>
        <v/>
      </c>
      <c r="L86" s="35" t="str">
        <f aca="false">IF($N86="","",INDEX(반배정!P$7:P$86,$N86))</f>
        <v/>
      </c>
      <c r="M86" s="15" t="str">
        <f aca="false">IFERROR(SMALL(반배정!$Q$7:$Q$86,80),"")</f>
        <v/>
      </c>
      <c r="N86" s="15" t="str">
        <f aca="false">IF(M86="","",MATCH(M86,반배정!$Q$7:$Q$86,0))</f>
        <v/>
      </c>
    </row>
  </sheetData>
  <mergeCells count="2">
    <mergeCell ref="A1:L1"/>
    <mergeCell ref="A2:L2"/>
  </mergeCells>
  <conditionalFormatting sqref="A7:L86">
    <cfRule type="expression" priority="2" aboveAverage="0" equalAverage="0" bottom="0" percent="0" rank="0" text="" dxfId="3">
      <formula>AND($I7&lt;&gt;"",$I7=설정!$B$6)</formula>
    </cfRule>
    <cfRule type="expression" priority="3" aboveAverage="0" equalAverage="0" bottom="0" percent="0" rank="0" text="" dxfId="4">
      <formula>AND($I7&lt;&gt;"",$I7=설정!$B$7)</formula>
    </cfRule>
    <cfRule type="expression" priority="4" aboveAverage="0" equalAverage="0" bottom="0" percent="0" rank="0" text="" dxfId="5">
      <formula>AND($I7&lt;&gt;"",$I7=설정!$B$8)</formula>
    </cfRule>
    <cfRule type="expression" priority="5" aboveAverage="0" equalAverage="0" bottom="0" percent="0" rank="0" text="" dxfId="6">
      <formula>AND($I7&lt;&gt;"",$I7=설정!$B$9)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7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7" min="5" style="0" width="5"/>
    <col collapsed="false" customWidth="true" hidden="false" outlineLevel="0" max="8" min="8" style="0" width="6"/>
    <col collapsed="false" customWidth="true" hidden="false" outlineLevel="0" max="9" min="9" style="0" width="7"/>
    <col collapsed="false" customWidth="true" hidden="false" outlineLevel="0" max="12" min="10" style="0" width="8"/>
    <col collapsed="false" customWidth="true" hidden="false" outlineLevel="0" max="13" min="13" style="0" width="7"/>
    <col collapsed="false" customWidth="true" hidden="false" outlineLevel="0" max="14" min="14" style="0" width="14"/>
    <col collapsed="false" customWidth="true" hidden="false" outlineLevel="0" max="19" min="15" style="0" width="5"/>
  </cols>
  <sheetData>
    <row r="1" customFormat="false" ht="25.5" hidden="false" customHeight="true" outlineLevel="0" collapsed="false">
      <c r="A1" s="1" t="s">
        <v>164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30" hidden="false" customHeight="true" outlineLevel="0" collapsed="false">
      <c r="A2" s="2" t="s">
        <v>165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customFormat="false" ht="15" hidden="false" customHeight="false" outlineLevel="0" collapsed="false">
      <c r="A4" s="46" t="s">
        <v>166</v>
      </c>
      <c r="B4" s="46"/>
      <c r="C4" s="46"/>
      <c r="D4" s="46"/>
      <c r="E4" s="46"/>
    </row>
    <row r="5" customFormat="false" ht="30" hidden="false" customHeight="true" outlineLevel="0" collapsed="false">
      <c r="A5" s="4" t="s">
        <v>167</v>
      </c>
      <c r="B5" s="4" t="s">
        <v>168</v>
      </c>
      <c r="C5" s="4" t="s">
        <v>30</v>
      </c>
      <c r="D5" s="4" t="s">
        <v>169</v>
      </c>
      <c r="E5" s="4" t="s">
        <v>170</v>
      </c>
      <c r="F5" s="4" t="s">
        <v>171</v>
      </c>
      <c r="G5" s="4" t="s">
        <v>172</v>
      </c>
      <c r="H5" s="4" t="s">
        <v>173</v>
      </c>
      <c r="I5" s="4" t="s">
        <v>174</v>
      </c>
      <c r="J5" s="4" t="str">
        <f aca="false">설정!$B$6&amp;" 정답률"</f>
        <v>TF1반 정답률</v>
      </c>
      <c r="K5" s="4" t="str">
        <f aca="false">설정!$B$7&amp;" 정답률"</f>
        <v>TF2반 정답률</v>
      </c>
      <c r="L5" s="4" t="str">
        <f aca="false">설정!$B$8&amp;" 정답률"</f>
        <v>TF3반 정답률</v>
      </c>
      <c r="M5" s="4" t="s">
        <v>175</v>
      </c>
      <c r="N5" s="4" t="s">
        <v>176</v>
      </c>
      <c r="O5" s="24" t="s">
        <v>177</v>
      </c>
      <c r="P5" s="24" t="s">
        <v>178</v>
      </c>
      <c r="Q5" s="24" t="s">
        <v>179</v>
      </c>
      <c r="R5" s="24" t="s">
        <v>180</v>
      </c>
      <c r="S5" s="24" t="s">
        <v>181</v>
      </c>
    </row>
    <row r="6" customFormat="false" ht="15" hidden="false" customHeight="false" outlineLevel="0" collapsed="false">
      <c r="A6" s="9" t="n">
        <v>1</v>
      </c>
      <c r="B6" s="23" t="s">
        <v>182</v>
      </c>
      <c r="C6" s="47" t="str">
        <f aca="false">공수1!D4</f>
        <v>다항식</v>
      </c>
      <c r="D6" s="15" t="str">
        <f aca="false">공수1!D5</f>
        <v>하</v>
      </c>
      <c r="E6" s="15" t="n">
        <f aca="false">공수1!D3</f>
        <v>3</v>
      </c>
      <c r="F6" s="48" t="n">
        <f aca="false">IF(공수1!$D$2="","",공수1!$D$2)</f>
        <v>4</v>
      </c>
      <c r="G6" s="15" t="n">
        <f aca="false">COUNT(공수1!$Y$7:$Y$86)</f>
        <v>0</v>
      </c>
      <c r="H6" s="15" t="n">
        <f aca="false">IF(F6="","",SUMPRODUCT((공수1!$D$7:$D$86=공수1!$D$2)*(공수1!$D$7:$D$86&lt;&gt;"")))</f>
        <v>0</v>
      </c>
      <c r="I6" s="49" t="str">
        <f aca="false">IF(OR(F6="",G6=0),"",H6/G6)</f>
        <v/>
      </c>
      <c r="J6" s="50" t="str">
        <f aca="false">IF(F6="","",IFERROR(SUMPRODUCT((공수1!$D$7:$D$86=공수1!$D$2)*(공수1!$D$7:$D$86&lt;&gt;"")*(반배정!$K$7:$K$86=설정!$B$6))/COUNTIFS(반배정!$K$7:$K$86,설정!$B$6,공수1!$Y$7:$Y$86,"&gt;=0"),""))</f>
        <v/>
      </c>
      <c r="K6" s="50" t="str">
        <f aca="false">IF(F6="","",IFERROR(SUMPRODUCT((공수1!$D$7:$D$86=공수1!$D$2)*(공수1!$D$7:$D$86&lt;&gt;"")*(반배정!$K$7:$K$86=설정!$B$7))/COUNTIFS(반배정!$K$7:$K$86,설정!$B$7,공수1!$Y$7:$Y$86,"&gt;=0"),""))</f>
        <v/>
      </c>
      <c r="L6" s="50" t="str">
        <f aca="false">IF(F6="","",IFERROR(SUMPRODUCT((공수1!$D$7:$D$86=공수1!$D$2)*(공수1!$D$7:$D$86&lt;&gt;"")*(반배정!$K$7:$K$86=설정!$B$8))/COUNTIFS(반배정!$K$7:$K$86,설정!$B$8,공수1!$Y$7:$Y$86,"&gt;=0"),""))</f>
        <v/>
      </c>
      <c r="M6" s="51" t="str">
        <f aca="false">IF(OR(J6="",L6=""),"",J6-L6)</f>
        <v/>
      </c>
      <c r="N6" s="52" t="str">
        <f aca="false">IF(I6="","",IF(AND(M6&lt;&gt;"",M6&lt;0),"역변별·문항검토",IF(I6&gt;=0.9,"매우 쉬움",IF(I6&lt;=0.15,"매우 어려움",IF(AND(M6&lt;&gt;"",M6&lt;0.2),"변별력 낮음","양호")))))</f>
        <v/>
      </c>
      <c r="O6" s="52" t="str">
        <f aca="false">IF(G6=0,"",COUNTIF(공수1!$D$7:$D$86,1))</f>
        <v/>
      </c>
      <c r="P6" s="52" t="str">
        <f aca="false">IF(G6=0,"",COUNTIF(공수1!$D$7:$D$86,2))</f>
        <v/>
      </c>
      <c r="Q6" s="52" t="str">
        <f aca="false">IF(G6=0,"",COUNTIF(공수1!$D$7:$D$86,3))</f>
        <v/>
      </c>
      <c r="R6" s="52" t="str">
        <f aca="false">IF(G6=0,"",COUNTIF(공수1!$D$7:$D$86,4))</f>
        <v/>
      </c>
      <c r="S6" s="52" t="str">
        <f aca="false">IF(G6=0,"",COUNTIF(공수1!$D$7:$D$86,5))</f>
        <v/>
      </c>
    </row>
    <row r="7" customFormat="false" ht="15" hidden="false" customHeight="false" outlineLevel="0" collapsed="false">
      <c r="A7" s="9" t="n">
        <v>2</v>
      </c>
      <c r="B7" s="23" t="s">
        <v>182</v>
      </c>
      <c r="C7" s="47" t="str">
        <f aca="false">공수1!E4</f>
        <v>행렬</v>
      </c>
      <c r="D7" s="15" t="str">
        <f aca="false">공수1!E5</f>
        <v>하</v>
      </c>
      <c r="E7" s="15" t="n">
        <f aca="false">공수1!E3</f>
        <v>3</v>
      </c>
      <c r="F7" s="48" t="n">
        <f aca="false">IF(공수1!$E$2="","",공수1!$E$2)</f>
        <v>2</v>
      </c>
      <c r="G7" s="15" t="n">
        <f aca="false">COUNT(공수1!$Y$7:$Y$86)</f>
        <v>0</v>
      </c>
      <c r="H7" s="15" t="n">
        <f aca="false">IF(F7="","",SUMPRODUCT((공수1!$E$7:$E$86=공수1!$E$2)*(공수1!$E$7:$E$86&lt;&gt;"")))</f>
        <v>0</v>
      </c>
      <c r="I7" s="49" t="str">
        <f aca="false">IF(OR(F7="",G7=0),"",H7/G7)</f>
        <v/>
      </c>
      <c r="J7" s="50" t="str">
        <f aca="false">IF(F7="","",IFERROR(SUMPRODUCT((공수1!$E$7:$E$86=공수1!$E$2)*(공수1!$E$7:$E$86&lt;&gt;"")*(반배정!$K$7:$K$86=설정!$B$6))/COUNTIFS(반배정!$K$7:$K$86,설정!$B$6,공수1!$Y$7:$Y$86,"&gt;=0"),""))</f>
        <v/>
      </c>
      <c r="K7" s="50" t="str">
        <f aca="false">IF(F7="","",IFERROR(SUMPRODUCT((공수1!$E$7:$E$86=공수1!$E$2)*(공수1!$E$7:$E$86&lt;&gt;"")*(반배정!$K$7:$K$86=설정!$B$7))/COUNTIFS(반배정!$K$7:$K$86,설정!$B$7,공수1!$Y$7:$Y$86,"&gt;=0"),""))</f>
        <v/>
      </c>
      <c r="L7" s="50" t="str">
        <f aca="false">IF(F7="","",IFERROR(SUMPRODUCT((공수1!$E$7:$E$86=공수1!$E$2)*(공수1!$E$7:$E$86&lt;&gt;"")*(반배정!$K$7:$K$86=설정!$B$8))/COUNTIFS(반배정!$K$7:$K$86,설정!$B$8,공수1!$Y$7:$Y$86,"&gt;=0"),""))</f>
        <v/>
      </c>
      <c r="M7" s="51" t="str">
        <f aca="false">IF(OR(J7="",L7=""),"",J7-L7)</f>
        <v/>
      </c>
      <c r="N7" s="52" t="str">
        <f aca="false">IF(I7="","",IF(AND(M7&lt;&gt;"",M7&lt;0),"역변별·문항검토",IF(I7&gt;=0.9,"매우 쉬움",IF(I7&lt;=0.15,"매우 어려움",IF(AND(M7&lt;&gt;"",M7&lt;0.2),"변별력 낮음","양호")))))</f>
        <v/>
      </c>
      <c r="O7" s="52" t="str">
        <f aca="false">IF(G7=0,"",COUNTIF(공수1!$E$7:$E$86,1))</f>
        <v/>
      </c>
      <c r="P7" s="52" t="str">
        <f aca="false">IF(G7=0,"",COUNTIF(공수1!$E$7:$E$86,2))</f>
        <v/>
      </c>
      <c r="Q7" s="52" t="str">
        <f aca="false">IF(G7=0,"",COUNTIF(공수1!$E$7:$E$86,3))</f>
        <v/>
      </c>
      <c r="R7" s="52" t="str">
        <f aca="false">IF(G7=0,"",COUNTIF(공수1!$E$7:$E$86,4))</f>
        <v/>
      </c>
      <c r="S7" s="52" t="str">
        <f aca="false">IF(G7=0,"",COUNTIF(공수1!$E$7:$E$86,5))</f>
        <v/>
      </c>
    </row>
    <row r="8" customFormat="false" ht="15" hidden="false" customHeight="false" outlineLevel="0" collapsed="false">
      <c r="A8" s="9" t="n">
        <v>3</v>
      </c>
      <c r="B8" s="23" t="s">
        <v>182</v>
      </c>
      <c r="C8" s="47" t="str">
        <f aca="false">공수1!F4</f>
        <v>방정식과 부등식</v>
      </c>
      <c r="D8" s="15" t="str">
        <f aca="false">공수1!F5</f>
        <v>하</v>
      </c>
      <c r="E8" s="15" t="n">
        <f aca="false">공수1!F3</f>
        <v>3</v>
      </c>
      <c r="F8" s="48" t="n">
        <f aca="false">IF(공수1!$F$2="","",공수1!$F$2)</f>
        <v>3</v>
      </c>
      <c r="G8" s="15" t="n">
        <f aca="false">COUNT(공수1!$Y$7:$Y$86)</f>
        <v>0</v>
      </c>
      <c r="H8" s="15" t="n">
        <f aca="false">IF(F8="","",SUMPRODUCT((공수1!$F$7:$F$86=공수1!$F$2)*(공수1!$F$7:$F$86&lt;&gt;"")))</f>
        <v>0</v>
      </c>
      <c r="I8" s="49" t="str">
        <f aca="false">IF(OR(F8="",G8=0),"",H8/G8)</f>
        <v/>
      </c>
      <c r="J8" s="50" t="str">
        <f aca="false">IF(F8="","",IFERROR(SUMPRODUCT((공수1!$F$7:$F$86=공수1!$F$2)*(공수1!$F$7:$F$86&lt;&gt;"")*(반배정!$K$7:$K$86=설정!$B$6))/COUNTIFS(반배정!$K$7:$K$86,설정!$B$6,공수1!$Y$7:$Y$86,"&gt;=0"),""))</f>
        <v/>
      </c>
      <c r="K8" s="50" t="str">
        <f aca="false">IF(F8="","",IFERROR(SUMPRODUCT((공수1!$F$7:$F$86=공수1!$F$2)*(공수1!$F$7:$F$86&lt;&gt;"")*(반배정!$K$7:$K$86=설정!$B$7))/COUNTIFS(반배정!$K$7:$K$86,설정!$B$7,공수1!$Y$7:$Y$86,"&gt;=0"),""))</f>
        <v/>
      </c>
      <c r="L8" s="50" t="str">
        <f aca="false">IF(F8="","",IFERROR(SUMPRODUCT((공수1!$F$7:$F$86=공수1!$F$2)*(공수1!$F$7:$F$86&lt;&gt;"")*(반배정!$K$7:$K$86=설정!$B$8))/COUNTIFS(반배정!$K$7:$K$86,설정!$B$8,공수1!$Y$7:$Y$86,"&gt;=0"),""))</f>
        <v/>
      </c>
      <c r="M8" s="51" t="str">
        <f aca="false">IF(OR(J8="",L8=""),"",J8-L8)</f>
        <v/>
      </c>
      <c r="N8" s="52" t="str">
        <f aca="false">IF(I8="","",IF(AND(M8&lt;&gt;"",M8&lt;0),"역변별·문항검토",IF(I8&gt;=0.9,"매우 쉬움",IF(I8&lt;=0.15,"매우 어려움",IF(AND(M8&lt;&gt;"",M8&lt;0.2),"변별력 낮음","양호")))))</f>
        <v/>
      </c>
      <c r="O8" s="52" t="str">
        <f aca="false">IF(G8=0,"",COUNTIF(공수1!$F$7:$F$86,1))</f>
        <v/>
      </c>
      <c r="P8" s="52" t="str">
        <f aca="false">IF(G8=0,"",COUNTIF(공수1!$F$7:$F$86,2))</f>
        <v/>
      </c>
      <c r="Q8" s="52" t="str">
        <f aca="false">IF(G8=0,"",COUNTIF(공수1!$F$7:$F$86,3))</f>
        <v/>
      </c>
      <c r="R8" s="52" t="str">
        <f aca="false">IF(G8=0,"",COUNTIF(공수1!$F$7:$F$86,4))</f>
        <v/>
      </c>
      <c r="S8" s="52" t="str">
        <f aca="false">IF(G8=0,"",COUNTIF(공수1!$F$7:$F$86,5))</f>
        <v/>
      </c>
    </row>
    <row r="9" customFormat="false" ht="15" hidden="false" customHeight="false" outlineLevel="0" collapsed="false">
      <c r="A9" s="9" t="n">
        <v>4</v>
      </c>
      <c r="B9" s="23" t="s">
        <v>182</v>
      </c>
      <c r="C9" s="47" t="str">
        <f aca="false">공수1!G4</f>
        <v>방정식과 부등식</v>
      </c>
      <c r="D9" s="15" t="str">
        <f aca="false">공수1!G5</f>
        <v>중하</v>
      </c>
      <c r="E9" s="15" t="n">
        <f aca="false">공수1!G3</f>
        <v>4</v>
      </c>
      <c r="F9" s="48" t="n">
        <f aca="false">IF(공수1!$G$2="","",공수1!$G$2)</f>
        <v>5</v>
      </c>
      <c r="G9" s="15" t="n">
        <f aca="false">COUNT(공수1!$Y$7:$Y$86)</f>
        <v>0</v>
      </c>
      <c r="H9" s="15" t="n">
        <f aca="false">IF(F9="","",SUMPRODUCT((공수1!$G$7:$G$86=공수1!$G$2)*(공수1!$G$7:$G$86&lt;&gt;"")))</f>
        <v>0</v>
      </c>
      <c r="I9" s="49" t="str">
        <f aca="false">IF(OR(F9="",G9=0),"",H9/G9)</f>
        <v/>
      </c>
      <c r="J9" s="50" t="str">
        <f aca="false">IF(F9="","",IFERROR(SUMPRODUCT((공수1!$G$7:$G$86=공수1!$G$2)*(공수1!$G$7:$G$86&lt;&gt;"")*(반배정!$K$7:$K$86=설정!$B$6))/COUNTIFS(반배정!$K$7:$K$86,설정!$B$6,공수1!$Y$7:$Y$86,"&gt;=0"),""))</f>
        <v/>
      </c>
      <c r="K9" s="50" t="str">
        <f aca="false">IF(F9="","",IFERROR(SUMPRODUCT((공수1!$G$7:$G$86=공수1!$G$2)*(공수1!$G$7:$G$86&lt;&gt;"")*(반배정!$K$7:$K$86=설정!$B$7))/COUNTIFS(반배정!$K$7:$K$86,설정!$B$7,공수1!$Y$7:$Y$86,"&gt;=0"),""))</f>
        <v/>
      </c>
      <c r="L9" s="50" t="str">
        <f aca="false">IF(F9="","",IFERROR(SUMPRODUCT((공수1!$G$7:$G$86=공수1!$G$2)*(공수1!$G$7:$G$86&lt;&gt;"")*(반배정!$K$7:$K$86=설정!$B$8))/COUNTIFS(반배정!$K$7:$K$86,설정!$B$8,공수1!$Y$7:$Y$86,"&gt;=0"),""))</f>
        <v/>
      </c>
      <c r="M9" s="51" t="str">
        <f aca="false">IF(OR(J9="",L9=""),"",J9-L9)</f>
        <v/>
      </c>
      <c r="N9" s="52" t="str">
        <f aca="false">IF(I9="","",IF(AND(M9&lt;&gt;"",M9&lt;0),"역변별·문항검토",IF(I9&gt;=0.9,"매우 쉬움",IF(I9&lt;=0.15,"매우 어려움",IF(AND(M9&lt;&gt;"",M9&lt;0.2),"변별력 낮음","양호")))))</f>
        <v/>
      </c>
      <c r="O9" s="52" t="str">
        <f aca="false">IF(G9=0,"",COUNTIF(공수1!$G$7:$G$86,1))</f>
        <v/>
      </c>
      <c r="P9" s="52" t="str">
        <f aca="false">IF(G9=0,"",COUNTIF(공수1!$G$7:$G$86,2))</f>
        <v/>
      </c>
      <c r="Q9" s="52" t="str">
        <f aca="false">IF(G9=0,"",COUNTIF(공수1!$G$7:$G$86,3))</f>
        <v/>
      </c>
      <c r="R9" s="52" t="str">
        <f aca="false">IF(G9=0,"",COUNTIF(공수1!$G$7:$G$86,4))</f>
        <v/>
      </c>
      <c r="S9" s="52" t="str">
        <f aca="false">IF(G9=0,"",COUNTIF(공수1!$G$7:$G$86,5))</f>
        <v/>
      </c>
    </row>
    <row r="10" customFormat="false" ht="15" hidden="false" customHeight="false" outlineLevel="0" collapsed="false">
      <c r="A10" s="9" t="n">
        <v>5</v>
      </c>
      <c r="B10" s="23" t="s">
        <v>182</v>
      </c>
      <c r="C10" s="47" t="str">
        <f aca="false">공수1!H4</f>
        <v>다항식</v>
      </c>
      <c r="D10" s="15" t="str">
        <f aca="false">공수1!H5</f>
        <v>중하</v>
      </c>
      <c r="E10" s="15" t="n">
        <f aca="false">공수1!H3</f>
        <v>4</v>
      </c>
      <c r="F10" s="48" t="n">
        <f aca="false">IF(공수1!$H$2="","",공수1!$H$2)</f>
        <v>1</v>
      </c>
      <c r="G10" s="15" t="n">
        <f aca="false">COUNT(공수1!$Y$7:$Y$86)</f>
        <v>0</v>
      </c>
      <c r="H10" s="15" t="n">
        <f aca="false">IF(F10="","",SUMPRODUCT((공수1!$H$7:$H$86=공수1!$H$2)*(공수1!$H$7:$H$86&lt;&gt;"")))</f>
        <v>0</v>
      </c>
      <c r="I10" s="49" t="str">
        <f aca="false">IF(OR(F10="",G10=0),"",H10/G10)</f>
        <v/>
      </c>
      <c r="J10" s="50" t="str">
        <f aca="false">IF(F10="","",IFERROR(SUMPRODUCT((공수1!$H$7:$H$86=공수1!$H$2)*(공수1!$H$7:$H$86&lt;&gt;"")*(반배정!$K$7:$K$86=설정!$B$6))/COUNTIFS(반배정!$K$7:$K$86,설정!$B$6,공수1!$Y$7:$Y$86,"&gt;=0"),""))</f>
        <v/>
      </c>
      <c r="K10" s="50" t="str">
        <f aca="false">IF(F10="","",IFERROR(SUMPRODUCT((공수1!$H$7:$H$86=공수1!$H$2)*(공수1!$H$7:$H$86&lt;&gt;"")*(반배정!$K$7:$K$86=설정!$B$7))/COUNTIFS(반배정!$K$7:$K$86,설정!$B$7,공수1!$Y$7:$Y$86,"&gt;=0"),""))</f>
        <v/>
      </c>
      <c r="L10" s="50" t="str">
        <f aca="false">IF(F10="","",IFERROR(SUMPRODUCT((공수1!$H$7:$H$86=공수1!$H$2)*(공수1!$H$7:$H$86&lt;&gt;"")*(반배정!$K$7:$K$86=설정!$B$8))/COUNTIFS(반배정!$K$7:$K$86,설정!$B$8,공수1!$Y$7:$Y$86,"&gt;=0"),""))</f>
        <v/>
      </c>
      <c r="M10" s="51" t="str">
        <f aca="false">IF(OR(J10="",L10=""),"",J10-L10)</f>
        <v/>
      </c>
      <c r="N10" s="52" t="str">
        <f aca="false">IF(I10="","",IF(AND(M10&lt;&gt;"",M10&lt;0),"역변별·문항검토",IF(I10&gt;=0.9,"매우 쉬움",IF(I10&lt;=0.15,"매우 어려움",IF(AND(M10&lt;&gt;"",M10&lt;0.2),"변별력 낮음","양호")))))</f>
        <v/>
      </c>
      <c r="O10" s="52" t="str">
        <f aca="false">IF(G10=0,"",COUNTIF(공수1!$H$7:$H$86,1))</f>
        <v/>
      </c>
      <c r="P10" s="52" t="str">
        <f aca="false">IF(G10=0,"",COUNTIF(공수1!$H$7:$H$86,2))</f>
        <v/>
      </c>
      <c r="Q10" s="52" t="str">
        <f aca="false">IF(G10=0,"",COUNTIF(공수1!$H$7:$H$86,3))</f>
        <v/>
      </c>
      <c r="R10" s="52" t="str">
        <f aca="false">IF(G10=0,"",COUNTIF(공수1!$H$7:$H$86,4))</f>
        <v/>
      </c>
      <c r="S10" s="52" t="str">
        <f aca="false">IF(G10=0,"",COUNTIF(공수1!$H$7:$H$86,5))</f>
        <v/>
      </c>
    </row>
    <row r="11" customFormat="false" ht="15" hidden="false" customHeight="false" outlineLevel="0" collapsed="false">
      <c r="A11" s="9" t="n">
        <v>6</v>
      </c>
      <c r="B11" s="23" t="s">
        <v>182</v>
      </c>
      <c r="C11" s="47" t="str">
        <f aca="false">공수1!I4</f>
        <v>행렬</v>
      </c>
      <c r="D11" s="15" t="str">
        <f aca="false">공수1!I5</f>
        <v>중하</v>
      </c>
      <c r="E11" s="15" t="n">
        <f aca="false">공수1!I3</f>
        <v>4</v>
      </c>
      <c r="F11" s="48" t="n">
        <f aca="false">IF(공수1!$I$2="","",공수1!$I$2)</f>
        <v>3</v>
      </c>
      <c r="G11" s="15" t="n">
        <f aca="false">COUNT(공수1!$Y$7:$Y$86)</f>
        <v>0</v>
      </c>
      <c r="H11" s="15" t="n">
        <f aca="false">IF(F11="","",SUMPRODUCT((공수1!$I$7:$I$86=공수1!$I$2)*(공수1!$I$7:$I$86&lt;&gt;"")))</f>
        <v>0</v>
      </c>
      <c r="I11" s="49" t="str">
        <f aca="false">IF(OR(F11="",G11=0),"",H11/G11)</f>
        <v/>
      </c>
      <c r="J11" s="50" t="str">
        <f aca="false">IF(F11="","",IFERROR(SUMPRODUCT((공수1!$I$7:$I$86=공수1!$I$2)*(공수1!$I$7:$I$86&lt;&gt;"")*(반배정!$K$7:$K$86=설정!$B$6))/COUNTIFS(반배정!$K$7:$K$86,설정!$B$6,공수1!$Y$7:$Y$86,"&gt;=0"),""))</f>
        <v/>
      </c>
      <c r="K11" s="50" t="str">
        <f aca="false">IF(F11="","",IFERROR(SUMPRODUCT((공수1!$I$7:$I$86=공수1!$I$2)*(공수1!$I$7:$I$86&lt;&gt;"")*(반배정!$K$7:$K$86=설정!$B$7))/COUNTIFS(반배정!$K$7:$K$86,설정!$B$7,공수1!$Y$7:$Y$86,"&gt;=0"),""))</f>
        <v/>
      </c>
      <c r="L11" s="50" t="str">
        <f aca="false">IF(F11="","",IFERROR(SUMPRODUCT((공수1!$I$7:$I$86=공수1!$I$2)*(공수1!$I$7:$I$86&lt;&gt;"")*(반배정!$K$7:$K$86=설정!$B$8))/COUNTIFS(반배정!$K$7:$K$86,설정!$B$8,공수1!$Y$7:$Y$86,"&gt;=0"),""))</f>
        <v/>
      </c>
      <c r="M11" s="51" t="str">
        <f aca="false">IF(OR(J11="",L11=""),"",J11-L11)</f>
        <v/>
      </c>
      <c r="N11" s="52" t="str">
        <f aca="false">IF(I11="","",IF(AND(M11&lt;&gt;"",M11&lt;0),"역변별·문항검토",IF(I11&gt;=0.9,"매우 쉬움",IF(I11&lt;=0.15,"매우 어려움",IF(AND(M11&lt;&gt;"",M11&lt;0.2),"변별력 낮음","양호")))))</f>
        <v/>
      </c>
      <c r="O11" s="52" t="str">
        <f aca="false">IF(G11=0,"",COUNTIF(공수1!$I$7:$I$86,1))</f>
        <v/>
      </c>
      <c r="P11" s="52" t="str">
        <f aca="false">IF(G11=0,"",COUNTIF(공수1!$I$7:$I$86,2))</f>
        <v/>
      </c>
      <c r="Q11" s="52" t="str">
        <f aca="false">IF(G11=0,"",COUNTIF(공수1!$I$7:$I$86,3))</f>
        <v/>
      </c>
      <c r="R11" s="52" t="str">
        <f aca="false">IF(G11=0,"",COUNTIF(공수1!$I$7:$I$86,4))</f>
        <v/>
      </c>
      <c r="S11" s="52" t="str">
        <f aca="false">IF(G11=0,"",COUNTIF(공수1!$I$7:$I$86,5))</f>
        <v/>
      </c>
    </row>
    <row r="12" customFormat="false" ht="15" hidden="false" customHeight="false" outlineLevel="0" collapsed="false">
      <c r="A12" s="9" t="n">
        <v>7</v>
      </c>
      <c r="B12" s="23" t="s">
        <v>182</v>
      </c>
      <c r="C12" s="47" t="str">
        <f aca="false">공수1!J4</f>
        <v>방정식과 부등식</v>
      </c>
      <c r="D12" s="15" t="str">
        <f aca="false">공수1!J5</f>
        <v>중</v>
      </c>
      <c r="E12" s="15" t="n">
        <f aca="false">공수1!J3</f>
        <v>5</v>
      </c>
      <c r="F12" s="48" t="n">
        <f aca="false">IF(공수1!$J$2="","",공수1!$J$2)</f>
        <v>4</v>
      </c>
      <c r="G12" s="15" t="n">
        <f aca="false">COUNT(공수1!$Y$7:$Y$86)</f>
        <v>0</v>
      </c>
      <c r="H12" s="15" t="n">
        <f aca="false">IF(F12="","",SUMPRODUCT((공수1!$J$7:$J$86=공수1!$J$2)*(공수1!$J$7:$J$86&lt;&gt;"")))</f>
        <v>0</v>
      </c>
      <c r="I12" s="49" t="str">
        <f aca="false">IF(OR(F12="",G12=0),"",H12/G12)</f>
        <v/>
      </c>
      <c r="J12" s="50" t="str">
        <f aca="false">IF(F12="","",IFERROR(SUMPRODUCT((공수1!$J$7:$J$86=공수1!$J$2)*(공수1!$J$7:$J$86&lt;&gt;"")*(반배정!$K$7:$K$86=설정!$B$6))/COUNTIFS(반배정!$K$7:$K$86,설정!$B$6,공수1!$Y$7:$Y$86,"&gt;=0"),""))</f>
        <v/>
      </c>
      <c r="K12" s="50" t="str">
        <f aca="false">IF(F12="","",IFERROR(SUMPRODUCT((공수1!$J$7:$J$86=공수1!$J$2)*(공수1!$J$7:$J$86&lt;&gt;"")*(반배정!$K$7:$K$86=설정!$B$7))/COUNTIFS(반배정!$K$7:$K$86,설정!$B$7,공수1!$Y$7:$Y$86,"&gt;=0"),""))</f>
        <v/>
      </c>
      <c r="L12" s="50" t="str">
        <f aca="false">IF(F12="","",IFERROR(SUMPRODUCT((공수1!$J$7:$J$86=공수1!$J$2)*(공수1!$J$7:$J$86&lt;&gt;"")*(반배정!$K$7:$K$86=설정!$B$8))/COUNTIFS(반배정!$K$7:$K$86,설정!$B$8,공수1!$Y$7:$Y$86,"&gt;=0"),""))</f>
        <v/>
      </c>
      <c r="M12" s="51" t="str">
        <f aca="false">IF(OR(J12="",L12=""),"",J12-L12)</f>
        <v/>
      </c>
      <c r="N12" s="52" t="str">
        <f aca="false">IF(I12="","",IF(AND(M12&lt;&gt;"",M12&lt;0),"역변별·문항검토",IF(I12&gt;=0.9,"매우 쉬움",IF(I12&lt;=0.15,"매우 어려움",IF(AND(M12&lt;&gt;"",M12&lt;0.2),"변별력 낮음","양호")))))</f>
        <v/>
      </c>
      <c r="O12" s="52" t="str">
        <f aca="false">IF(G12=0,"",COUNTIF(공수1!$J$7:$J$86,1))</f>
        <v/>
      </c>
      <c r="P12" s="52" t="str">
        <f aca="false">IF(G12=0,"",COUNTIF(공수1!$J$7:$J$86,2))</f>
        <v/>
      </c>
      <c r="Q12" s="52" t="str">
        <f aca="false">IF(G12=0,"",COUNTIF(공수1!$J$7:$J$86,3))</f>
        <v/>
      </c>
      <c r="R12" s="52" t="str">
        <f aca="false">IF(G12=0,"",COUNTIF(공수1!$J$7:$J$86,4))</f>
        <v/>
      </c>
      <c r="S12" s="52" t="str">
        <f aca="false">IF(G12=0,"",COUNTIF(공수1!$J$7:$J$86,5))</f>
        <v/>
      </c>
    </row>
    <row r="13" customFormat="false" ht="15" hidden="false" customHeight="false" outlineLevel="0" collapsed="false">
      <c r="A13" s="9" t="n">
        <v>8</v>
      </c>
      <c r="B13" s="23" t="s">
        <v>182</v>
      </c>
      <c r="C13" s="47" t="str">
        <f aca="false">공수1!K4</f>
        <v>방정식과 부등식</v>
      </c>
      <c r="D13" s="15" t="str">
        <f aca="false">공수1!K5</f>
        <v>중</v>
      </c>
      <c r="E13" s="15" t="n">
        <f aca="false">공수1!K3</f>
        <v>5</v>
      </c>
      <c r="F13" s="48" t="n">
        <f aca="false">IF(공수1!$K$2="","",공수1!$K$2)</f>
        <v>2</v>
      </c>
      <c r="G13" s="15" t="n">
        <f aca="false">COUNT(공수1!$Y$7:$Y$86)</f>
        <v>0</v>
      </c>
      <c r="H13" s="15" t="n">
        <f aca="false">IF(F13="","",SUMPRODUCT((공수1!$K$7:$K$86=공수1!$K$2)*(공수1!$K$7:$K$86&lt;&gt;"")))</f>
        <v>0</v>
      </c>
      <c r="I13" s="49" t="str">
        <f aca="false">IF(OR(F13="",G13=0),"",H13/G13)</f>
        <v/>
      </c>
      <c r="J13" s="50" t="str">
        <f aca="false">IF(F13="","",IFERROR(SUMPRODUCT((공수1!$K$7:$K$86=공수1!$K$2)*(공수1!$K$7:$K$86&lt;&gt;"")*(반배정!$K$7:$K$86=설정!$B$6))/COUNTIFS(반배정!$K$7:$K$86,설정!$B$6,공수1!$Y$7:$Y$86,"&gt;=0"),""))</f>
        <v/>
      </c>
      <c r="K13" s="50" t="str">
        <f aca="false">IF(F13="","",IFERROR(SUMPRODUCT((공수1!$K$7:$K$86=공수1!$K$2)*(공수1!$K$7:$K$86&lt;&gt;"")*(반배정!$K$7:$K$86=설정!$B$7))/COUNTIFS(반배정!$K$7:$K$86,설정!$B$7,공수1!$Y$7:$Y$86,"&gt;=0"),""))</f>
        <v/>
      </c>
      <c r="L13" s="50" t="str">
        <f aca="false">IF(F13="","",IFERROR(SUMPRODUCT((공수1!$K$7:$K$86=공수1!$K$2)*(공수1!$K$7:$K$86&lt;&gt;"")*(반배정!$K$7:$K$86=설정!$B$8))/COUNTIFS(반배정!$K$7:$K$86,설정!$B$8,공수1!$Y$7:$Y$86,"&gt;=0"),""))</f>
        <v/>
      </c>
      <c r="M13" s="51" t="str">
        <f aca="false">IF(OR(J13="",L13=""),"",J13-L13)</f>
        <v/>
      </c>
      <c r="N13" s="52" t="str">
        <f aca="false">IF(I13="","",IF(AND(M13&lt;&gt;"",M13&lt;0),"역변별·문항검토",IF(I13&gt;=0.9,"매우 쉬움",IF(I13&lt;=0.15,"매우 어려움",IF(AND(M13&lt;&gt;"",M13&lt;0.2),"변별력 낮음","양호")))))</f>
        <v/>
      </c>
      <c r="O13" s="52" t="str">
        <f aca="false">IF(G13=0,"",COUNTIF(공수1!$K$7:$K$86,1))</f>
        <v/>
      </c>
      <c r="P13" s="52" t="str">
        <f aca="false">IF(G13=0,"",COUNTIF(공수1!$K$7:$K$86,2))</f>
        <v/>
      </c>
      <c r="Q13" s="52" t="str">
        <f aca="false">IF(G13=0,"",COUNTIF(공수1!$K$7:$K$86,3))</f>
        <v/>
      </c>
      <c r="R13" s="52" t="str">
        <f aca="false">IF(G13=0,"",COUNTIF(공수1!$K$7:$K$86,4))</f>
        <v/>
      </c>
      <c r="S13" s="52" t="str">
        <f aca="false">IF(G13=0,"",COUNTIF(공수1!$K$7:$K$86,5))</f>
        <v/>
      </c>
    </row>
    <row r="14" customFormat="false" ht="15" hidden="false" customHeight="false" outlineLevel="0" collapsed="false">
      <c r="A14" s="9" t="n">
        <v>9</v>
      </c>
      <c r="B14" s="23" t="s">
        <v>182</v>
      </c>
      <c r="C14" s="47" t="str">
        <f aca="false">공수1!L4</f>
        <v>경우의 수</v>
      </c>
      <c r="D14" s="15" t="str">
        <f aca="false">공수1!L5</f>
        <v>중</v>
      </c>
      <c r="E14" s="15" t="n">
        <f aca="false">공수1!L3</f>
        <v>5</v>
      </c>
      <c r="F14" s="48" t="n">
        <f aca="false">IF(공수1!$L$2="","",공수1!$L$2)</f>
        <v>5</v>
      </c>
      <c r="G14" s="15" t="n">
        <f aca="false">COUNT(공수1!$Y$7:$Y$86)</f>
        <v>0</v>
      </c>
      <c r="H14" s="15" t="n">
        <f aca="false">IF(F14="","",SUMPRODUCT((공수1!$L$7:$L$86=공수1!$L$2)*(공수1!$L$7:$L$86&lt;&gt;"")))</f>
        <v>0</v>
      </c>
      <c r="I14" s="49" t="str">
        <f aca="false">IF(OR(F14="",G14=0),"",H14/G14)</f>
        <v/>
      </c>
      <c r="J14" s="50" t="str">
        <f aca="false">IF(F14="","",IFERROR(SUMPRODUCT((공수1!$L$7:$L$86=공수1!$L$2)*(공수1!$L$7:$L$86&lt;&gt;"")*(반배정!$K$7:$K$86=설정!$B$6))/COUNTIFS(반배정!$K$7:$K$86,설정!$B$6,공수1!$Y$7:$Y$86,"&gt;=0"),""))</f>
        <v/>
      </c>
      <c r="K14" s="50" t="str">
        <f aca="false">IF(F14="","",IFERROR(SUMPRODUCT((공수1!$L$7:$L$86=공수1!$L$2)*(공수1!$L$7:$L$86&lt;&gt;"")*(반배정!$K$7:$K$86=설정!$B$7))/COUNTIFS(반배정!$K$7:$K$86,설정!$B$7,공수1!$Y$7:$Y$86,"&gt;=0"),""))</f>
        <v/>
      </c>
      <c r="L14" s="50" t="str">
        <f aca="false">IF(F14="","",IFERROR(SUMPRODUCT((공수1!$L$7:$L$86=공수1!$L$2)*(공수1!$L$7:$L$86&lt;&gt;"")*(반배정!$K$7:$K$86=설정!$B$8))/COUNTIFS(반배정!$K$7:$K$86,설정!$B$8,공수1!$Y$7:$Y$86,"&gt;=0"),""))</f>
        <v/>
      </c>
      <c r="M14" s="51" t="str">
        <f aca="false">IF(OR(J14="",L14=""),"",J14-L14)</f>
        <v/>
      </c>
      <c r="N14" s="52" t="str">
        <f aca="false">IF(I14="","",IF(AND(M14&lt;&gt;"",M14&lt;0),"역변별·문항검토",IF(I14&gt;=0.9,"매우 쉬움",IF(I14&lt;=0.15,"매우 어려움",IF(AND(M14&lt;&gt;"",M14&lt;0.2),"변별력 낮음","양호")))))</f>
        <v/>
      </c>
      <c r="O14" s="52" t="str">
        <f aca="false">IF(G14=0,"",COUNTIF(공수1!$L$7:$L$86,1))</f>
        <v/>
      </c>
      <c r="P14" s="52" t="str">
        <f aca="false">IF(G14=0,"",COUNTIF(공수1!$L$7:$L$86,2))</f>
        <v/>
      </c>
      <c r="Q14" s="52" t="str">
        <f aca="false">IF(G14=0,"",COUNTIF(공수1!$L$7:$L$86,3))</f>
        <v/>
      </c>
      <c r="R14" s="52" t="str">
        <f aca="false">IF(G14=0,"",COUNTIF(공수1!$L$7:$L$86,4))</f>
        <v/>
      </c>
      <c r="S14" s="52" t="str">
        <f aca="false">IF(G14=0,"",COUNTIF(공수1!$L$7:$L$86,5))</f>
        <v/>
      </c>
    </row>
    <row r="15" customFormat="false" ht="15" hidden="false" customHeight="false" outlineLevel="0" collapsed="false">
      <c r="A15" s="9" t="n">
        <v>10</v>
      </c>
      <c r="B15" s="23" t="s">
        <v>182</v>
      </c>
      <c r="C15" s="47" t="str">
        <f aca="false">공수1!M4</f>
        <v>방정식과 부등식</v>
      </c>
      <c r="D15" s="15" t="str">
        <f aca="false">공수1!M5</f>
        <v>중상</v>
      </c>
      <c r="E15" s="15" t="n">
        <f aca="false">공수1!M3</f>
        <v>6</v>
      </c>
      <c r="F15" s="48" t="n">
        <f aca="false">IF(공수1!$M$2="","",공수1!$M$2)</f>
        <v>1</v>
      </c>
      <c r="G15" s="15" t="n">
        <f aca="false">COUNT(공수1!$Y$7:$Y$86)</f>
        <v>0</v>
      </c>
      <c r="H15" s="15" t="n">
        <f aca="false">IF(F15="","",SUMPRODUCT((공수1!$M$7:$M$86=공수1!$M$2)*(공수1!$M$7:$M$86&lt;&gt;"")))</f>
        <v>0</v>
      </c>
      <c r="I15" s="49" t="str">
        <f aca="false">IF(OR(F15="",G15=0),"",H15/G15)</f>
        <v/>
      </c>
      <c r="J15" s="50" t="str">
        <f aca="false">IF(F15="","",IFERROR(SUMPRODUCT((공수1!$M$7:$M$86=공수1!$M$2)*(공수1!$M$7:$M$86&lt;&gt;"")*(반배정!$K$7:$K$86=설정!$B$6))/COUNTIFS(반배정!$K$7:$K$86,설정!$B$6,공수1!$Y$7:$Y$86,"&gt;=0"),""))</f>
        <v/>
      </c>
      <c r="K15" s="50" t="str">
        <f aca="false">IF(F15="","",IFERROR(SUMPRODUCT((공수1!$M$7:$M$86=공수1!$M$2)*(공수1!$M$7:$M$86&lt;&gt;"")*(반배정!$K$7:$K$86=설정!$B$7))/COUNTIFS(반배정!$K$7:$K$86,설정!$B$7,공수1!$Y$7:$Y$86,"&gt;=0"),""))</f>
        <v/>
      </c>
      <c r="L15" s="50" t="str">
        <f aca="false">IF(F15="","",IFERROR(SUMPRODUCT((공수1!$M$7:$M$86=공수1!$M$2)*(공수1!$M$7:$M$86&lt;&gt;"")*(반배정!$K$7:$K$86=설정!$B$8))/COUNTIFS(반배정!$K$7:$K$86,설정!$B$8,공수1!$Y$7:$Y$86,"&gt;=0"),""))</f>
        <v/>
      </c>
      <c r="M15" s="51" t="str">
        <f aca="false">IF(OR(J15="",L15=""),"",J15-L15)</f>
        <v/>
      </c>
      <c r="N15" s="52" t="str">
        <f aca="false">IF(I15="","",IF(AND(M15&lt;&gt;"",M15&lt;0),"역변별·문항검토",IF(I15&gt;=0.9,"매우 쉬움",IF(I15&lt;=0.15,"매우 어려움",IF(AND(M15&lt;&gt;"",M15&lt;0.2),"변별력 낮음","양호")))))</f>
        <v/>
      </c>
      <c r="O15" s="52" t="str">
        <f aca="false">IF(G15=0,"",COUNTIF(공수1!$M$7:$M$86,1))</f>
        <v/>
      </c>
      <c r="P15" s="52" t="str">
        <f aca="false">IF(G15=0,"",COUNTIF(공수1!$M$7:$M$86,2))</f>
        <v/>
      </c>
      <c r="Q15" s="52" t="str">
        <f aca="false">IF(G15=0,"",COUNTIF(공수1!$M$7:$M$86,3))</f>
        <v/>
      </c>
      <c r="R15" s="52" t="str">
        <f aca="false">IF(G15=0,"",COUNTIF(공수1!$M$7:$M$86,4))</f>
        <v/>
      </c>
      <c r="S15" s="52" t="str">
        <f aca="false">IF(G15=0,"",COUNTIF(공수1!$M$7:$M$86,5))</f>
        <v/>
      </c>
    </row>
    <row r="16" customFormat="false" ht="15" hidden="false" customHeight="false" outlineLevel="0" collapsed="false">
      <c r="A16" s="9" t="n">
        <v>11</v>
      </c>
      <c r="B16" s="23" t="s">
        <v>182</v>
      </c>
      <c r="C16" s="47" t="str">
        <f aca="false">공수1!N4</f>
        <v>경우의 수</v>
      </c>
      <c r="D16" s="15" t="str">
        <f aca="false">공수1!N5</f>
        <v>중상</v>
      </c>
      <c r="E16" s="15" t="n">
        <f aca="false">공수1!N3</f>
        <v>6</v>
      </c>
      <c r="F16" s="48" t="n">
        <f aca="false">IF(공수1!$N$2="","",공수1!$N$2)</f>
        <v>4</v>
      </c>
      <c r="G16" s="15" t="n">
        <f aca="false">COUNT(공수1!$Y$7:$Y$86)</f>
        <v>0</v>
      </c>
      <c r="H16" s="15" t="n">
        <f aca="false">IF(F16="","",SUMPRODUCT((공수1!$N$7:$N$86=공수1!$N$2)*(공수1!$N$7:$N$86&lt;&gt;"")))</f>
        <v>0</v>
      </c>
      <c r="I16" s="49" t="str">
        <f aca="false">IF(OR(F16="",G16=0),"",H16/G16)</f>
        <v/>
      </c>
      <c r="J16" s="50" t="str">
        <f aca="false">IF(F16="","",IFERROR(SUMPRODUCT((공수1!$N$7:$N$86=공수1!$N$2)*(공수1!$N$7:$N$86&lt;&gt;"")*(반배정!$K$7:$K$86=설정!$B$6))/COUNTIFS(반배정!$K$7:$K$86,설정!$B$6,공수1!$Y$7:$Y$86,"&gt;=0"),""))</f>
        <v/>
      </c>
      <c r="K16" s="50" t="str">
        <f aca="false">IF(F16="","",IFERROR(SUMPRODUCT((공수1!$N$7:$N$86=공수1!$N$2)*(공수1!$N$7:$N$86&lt;&gt;"")*(반배정!$K$7:$K$86=설정!$B$7))/COUNTIFS(반배정!$K$7:$K$86,설정!$B$7,공수1!$Y$7:$Y$86,"&gt;=0"),""))</f>
        <v/>
      </c>
      <c r="L16" s="50" t="str">
        <f aca="false">IF(F16="","",IFERROR(SUMPRODUCT((공수1!$N$7:$N$86=공수1!$N$2)*(공수1!$N$7:$N$86&lt;&gt;"")*(반배정!$K$7:$K$86=설정!$B$8))/COUNTIFS(반배정!$K$7:$K$86,설정!$B$8,공수1!$Y$7:$Y$86,"&gt;=0"),""))</f>
        <v/>
      </c>
      <c r="M16" s="51" t="str">
        <f aca="false">IF(OR(J16="",L16=""),"",J16-L16)</f>
        <v/>
      </c>
      <c r="N16" s="52" t="str">
        <f aca="false">IF(I16="","",IF(AND(M16&lt;&gt;"",M16&lt;0),"역변별·문항검토",IF(I16&gt;=0.9,"매우 쉬움",IF(I16&lt;=0.15,"매우 어려움",IF(AND(M16&lt;&gt;"",M16&lt;0.2),"변별력 낮음","양호")))))</f>
        <v/>
      </c>
      <c r="O16" s="52" t="str">
        <f aca="false">IF(G16=0,"",COUNTIF(공수1!$N$7:$N$86,1))</f>
        <v/>
      </c>
      <c r="P16" s="52" t="str">
        <f aca="false">IF(G16=0,"",COUNTIF(공수1!$N$7:$N$86,2))</f>
        <v/>
      </c>
      <c r="Q16" s="52" t="str">
        <f aca="false">IF(G16=0,"",COUNTIF(공수1!$N$7:$N$86,3))</f>
        <v/>
      </c>
      <c r="R16" s="52" t="str">
        <f aca="false">IF(G16=0,"",COUNTIF(공수1!$N$7:$N$86,4))</f>
        <v/>
      </c>
      <c r="S16" s="52" t="str">
        <f aca="false">IF(G16=0,"",COUNTIF(공수1!$N$7:$N$86,5))</f>
        <v/>
      </c>
    </row>
    <row r="17" customFormat="false" ht="15" hidden="false" customHeight="false" outlineLevel="0" collapsed="false">
      <c r="A17" s="9" t="n">
        <v>12</v>
      </c>
      <c r="B17" s="23" t="s">
        <v>182</v>
      </c>
      <c r="C17" s="47" t="str">
        <f aca="false">공수1!O4</f>
        <v>방정식과 부등식</v>
      </c>
      <c r="D17" s="15" t="str">
        <f aca="false">공수1!O5</f>
        <v>상</v>
      </c>
      <c r="E17" s="15" t="n">
        <f aca="false">공수1!O3</f>
        <v>7</v>
      </c>
      <c r="F17" s="48" t="n">
        <f aca="false">IF(공수1!$O$2="","",공수1!$O$2)</f>
        <v>3</v>
      </c>
      <c r="G17" s="15" t="n">
        <f aca="false">COUNT(공수1!$Y$7:$Y$86)</f>
        <v>0</v>
      </c>
      <c r="H17" s="15" t="n">
        <f aca="false">IF(F17="","",SUMPRODUCT((공수1!$O$7:$O$86=공수1!$O$2)*(공수1!$O$7:$O$86&lt;&gt;"")))</f>
        <v>0</v>
      </c>
      <c r="I17" s="49" t="str">
        <f aca="false">IF(OR(F17="",G17=0),"",H17/G17)</f>
        <v/>
      </c>
      <c r="J17" s="50" t="str">
        <f aca="false">IF(F17="","",IFERROR(SUMPRODUCT((공수1!$O$7:$O$86=공수1!$O$2)*(공수1!$O$7:$O$86&lt;&gt;"")*(반배정!$K$7:$K$86=설정!$B$6))/COUNTIFS(반배정!$K$7:$K$86,설정!$B$6,공수1!$Y$7:$Y$86,"&gt;=0"),""))</f>
        <v/>
      </c>
      <c r="K17" s="50" t="str">
        <f aca="false">IF(F17="","",IFERROR(SUMPRODUCT((공수1!$O$7:$O$86=공수1!$O$2)*(공수1!$O$7:$O$86&lt;&gt;"")*(반배정!$K$7:$K$86=설정!$B$7))/COUNTIFS(반배정!$K$7:$K$86,설정!$B$7,공수1!$Y$7:$Y$86,"&gt;=0"),""))</f>
        <v/>
      </c>
      <c r="L17" s="50" t="str">
        <f aca="false">IF(F17="","",IFERROR(SUMPRODUCT((공수1!$O$7:$O$86=공수1!$O$2)*(공수1!$O$7:$O$86&lt;&gt;"")*(반배정!$K$7:$K$86=설정!$B$8))/COUNTIFS(반배정!$K$7:$K$86,설정!$B$8,공수1!$Y$7:$Y$86,"&gt;=0"),""))</f>
        <v/>
      </c>
      <c r="M17" s="51" t="str">
        <f aca="false">IF(OR(J17="",L17=""),"",J17-L17)</f>
        <v/>
      </c>
      <c r="N17" s="52" t="str">
        <f aca="false">IF(I17="","",IF(AND(M17&lt;&gt;"",M17&lt;0),"역변별·문항검토",IF(I17&gt;=0.9,"매우 쉬움",IF(I17&lt;=0.15,"매우 어려움",IF(AND(M17&lt;&gt;"",M17&lt;0.2),"변별력 낮음","양호")))))</f>
        <v/>
      </c>
      <c r="O17" s="52" t="str">
        <f aca="false">IF(G17=0,"",COUNTIF(공수1!$O$7:$O$86,1))</f>
        <v/>
      </c>
      <c r="P17" s="52" t="str">
        <f aca="false">IF(G17=0,"",COUNTIF(공수1!$O$7:$O$86,2))</f>
        <v/>
      </c>
      <c r="Q17" s="52" t="str">
        <f aca="false">IF(G17=0,"",COUNTIF(공수1!$O$7:$O$86,3))</f>
        <v/>
      </c>
      <c r="R17" s="52" t="str">
        <f aca="false">IF(G17=0,"",COUNTIF(공수1!$O$7:$O$86,4))</f>
        <v/>
      </c>
      <c r="S17" s="52" t="str">
        <f aca="false">IF(G17=0,"",COUNTIF(공수1!$O$7:$O$86,5))</f>
        <v/>
      </c>
    </row>
    <row r="18" customFormat="false" ht="15" hidden="false" customHeight="false" outlineLevel="0" collapsed="false">
      <c r="A18" s="9" t="n">
        <v>13</v>
      </c>
      <c r="B18" s="23" t="s">
        <v>182</v>
      </c>
      <c r="C18" s="47" t="str">
        <f aca="false">공수1!P4</f>
        <v>경우의 수</v>
      </c>
      <c r="D18" s="15" t="str">
        <f aca="false">공수1!P5</f>
        <v>상</v>
      </c>
      <c r="E18" s="15" t="n">
        <f aca="false">공수1!P3</f>
        <v>7</v>
      </c>
      <c r="F18" s="48" t="n">
        <f aca="false">IF(공수1!$P$2="","",공수1!$P$2)</f>
        <v>2</v>
      </c>
      <c r="G18" s="15" t="n">
        <f aca="false">COUNT(공수1!$Y$7:$Y$86)</f>
        <v>0</v>
      </c>
      <c r="H18" s="15" t="n">
        <f aca="false">IF(F18="","",SUMPRODUCT((공수1!$P$7:$P$86=공수1!$P$2)*(공수1!$P$7:$P$86&lt;&gt;"")))</f>
        <v>0</v>
      </c>
      <c r="I18" s="49" t="str">
        <f aca="false">IF(OR(F18="",G18=0),"",H18/G18)</f>
        <v/>
      </c>
      <c r="J18" s="50" t="str">
        <f aca="false">IF(F18="","",IFERROR(SUMPRODUCT((공수1!$P$7:$P$86=공수1!$P$2)*(공수1!$P$7:$P$86&lt;&gt;"")*(반배정!$K$7:$K$86=설정!$B$6))/COUNTIFS(반배정!$K$7:$K$86,설정!$B$6,공수1!$Y$7:$Y$86,"&gt;=0"),""))</f>
        <v/>
      </c>
      <c r="K18" s="50" t="str">
        <f aca="false">IF(F18="","",IFERROR(SUMPRODUCT((공수1!$P$7:$P$86=공수1!$P$2)*(공수1!$P$7:$P$86&lt;&gt;"")*(반배정!$K$7:$K$86=설정!$B$7))/COUNTIFS(반배정!$K$7:$K$86,설정!$B$7,공수1!$Y$7:$Y$86,"&gt;=0"),""))</f>
        <v/>
      </c>
      <c r="L18" s="50" t="str">
        <f aca="false">IF(F18="","",IFERROR(SUMPRODUCT((공수1!$P$7:$P$86=공수1!$P$2)*(공수1!$P$7:$P$86&lt;&gt;"")*(반배정!$K$7:$K$86=설정!$B$8))/COUNTIFS(반배정!$K$7:$K$86,설정!$B$8,공수1!$Y$7:$Y$86,"&gt;=0"),""))</f>
        <v/>
      </c>
      <c r="M18" s="51" t="str">
        <f aca="false">IF(OR(J18="",L18=""),"",J18-L18)</f>
        <v/>
      </c>
      <c r="N18" s="52" t="str">
        <f aca="false">IF(I18="","",IF(AND(M18&lt;&gt;"",M18&lt;0),"역변별·문항검토",IF(I18&gt;=0.9,"매우 쉬움",IF(I18&lt;=0.15,"매우 어려움",IF(AND(M18&lt;&gt;"",M18&lt;0.2),"변별력 낮음","양호")))))</f>
        <v/>
      </c>
      <c r="O18" s="52" t="str">
        <f aca="false">IF(G18=0,"",COUNTIF(공수1!$P$7:$P$86,1))</f>
        <v/>
      </c>
      <c r="P18" s="52" t="str">
        <f aca="false">IF(G18=0,"",COUNTIF(공수1!$P$7:$P$86,2))</f>
        <v/>
      </c>
      <c r="Q18" s="52" t="str">
        <f aca="false">IF(G18=0,"",COUNTIF(공수1!$P$7:$P$86,3))</f>
        <v/>
      </c>
      <c r="R18" s="52" t="str">
        <f aca="false">IF(G18=0,"",COUNTIF(공수1!$P$7:$P$86,4))</f>
        <v/>
      </c>
      <c r="S18" s="52" t="str">
        <f aca="false">IF(G18=0,"",COUNTIF(공수1!$P$7:$P$86,5))</f>
        <v/>
      </c>
    </row>
    <row r="19" customFormat="false" ht="15" hidden="false" customHeight="false" outlineLevel="0" collapsed="false">
      <c r="A19" s="9" t="n">
        <v>14</v>
      </c>
      <c r="B19" s="23" t="s">
        <v>182</v>
      </c>
      <c r="C19" s="47" t="str">
        <f aca="false">공수1!Q4</f>
        <v>방정식과 부등식</v>
      </c>
      <c r="D19" s="15" t="str">
        <f aca="false">공수1!Q5</f>
        <v>최상</v>
      </c>
      <c r="E19" s="15" t="n">
        <f aca="false">공수1!Q3</f>
        <v>7</v>
      </c>
      <c r="F19" s="48" t="n">
        <f aca="false">IF(공수1!$Q$2="","",공수1!$Q$2)</f>
        <v>5</v>
      </c>
      <c r="G19" s="15" t="n">
        <f aca="false">COUNT(공수1!$Y$7:$Y$86)</f>
        <v>0</v>
      </c>
      <c r="H19" s="15" t="n">
        <f aca="false">IF(F19="","",SUMPRODUCT((공수1!$Q$7:$Q$86=공수1!$Q$2)*(공수1!$Q$7:$Q$86&lt;&gt;"")))</f>
        <v>0</v>
      </c>
      <c r="I19" s="49" t="str">
        <f aca="false">IF(OR(F19="",G19=0),"",H19/G19)</f>
        <v/>
      </c>
      <c r="J19" s="50" t="str">
        <f aca="false">IF(F19="","",IFERROR(SUMPRODUCT((공수1!$Q$7:$Q$86=공수1!$Q$2)*(공수1!$Q$7:$Q$86&lt;&gt;"")*(반배정!$K$7:$K$86=설정!$B$6))/COUNTIFS(반배정!$K$7:$K$86,설정!$B$6,공수1!$Y$7:$Y$86,"&gt;=0"),""))</f>
        <v/>
      </c>
      <c r="K19" s="50" t="str">
        <f aca="false">IF(F19="","",IFERROR(SUMPRODUCT((공수1!$Q$7:$Q$86=공수1!$Q$2)*(공수1!$Q$7:$Q$86&lt;&gt;"")*(반배정!$K$7:$K$86=설정!$B$7))/COUNTIFS(반배정!$K$7:$K$86,설정!$B$7,공수1!$Y$7:$Y$86,"&gt;=0"),""))</f>
        <v/>
      </c>
      <c r="L19" s="50" t="str">
        <f aca="false">IF(F19="","",IFERROR(SUMPRODUCT((공수1!$Q$7:$Q$86=공수1!$Q$2)*(공수1!$Q$7:$Q$86&lt;&gt;"")*(반배정!$K$7:$K$86=설정!$B$8))/COUNTIFS(반배정!$K$7:$K$86,설정!$B$8,공수1!$Y$7:$Y$86,"&gt;=0"),""))</f>
        <v/>
      </c>
      <c r="M19" s="51" t="str">
        <f aca="false">IF(OR(J19="",L19=""),"",J19-L19)</f>
        <v/>
      </c>
      <c r="N19" s="52" t="str">
        <f aca="false">IF(I19="","",IF(AND(M19&lt;&gt;"",M19&lt;0),"역변별·문항검토",IF(I19&gt;=0.9,"매우 쉬움",IF(I19&lt;=0.15,"매우 어려움",IF(AND(M19&lt;&gt;"",M19&lt;0.2),"변별력 낮음","양호")))))</f>
        <v/>
      </c>
      <c r="O19" s="52" t="str">
        <f aca="false">IF(G19=0,"",COUNTIF(공수1!$Q$7:$Q$86,1))</f>
        <v/>
      </c>
      <c r="P19" s="52" t="str">
        <f aca="false">IF(G19=0,"",COUNTIF(공수1!$Q$7:$Q$86,2))</f>
        <v/>
      </c>
      <c r="Q19" s="52" t="str">
        <f aca="false">IF(G19=0,"",COUNTIF(공수1!$Q$7:$Q$86,3))</f>
        <v/>
      </c>
      <c r="R19" s="52" t="str">
        <f aca="false">IF(G19=0,"",COUNTIF(공수1!$Q$7:$Q$86,4))</f>
        <v/>
      </c>
      <c r="S19" s="52" t="str">
        <f aca="false">IF(G19=0,"",COUNTIF(공수1!$Q$7:$Q$86,5))</f>
        <v/>
      </c>
    </row>
    <row r="20" customFormat="false" ht="15" hidden="false" customHeight="false" outlineLevel="0" collapsed="false">
      <c r="A20" s="9" t="n">
        <v>15</v>
      </c>
      <c r="B20" s="23" t="s">
        <v>183</v>
      </c>
      <c r="C20" s="47" t="str">
        <f aca="false">공수1!R4</f>
        <v>방정식과 부등식</v>
      </c>
      <c r="D20" s="15" t="str">
        <f aca="false">공수1!R5</f>
        <v>하</v>
      </c>
      <c r="E20" s="15" t="n">
        <f aca="false">공수1!R3</f>
        <v>3</v>
      </c>
      <c r="F20" s="48" t="n">
        <f aca="false">IF(공수1!$R$2="","",공수1!$R$2)</f>
        <v>69</v>
      </c>
      <c r="G20" s="15" t="n">
        <f aca="false">COUNT(공수1!$Y$7:$Y$86)</f>
        <v>0</v>
      </c>
      <c r="H20" s="15" t="n">
        <f aca="false">IF(F20="","",SUMPRODUCT((공수1!$R$7:$R$86=공수1!$R$2)*(공수1!$R$7:$R$86&lt;&gt;"")))</f>
        <v>0</v>
      </c>
      <c r="I20" s="49" t="str">
        <f aca="false">IF(OR(F20="",G20=0),"",H20/G20)</f>
        <v/>
      </c>
      <c r="J20" s="50" t="str">
        <f aca="false">IF(F20="","",IFERROR(SUMPRODUCT((공수1!$R$7:$R$86=공수1!$R$2)*(공수1!$R$7:$R$86&lt;&gt;"")*(반배정!$K$7:$K$86=설정!$B$6))/COUNTIFS(반배정!$K$7:$K$86,설정!$B$6,공수1!$Y$7:$Y$86,"&gt;=0"),""))</f>
        <v/>
      </c>
      <c r="K20" s="50" t="str">
        <f aca="false">IF(F20="","",IFERROR(SUMPRODUCT((공수1!$R$7:$R$86=공수1!$R$2)*(공수1!$R$7:$R$86&lt;&gt;"")*(반배정!$K$7:$K$86=설정!$B$7))/COUNTIFS(반배정!$K$7:$K$86,설정!$B$7,공수1!$Y$7:$Y$86,"&gt;=0"),""))</f>
        <v/>
      </c>
      <c r="L20" s="50" t="str">
        <f aca="false">IF(F20="","",IFERROR(SUMPRODUCT((공수1!$R$7:$R$86=공수1!$R$2)*(공수1!$R$7:$R$86&lt;&gt;"")*(반배정!$K$7:$K$86=설정!$B$8))/COUNTIFS(반배정!$K$7:$K$86,설정!$B$8,공수1!$Y$7:$Y$86,"&gt;=0"),""))</f>
        <v/>
      </c>
      <c r="M20" s="51" t="str">
        <f aca="false">IF(OR(J20="",L20=""),"",J20-L20)</f>
        <v/>
      </c>
      <c r="N20" s="52" t="str">
        <f aca="false">IF(I20="","",IF(AND(M20&lt;&gt;"",M20&lt;0),"역변별·문항검토",IF(I20&gt;=0.9,"매우 쉬움",IF(I20&lt;=0.15,"매우 어려움",IF(AND(M20&lt;&gt;"",M20&lt;0.2),"변별력 낮음","양호")))))</f>
        <v/>
      </c>
      <c r="O20" s="53" t="s">
        <v>184</v>
      </c>
      <c r="P20" s="53" t="s">
        <v>184</v>
      </c>
      <c r="Q20" s="53" t="s">
        <v>184</v>
      </c>
      <c r="R20" s="53" t="s">
        <v>184</v>
      </c>
      <c r="S20" s="53" t="s">
        <v>184</v>
      </c>
    </row>
    <row r="21" customFormat="false" ht="15" hidden="false" customHeight="false" outlineLevel="0" collapsed="false">
      <c r="A21" s="9" t="n">
        <v>16</v>
      </c>
      <c r="B21" s="23" t="s">
        <v>183</v>
      </c>
      <c r="C21" s="47" t="str">
        <f aca="false">공수1!S4</f>
        <v>방정식과 부등식</v>
      </c>
      <c r="D21" s="15" t="str">
        <f aca="false">공수1!S5</f>
        <v>중하</v>
      </c>
      <c r="E21" s="15" t="n">
        <f aca="false">공수1!S3</f>
        <v>4</v>
      </c>
      <c r="F21" s="48" t="n">
        <f aca="false">IF(공수1!$S$2="","",공수1!$S$2)</f>
        <v>136</v>
      </c>
      <c r="G21" s="15" t="n">
        <f aca="false">COUNT(공수1!$Y$7:$Y$86)</f>
        <v>0</v>
      </c>
      <c r="H21" s="15" t="n">
        <f aca="false">IF(F21="","",SUMPRODUCT((공수1!$S$7:$S$86=공수1!$S$2)*(공수1!$S$7:$S$86&lt;&gt;"")))</f>
        <v>0</v>
      </c>
      <c r="I21" s="49" t="str">
        <f aca="false">IF(OR(F21="",G21=0),"",H21/G21)</f>
        <v/>
      </c>
      <c r="J21" s="50" t="str">
        <f aca="false">IF(F21="","",IFERROR(SUMPRODUCT((공수1!$S$7:$S$86=공수1!$S$2)*(공수1!$S$7:$S$86&lt;&gt;"")*(반배정!$K$7:$K$86=설정!$B$6))/COUNTIFS(반배정!$K$7:$K$86,설정!$B$6,공수1!$Y$7:$Y$86,"&gt;=0"),""))</f>
        <v/>
      </c>
      <c r="K21" s="50" t="str">
        <f aca="false">IF(F21="","",IFERROR(SUMPRODUCT((공수1!$S$7:$S$86=공수1!$S$2)*(공수1!$S$7:$S$86&lt;&gt;"")*(반배정!$K$7:$K$86=설정!$B$7))/COUNTIFS(반배정!$K$7:$K$86,설정!$B$7,공수1!$Y$7:$Y$86,"&gt;=0"),""))</f>
        <v/>
      </c>
      <c r="L21" s="50" t="str">
        <f aca="false">IF(F21="","",IFERROR(SUMPRODUCT((공수1!$S$7:$S$86=공수1!$S$2)*(공수1!$S$7:$S$86&lt;&gt;"")*(반배정!$K$7:$K$86=설정!$B$8))/COUNTIFS(반배정!$K$7:$K$86,설정!$B$8,공수1!$Y$7:$Y$86,"&gt;=0"),""))</f>
        <v/>
      </c>
      <c r="M21" s="51" t="str">
        <f aca="false">IF(OR(J21="",L21=""),"",J21-L21)</f>
        <v/>
      </c>
      <c r="N21" s="52" t="str">
        <f aca="false">IF(I21="","",IF(AND(M21&lt;&gt;"",M21&lt;0),"역변별·문항검토",IF(I21&gt;=0.9,"매우 쉬움",IF(I21&lt;=0.15,"매우 어려움",IF(AND(M21&lt;&gt;"",M21&lt;0.2),"변별력 낮음","양호")))))</f>
        <v/>
      </c>
      <c r="O21" s="53" t="s">
        <v>184</v>
      </c>
      <c r="P21" s="53" t="s">
        <v>184</v>
      </c>
      <c r="Q21" s="53" t="s">
        <v>184</v>
      </c>
      <c r="R21" s="53" t="s">
        <v>184</v>
      </c>
      <c r="S21" s="53" t="s">
        <v>184</v>
      </c>
    </row>
    <row r="22" customFormat="false" ht="15" hidden="false" customHeight="false" outlineLevel="0" collapsed="false">
      <c r="A22" s="9" t="n">
        <v>17</v>
      </c>
      <c r="B22" s="23" t="s">
        <v>183</v>
      </c>
      <c r="C22" s="47" t="str">
        <f aca="false">공수1!T4</f>
        <v>경우의 수</v>
      </c>
      <c r="D22" s="15" t="str">
        <f aca="false">공수1!T5</f>
        <v>중</v>
      </c>
      <c r="E22" s="15" t="n">
        <f aca="false">공수1!T3</f>
        <v>5</v>
      </c>
      <c r="F22" s="48" t="n">
        <f aca="false">IF(공수1!$T$2="","",공수1!$T$2)</f>
        <v>120</v>
      </c>
      <c r="G22" s="15" t="n">
        <f aca="false">COUNT(공수1!$Y$7:$Y$86)</f>
        <v>0</v>
      </c>
      <c r="H22" s="15" t="n">
        <f aca="false">IF(F22="","",SUMPRODUCT((공수1!$T$7:$T$86=공수1!$T$2)*(공수1!$T$7:$T$86&lt;&gt;"")))</f>
        <v>0</v>
      </c>
      <c r="I22" s="49" t="str">
        <f aca="false">IF(OR(F22="",G22=0),"",H22/G22)</f>
        <v/>
      </c>
      <c r="J22" s="50" t="str">
        <f aca="false">IF(F22="","",IFERROR(SUMPRODUCT((공수1!$T$7:$T$86=공수1!$T$2)*(공수1!$T$7:$T$86&lt;&gt;"")*(반배정!$K$7:$K$86=설정!$B$6))/COUNTIFS(반배정!$K$7:$K$86,설정!$B$6,공수1!$Y$7:$Y$86,"&gt;=0"),""))</f>
        <v/>
      </c>
      <c r="K22" s="50" t="str">
        <f aca="false">IF(F22="","",IFERROR(SUMPRODUCT((공수1!$T$7:$T$86=공수1!$T$2)*(공수1!$T$7:$T$86&lt;&gt;"")*(반배정!$K$7:$K$86=설정!$B$7))/COUNTIFS(반배정!$K$7:$K$86,설정!$B$7,공수1!$Y$7:$Y$86,"&gt;=0"),""))</f>
        <v/>
      </c>
      <c r="L22" s="50" t="str">
        <f aca="false">IF(F22="","",IFERROR(SUMPRODUCT((공수1!$T$7:$T$86=공수1!$T$2)*(공수1!$T$7:$T$86&lt;&gt;"")*(반배정!$K$7:$K$86=설정!$B$8))/COUNTIFS(반배정!$K$7:$K$86,설정!$B$8,공수1!$Y$7:$Y$86,"&gt;=0"),""))</f>
        <v/>
      </c>
      <c r="M22" s="51" t="str">
        <f aca="false">IF(OR(J22="",L22=""),"",J22-L22)</f>
        <v/>
      </c>
      <c r="N22" s="52" t="str">
        <f aca="false">IF(I22="","",IF(AND(M22&lt;&gt;"",M22&lt;0),"역변별·문항검토",IF(I22&gt;=0.9,"매우 쉬움",IF(I22&lt;=0.15,"매우 어려움",IF(AND(M22&lt;&gt;"",M22&lt;0.2),"변별력 낮음","양호")))))</f>
        <v/>
      </c>
      <c r="O22" s="53" t="s">
        <v>184</v>
      </c>
      <c r="P22" s="53" t="s">
        <v>184</v>
      </c>
      <c r="Q22" s="53" t="s">
        <v>184</v>
      </c>
      <c r="R22" s="53" t="s">
        <v>184</v>
      </c>
      <c r="S22" s="53" t="s">
        <v>184</v>
      </c>
    </row>
    <row r="23" customFormat="false" ht="15" hidden="false" customHeight="false" outlineLevel="0" collapsed="false">
      <c r="A23" s="9" t="n">
        <v>18</v>
      </c>
      <c r="B23" s="23" t="s">
        <v>183</v>
      </c>
      <c r="C23" s="47" t="str">
        <f aca="false">공수1!U4</f>
        <v>방정식과 부등식</v>
      </c>
      <c r="D23" s="15" t="str">
        <f aca="false">공수1!U5</f>
        <v>중</v>
      </c>
      <c r="E23" s="15" t="n">
        <f aca="false">공수1!U3</f>
        <v>5</v>
      </c>
      <c r="F23" s="48" t="n">
        <f aca="false">IF(공수1!$U$2="","",공수1!$U$2)</f>
        <v>16</v>
      </c>
      <c r="G23" s="15" t="n">
        <f aca="false">COUNT(공수1!$Y$7:$Y$86)</f>
        <v>0</v>
      </c>
      <c r="H23" s="15" t="n">
        <f aca="false">IF(F23="","",SUMPRODUCT((공수1!$U$7:$U$86=공수1!$U$2)*(공수1!$U$7:$U$86&lt;&gt;"")))</f>
        <v>0</v>
      </c>
      <c r="I23" s="49" t="str">
        <f aca="false">IF(OR(F23="",G23=0),"",H23/G23)</f>
        <v/>
      </c>
      <c r="J23" s="50" t="str">
        <f aca="false">IF(F23="","",IFERROR(SUMPRODUCT((공수1!$U$7:$U$86=공수1!$U$2)*(공수1!$U$7:$U$86&lt;&gt;"")*(반배정!$K$7:$K$86=설정!$B$6))/COUNTIFS(반배정!$K$7:$K$86,설정!$B$6,공수1!$Y$7:$Y$86,"&gt;=0"),""))</f>
        <v/>
      </c>
      <c r="K23" s="50" t="str">
        <f aca="false">IF(F23="","",IFERROR(SUMPRODUCT((공수1!$U$7:$U$86=공수1!$U$2)*(공수1!$U$7:$U$86&lt;&gt;"")*(반배정!$K$7:$K$86=설정!$B$7))/COUNTIFS(반배정!$K$7:$K$86,설정!$B$7,공수1!$Y$7:$Y$86,"&gt;=0"),""))</f>
        <v/>
      </c>
      <c r="L23" s="50" t="str">
        <f aca="false">IF(F23="","",IFERROR(SUMPRODUCT((공수1!$U$7:$U$86=공수1!$U$2)*(공수1!$U$7:$U$86&lt;&gt;"")*(반배정!$K$7:$K$86=설정!$B$8))/COUNTIFS(반배정!$K$7:$K$86,설정!$B$8,공수1!$Y$7:$Y$86,"&gt;=0"),""))</f>
        <v/>
      </c>
      <c r="M23" s="51" t="str">
        <f aca="false">IF(OR(J23="",L23=""),"",J23-L23)</f>
        <v/>
      </c>
      <c r="N23" s="52" t="str">
        <f aca="false">IF(I23="","",IF(AND(M23&lt;&gt;"",M23&lt;0),"역변별·문항검토",IF(I23&gt;=0.9,"매우 쉬움",IF(I23&lt;=0.15,"매우 어려움",IF(AND(M23&lt;&gt;"",M23&lt;0.2),"변별력 낮음","양호")))))</f>
        <v/>
      </c>
      <c r="O23" s="53" t="s">
        <v>184</v>
      </c>
      <c r="P23" s="53" t="s">
        <v>184</v>
      </c>
      <c r="Q23" s="53" t="s">
        <v>184</v>
      </c>
      <c r="R23" s="53" t="s">
        <v>184</v>
      </c>
      <c r="S23" s="53" t="s">
        <v>184</v>
      </c>
    </row>
    <row r="24" customFormat="false" ht="15" hidden="false" customHeight="false" outlineLevel="0" collapsed="false">
      <c r="A24" s="9" t="n">
        <v>19</v>
      </c>
      <c r="B24" s="23" t="s">
        <v>183</v>
      </c>
      <c r="C24" s="47" t="str">
        <f aca="false">공수1!V4</f>
        <v>행렬</v>
      </c>
      <c r="D24" s="15" t="str">
        <f aca="false">공수1!V5</f>
        <v>중상</v>
      </c>
      <c r="E24" s="15" t="n">
        <f aca="false">공수1!V3</f>
        <v>6</v>
      </c>
      <c r="F24" s="48" t="n">
        <f aca="false">IF(공수1!$V$2="","",공수1!$V$2)</f>
        <v>76</v>
      </c>
      <c r="G24" s="15" t="n">
        <f aca="false">COUNT(공수1!$Y$7:$Y$86)</f>
        <v>0</v>
      </c>
      <c r="H24" s="15" t="n">
        <f aca="false">IF(F24="","",SUMPRODUCT((공수1!$V$7:$V$86=공수1!$V$2)*(공수1!$V$7:$V$86&lt;&gt;"")))</f>
        <v>0</v>
      </c>
      <c r="I24" s="49" t="str">
        <f aca="false">IF(OR(F24="",G24=0),"",H24/G24)</f>
        <v/>
      </c>
      <c r="J24" s="50" t="str">
        <f aca="false">IF(F24="","",IFERROR(SUMPRODUCT((공수1!$V$7:$V$86=공수1!$V$2)*(공수1!$V$7:$V$86&lt;&gt;"")*(반배정!$K$7:$K$86=설정!$B$6))/COUNTIFS(반배정!$K$7:$K$86,설정!$B$6,공수1!$Y$7:$Y$86,"&gt;=0"),""))</f>
        <v/>
      </c>
      <c r="K24" s="50" t="str">
        <f aca="false">IF(F24="","",IFERROR(SUMPRODUCT((공수1!$V$7:$V$86=공수1!$V$2)*(공수1!$V$7:$V$86&lt;&gt;"")*(반배정!$K$7:$K$86=설정!$B$7))/COUNTIFS(반배정!$K$7:$K$86,설정!$B$7,공수1!$Y$7:$Y$86,"&gt;=0"),""))</f>
        <v/>
      </c>
      <c r="L24" s="50" t="str">
        <f aca="false">IF(F24="","",IFERROR(SUMPRODUCT((공수1!$V$7:$V$86=공수1!$V$2)*(공수1!$V$7:$V$86&lt;&gt;"")*(반배정!$K$7:$K$86=설정!$B$8))/COUNTIFS(반배정!$K$7:$K$86,설정!$B$8,공수1!$Y$7:$Y$86,"&gt;=0"),""))</f>
        <v/>
      </c>
      <c r="M24" s="51" t="str">
        <f aca="false">IF(OR(J24="",L24=""),"",J24-L24)</f>
        <v/>
      </c>
      <c r="N24" s="52" t="str">
        <f aca="false">IF(I24="","",IF(AND(M24&lt;&gt;"",M24&lt;0),"역변별·문항검토",IF(I24&gt;=0.9,"매우 쉬움",IF(I24&lt;=0.15,"매우 어려움",IF(AND(M24&lt;&gt;"",M24&lt;0.2),"변별력 낮음","양호")))))</f>
        <v/>
      </c>
      <c r="O24" s="53" t="s">
        <v>184</v>
      </c>
      <c r="P24" s="53" t="s">
        <v>184</v>
      </c>
      <c r="Q24" s="53" t="s">
        <v>184</v>
      </c>
      <c r="R24" s="53" t="s">
        <v>184</v>
      </c>
      <c r="S24" s="53" t="s">
        <v>184</v>
      </c>
    </row>
    <row r="25" customFormat="false" ht="15" hidden="false" customHeight="false" outlineLevel="0" collapsed="false">
      <c r="A25" s="9" t="n">
        <v>20</v>
      </c>
      <c r="B25" s="23" t="s">
        <v>183</v>
      </c>
      <c r="C25" s="47" t="str">
        <f aca="false">공수1!W4</f>
        <v>다항식</v>
      </c>
      <c r="D25" s="15" t="str">
        <f aca="false">공수1!W5</f>
        <v>최상</v>
      </c>
      <c r="E25" s="15" t="n">
        <f aca="false">공수1!W3</f>
        <v>8</v>
      </c>
      <c r="F25" s="48" t="n">
        <f aca="false">IF(공수1!$W$2="","",공수1!$W$2)</f>
        <v>15</v>
      </c>
      <c r="G25" s="15" t="n">
        <f aca="false">COUNT(공수1!$Y$7:$Y$86)</f>
        <v>0</v>
      </c>
      <c r="H25" s="15" t="n">
        <f aca="false">IF(F25="","",SUMPRODUCT((공수1!$W$7:$W$86=공수1!$W$2)*(공수1!$W$7:$W$86&lt;&gt;"")))</f>
        <v>0</v>
      </c>
      <c r="I25" s="49" t="str">
        <f aca="false">IF(OR(F25="",G25=0),"",H25/G25)</f>
        <v/>
      </c>
      <c r="J25" s="50" t="str">
        <f aca="false">IF(F25="","",IFERROR(SUMPRODUCT((공수1!$W$7:$W$86=공수1!$W$2)*(공수1!$W$7:$W$86&lt;&gt;"")*(반배정!$K$7:$K$86=설정!$B$6))/COUNTIFS(반배정!$K$7:$K$86,설정!$B$6,공수1!$Y$7:$Y$86,"&gt;=0"),""))</f>
        <v/>
      </c>
      <c r="K25" s="50" t="str">
        <f aca="false">IF(F25="","",IFERROR(SUMPRODUCT((공수1!$W$7:$W$86=공수1!$W$2)*(공수1!$W$7:$W$86&lt;&gt;"")*(반배정!$K$7:$K$86=설정!$B$7))/COUNTIFS(반배정!$K$7:$K$86,설정!$B$7,공수1!$Y$7:$Y$86,"&gt;=0"),""))</f>
        <v/>
      </c>
      <c r="L25" s="50" t="str">
        <f aca="false">IF(F25="","",IFERROR(SUMPRODUCT((공수1!$W$7:$W$86=공수1!$W$2)*(공수1!$W$7:$W$86&lt;&gt;"")*(반배정!$K$7:$K$86=설정!$B$8))/COUNTIFS(반배정!$K$7:$K$86,설정!$B$8,공수1!$Y$7:$Y$86,"&gt;=0"),""))</f>
        <v/>
      </c>
      <c r="M25" s="51" t="str">
        <f aca="false">IF(OR(J25="",L25=""),"",J25-L25)</f>
        <v/>
      </c>
      <c r="N25" s="52" t="str">
        <f aca="false">IF(I25="","",IF(AND(M25&lt;&gt;"",M25&lt;0),"역변별·문항검토",IF(I25&gt;=0.9,"매우 쉬움",IF(I25&lt;=0.15,"매우 어려움",IF(AND(M25&lt;&gt;"",M25&lt;0.2),"변별력 낮음","양호")))))</f>
        <v/>
      </c>
      <c r="O25" s="53" t="s">
        <v>184</v>
      </c>
      <c r="P25" s="53" t="s">
        <v>184</v>
      </c>
      <c r="Q25" s="53" t="s">
        <v>184</v>
      </c>
      <c r="R25" s="53" t="s">
        <v>184</v>
      </c>
      <c r="S25" s="53" t="s">
        <v>184</v>
      </c>
    </row>
    <row r="28" customFormat="false" ht="15" hidden="false" customHeight="false" outlineLevel="0" collapsed="false">
      <c r="A28" s="46" t="s">
        <v>185</v>
      </c>
      <c r="B28" s="46"/>
      <c r="C28" s="46"/>
      <c r="D28" s="46"/>
      <c r="E28" s="46"/>
    </row>
    <row r="29" customFormat="false" ht="30" hidden="false" customHeight="true" outlineLevel="0" collapsed="false">
      <c r="A29" s="4" t="s">
        <v>167</v>
      </c>
      <c r="B29" s="4" t="s">
        <v>168</v>
      </c>
      <c r="C29" s="4" t="s">
        <v>30</v>
      </c>
      <c r="D29" s="4" t="s">
        <v>169</v>
      </c>
      <c r="E29" s="4" t="s">
        <v>170</v>
      </c>
      <c r="F29" s="4" t="s">
        <v>171</v>
      </c>
      <c r="G29" s="4" t="s">
        <v>172</v>
      </c>
      <c r="H29" s="4" t="s">
        <v>173</v>
      </c>
      <c r="I29" s="4" t="s">
        <v>174</v>
      </c>
      <c r="J29" s="4" t="str">
        <f aca="false">설정!$B$6&amp;" 정답률"</f>
        <v>TF1반 정답률</v>
      </c>
      <c r="K29" s="4" t="str">
        <f aca="false">설정!$B$7&amp;" 정답률"</f>
        <v>TF2반 정답률</v>
      </c>
      <c r="L29" s="4" t="str">
        <f aca="false">설정!$B$8&amp;" 정답률"</f>
        <v>TF3반 정답률</v>
      </c>
      <c r="M29" s="4" t="s">
        <v>175</v>
      </c>
      <c r="N29" s="4" t="s">
        <v>176</v>
      </c>
      <c r="O29" s="24" t="s">
        <v>177</v>
      </c>
      <c r="P29" s="24" t="s">
        <v>178</v>
      </c>
      <c r="Q29" s="24" t="s">
        <v>179</v>
      </c>
      <c r="R29" s="24" t="s">
        <v>180</v>
      </c>
      <c r="S29" s="24" t="s">
        <v>181</v>
      </c>
    </row>
    <row r="30" customFormat="false" ht="15" hidden="false" customHeight="false" outlineLevel="0" collapsed="false">
      <c r="A30" s="9" t="n">
        <v>1</v>
      </c>
      <c r="B30" s="23" t="s">
        <v>182</v>
      </c>
      <c r="C30" s="47" t="str">
        <f aca="false">공수2!D4</f>
        <v>도형의 방정식</v>
      </c>
      <c r="D30" s="15" t="str">
        <f aca="false">공수2!D5</f>
        <v>하</v>
      </c>
      <c r="E30" s="15" t="n">
        <f aca="false">공수2!D3</f>
        <v>3</v>
      </c>
      <c r="F30" s="48" t="n">
        <f aca="false">IF(공수2!$D$2="","",공수2!$D$2)</f>
        <v>2</v>
      </c>
      <c r="G30" s="15" t="n">
        <f aca="false">COUNT(공수2!$Y$7:$Y$86)</f>
        <v>0</v>
      </c>
      <c r="H30" s="15" t="n">
        <f aca="false">IF(F30="","",SUMPRODUCT((공수2!$D$7:$D$86=공수2!$D$2)*(공수2!$D$7:$D$86&lt;&gt;"")))</f>
        <v>0</v>
      </c>
      <c r="I30" s="49" t="str">
        <f aca="false">IF(OR(F30="",G30=0),"",H30/G30)</f>
        <v/>
      </c>
      <c r="J30" s="50" t="str">
        <f aca="false">IF(F30="","",IFERROR(SUMPRODUCT((공수2!$D$7:$D$86=공수2!$D$2)*(공수2!$D$7:$D$86&lt;&gt;"")*(반배정!$K$7:$K$86=설정!$B$6))/COUNTIFS(반배정!$K$7:$K$86,설정!$B$6,공수2!$Y$7:$Y$86,"&gt;=0"),""))</f>
        <v/>
      </c>
      <c r="K30" s="50" t="str">
        <f aca="false">IF(F30="","",IFERROR(SUMPRODUCT((공수2!$D$7:$D$86=공수2!$D$2)*(공수2!$D$7:$D$86&lt;&gt;"")*(반배정!$K$7:$K$86=설정!$B$7))/COUNTIFS(반배정!$K$7:$K$86,설정!$B$7,공수2!$Y$7:$Y$86,"&gt;=0"),""))</f>
        <v/>
      </c>
      <c r="L30" s="50" t="str">
        <f aca="false">IF(F30="","",IFERROR(SUMPRODUCT((공수2!$D$7:$D$86=공수2!$D$2)*(공수2!$D$7:$D$86&lt;&gt;"")*(반배정!$K$7:$K$86=설정!$B$8))/COUNTIFS(반배정!$K$7:$K$86,설정!$B$8,공수2!$Y$7:$Y$86,"&gt;=0"),""))</f>
        <v/>
      </c>
      <c r="M30" s="51" t="str">
        <f aca="false">IF(OR(J30="",L30=""),"",J30-L30)</f>
        <v/>
      </c>
      <c r="N30" s="52" t="str">
        <f aca="false">IF(I30="","",IF(AND(M30&lt;&gt;"",M30&lt;0),"역변별·문항검토",IF(I30&gt;=0.9,"매우 쉬움",IF(I30&lt;=0.15,"매우 어려움",IF(AND(M30&lt;&gt;"",M30&lt;0.2),"변별력 낮음","양호")))))</f>
        <v/>
      </c>
      <c r="O30" s="52" t="str">
        <f aca="false">IF(G30=0,"",COUNTIF(공수2!$D$7:$D$86,1))</f>
        <v/>
      </c>
      <c r="P30" s="52" t="str">
        <f aca="false">IF(G30=0,"",COUNTIF(공수2!$D$7:$D$86,2))</f>
        <v/>
      </c>
      <c r="Q30" s="52" t="str">
        <f aca="false">IF(G30=0,"",COUNTIF(공수2!$D$7:$D$86,3))</f>
        <v/>
      </c>
      <c r="R30" s="52" t="str">
        <f aca="false">IF(G30=0,"",COUNTIF(공수2!$D$7:$D$86,4))</f>
        <v/>
      </c>
      <c r="S30" s="52" t="str">
        <f aca="false">IF(G30=0,"",COUNTIF(공수2!$D$7:$D$86,5))</f>
        <v/>
      </c>
    </row>
    <row r="31" customFormat="false" ht="15" hidden="false" customHeight="false" outlineLevel="0" collapsed="false">
      <c r="A31" s="9" t="n">
        <v>2</v>
      </c>
      <c r="B31" s="23" t="s">
        <v>182</v>
      </c>
      <c r="C31" s="47" t="str">
        <f aca="false">공수2!E4</f>
        <v>함수와 그래프</v>
      </c>
      <c r="D31" s="15" t="str">
        <f aca="false">공수2!E5</f>
        <v>하</v>
      </c>
      <c r="E31" s="15" t="n">
        <f aca="false">공수2!E3</f>
        <v>3</v>
      </c>
      <c r="F31" s="48" t="n">
        <f aca="false">IF(공수2!$E$2="","",공수2!$E$2)</f>
        <v>4</v>
      </c>
      <c r="G31" s="15" t="n">
        <f aca="false">COUNT(공수2!$Y$7:$Y$86)</f>
        <v>0</v>
      </c>
      <c r="H31" s="15" t="n">
        <f aca="false">IF(F31="","",SUMPRODUCT((공수2!$E$7:$E$86=공수2!$E$2)*(공수2!$E$7:$E$86&lt;&gt;"")))</f>
        <v>0</v>
      </c>
      <c r="I31" s="49" t="str">
        <f aca="false">IF(OR(F31="",G31=0),"",H31/G31)</f>
        <v/>
      </c>
      <c r="J31" s="50" t="str">
        <f aca="false">IF(F31="","",IFERROR(SUMPRODUCT((공수2!$E$7:$E$86=공수2!$E$2)*(공수2!$E$7:$E$86&lt;&gt;"")*(반배정!$K$7:$K$86=설정!$B$6))/COUNTIFS(반배정!$K$7:$K$86,설정!$B$6,공수2!$Y$7:$Y$86,"&gt;=0"),""))</f>
        <v/>
      </c>
      <c r="K31" s="50" t="str">
        <f aca="false">IF(F31="","",IFERROR(SUMPRODUCT((공수2!$E$7:$E$86=공수2!$E$2)*(공수2!$E$7:$E$86&lt;&gt;"")*(반배정!$K$7:$K$86=설정!$B$7))/COUNTIFS(반배정!$K$7:$K$86,설정!$B$7,공수2!$Y$7:$Y$86,"&gt;=0"),""))</f>
        <v/>
      </c>
      <c r="L31" s="50" t="str">
        <f aca="false">IF(F31="","",IFERROR(SUMPRODUCT((공수2!$E$7:$E$86=공수2!$E$2)*(공수2!$E$7:$E$86&lt;&gt;"")*(반배정!$K$7:$K$86=설정!$B$8))/COUNTIFS(반배정!$K$7:$K$86,설정!$B$8,공수2!$Y$7:$Y$86,"&gt;=0"),""))</f>
        <v/>
      </c>
      <c r="M31" s="51" t="str">
        <f aca="false">IF(OR(J31="",L31=""),"",J31-L31)</f>
        <v/>
      </c>
      <c r="N31" s="52" t="str">
        <f aca="false">IF(I31="","",IF(AND(M31&lt;&gt;"",M31&lt;0),"역변별·문항검토",IF(I31&gt;=0.9,"매우 쉬움",IF(I31&lt;=0.15,"매우 어려움",IF(AND(M31&lt;&gt;"",M31&lt;0.2),"변별력 낮음","양호")))))</f>
        <v/>
      </c>
      <c r="O31" s="52" t="str">
        <f aca="false">IF(G31=0,"",COUNTIF(공수2!$E$7:$E$86,1))</f>
        <v/>
      </c>
      <c r="P31" s="52" t="str">
        <f aca="false">IF(G31=0,"",COUNTIF(공수2!$E$7:$E$86,2))</f>
        <v/>
      </c>
      <c r="Q31" s="52" t="str">
        <f aca="false">IF(G31=0,"",COUNTIF(공수2!$E$7:$E$86,3))</f>
        <v/>
      </c>
      <c r="R31" s="52" t="str">
        <f aca="false">IF(G31=0,"",COUNTIF(공수2!$E$7:$E$86,4))</f>
        <v/>
      </c>
      <c r="S31" s="52" t="str">
        <f aca="false">IF(G31=0,"",COUNTIF(공수2!$E$7:$E$86,5))</f>
        <v/>
      </c>
    </row>
    <row r="32" customFormat="false" ht="15" hidden="false" customHeight="false" outlineLevel="0" collapsed="false">
      <c r="A32" s="9" t="n">
        <v>3</v>
      </c>
      <c r="B32" s="23" t="s">
        <v>182</v>
      </c>
      <c r="C32" s="47" t="str">
        <f aca="false">공수2!F4</f>
        <v>함수와 그래프</v>
      </c>
      <c r="D32" s="15" t="str">
        <f aca="false">공수2!F5</f>
        <v>하</v>
      </c>
      <c r="E32" s="15" t="n">
        <f aca="false">공수2!F3</f>
        <v>3</v>
      </c>
      <c r="F32" s="48" t="n">
        <f aca="false">IF(공수2!$F$2="","",공수2!$F$2)</f>
        <v>1</v>
      </c>
      <c r="G32" s="15" t="n">
        <f aca="false">COUNT(공수2!$Y$7:$Y$86)</f>
        <v>0</v>
      </c>
      <c r="H32" s="15" t="n">
        <f aca="false">IF(F32="","",SUMPRODUCT((공수2!$F$7:$F$86=공수2!$F$2)*(공수2!$F$7:$F$86&lt;&gt;"")))</f>
        <v>0</v>
      </c>
      <c r="I32" s="49" t="str">
        <f aca="false">IF(OR(F32="",G32=0),"",H32/G32)</f>
        <v/>
      </c>
      <c r="J32" s="50" t="str">
        <f aca="false">IF(F32="","",IFERROR(SUMPRODUCT((공수2!$F$7:$F$86=공수2!$F$2)*(공수2!$F$7:$F$86&lt;&gt;"")*(반배정!$K$7:$K$86=설정!$B$6))/COUNTIFS(반배정!$K$7:$K$86,설정!$B$6,공수2!$Y$7:$Y$86,"&gt;=0"),""))</f>
        <v/>
      </c>
      <c r="K32" s="50" t="str">
        <f aca="false">IF(F32="","",IFERROR(SUMPRODUCT((공수2!$F$7:$F$86=공수2!$F$2)*(공수2!$F$7:$F$86&lt;&gt;"")*(반배정!$K$7:$K$86=설정!$B$7))/COUNTIFS(반배정!$K$7:$K$86,설정!$B$7,공수2!$Y$7:$Y$86,"&gt;=0"),""))</f>
        <v/>
      </c>
      <c r="L32" s="50" t="str">
        <f aca="false">IF(F32="","",IFERROR(SUMPRODUCT((공수2!$F$7:$F$86=공수2!$F$2)*(공수2!$F$7:$F$86&lt;&gt;"")*(반배정!$K$7:$K$86=설정!$B$8))/COUNTIFS(반배정!$K$7:$K$86,설정!$B$8,공수2!$Y$7:$Y$86,"&gt;=0"),""))</f>
        <v/>
      </c>
      <c r="M32" s="51" t="str">
        <f aca="false">IF(OR(J32="",L32=""),"",J32-L32)</f>
        <v/>
      </c>
      <c r="N32" s="52" t="str">
        <f aca="false">IF(I32="","",IF(AND(M32&lt;&gt;"",M32&lt;0),"역변별·문항검토",IF(I32&gt;=0.9,"매우 쉬움",IF(I32&lt;=0.15,"매우 어려움",IF(AND(M32&lt;&gt;"",M32&lt;0.2),"변별력 낮음","양호")))))</f>
        <v/>
      </c>
      <c r="O32" s="52" t="str">
        <f aca="false">IF(G32=0,"",COUNTIF(공수2!$F$7:$F$86,1))</f>
        <v/>
      </c>
      <c r="P32" s="52" t="str">
        <f aca="false">IF(G32=0,"",COUNTIF(공수2!$F$7:$F$86,2))</f>
        <v/>
      </c>
      <c r="Q32" s="52" t="str">
        <f aca="false">IF(G32=0,"",COUNTIF(공수2!$F$7:$F$86,3))</f>
        <v/>
      </c>
      <c r="R32" s="52" t="str">
        <f aca="false">IF(G32=0,"",COUNTIF(공수2!$F$7:$F$86,4))</f>
        <v/>
      </c>
      <c r="S32" s="52" t="str">
        <f aca="false">IF(G32=0,"",COUNTIF(공수2!$F$7:$F$86,5))</f>
        <v/>
      </c>
    </row>
    <row r="33" customFormat="false" ht="15" hidden="false" customHeight="false" outlineLevel="0" collapsed="false">
      <c r="A33" s="9" t="n">
        <v>4</v>
      </c>
      <c r="B33" s="23" t="s">
        <v>182</v>
      </c>
      <c r="C33" s="47" t="str">
        <f aca="false">공수2!G4</f>
        <v>도형의 방정식</v>
      </c>
      <c r="D33" s="15" t="str">
        <f aca="false">공수2!G5</f>
        <v>중하</v>
      </c>
      <c r="E33" s="15" t="n">
        <f aca="false">공수2!G3</f>
        <v>4</v>
      </c>
      <c r="F33" s="48" t="n">
        <f aca="false">IF(공수2!$G$2="","",공수2!$G$2)</f>
        <v>3</v>
      </c>
      <c r="G33" s="15" t="n">
        <f aca="false">COUNT(공수2!$Y$7:$Y$86)</f>
        <v>0</v>
      </c>
      <c r="H33" s="15" t="n">
        <f aca="false">IF(F33="","",SUMPRODUCT((공수2!$G$7:$G$86=공수2!$G$2)*(공수2!$G$7:$G$86&lt;&gt;"")))</f>
        <v>0</v>
      </c>
      <c r="I33" s="49" t="str">
        <f aca="false">IF(OR(F33="",G33=0),"",H33/G33)</f>
        <v/>
      </c>
      <c r="J33" s="50" t="str">
        <f aca="false">IF(F33="","",IFERROR(SUMPRODUCT((공수2!$G$7:$G$86=공수2!$G$2)*(공수2!$G$7:$G$86&lt;&gt;"")*(반배정!$K$7:$K$86=설정!$B$6))/COUNTIFS(반배정!$K$7:$K$86,설정!$B$6,공수2!$Y$7:$Y$86,"&gt;=0"),""))</f>
        <v/>
      </c>
      <c r="K33" s="50" t="str">
        <f aca="false">IF(F33="","",IFERROR(SUMPRODUCT((공수2!$G$7:$G$86=공수2!$G$2)*(공수2!$G$7:$G$86&lt;&gt;"")*(반배정!$K$7:$K$86=설정!$B$7))/COUNTIFS(반배정!$K$7:$K$86,설정!$B$7,공수2!$Y$7:$Y$86,"&gt;=0"),""))</f>
        <v/>
      </c>
      <c r="L33" s="50" t="str">
        <f aca="false">IF(F33="","",IFERROR(SUMPRODUCT((공수2!$G$7:$G$86=공수2!$G$2)*(공수2!$G$7:$G$86&lt;&gt;"")*(반배정!$K$7:$K$86=설정!$B$8))/COUNTIFS(반배정!$K$7:$K$86,설정!$B$8,공수2!$Y$7:$Y$86,"&gt;=0"),""))</f>
        <v/>
      </c>
      <c r="M33" s="51" t="str">
        <f aca="false">IF(OR(J33="",L33=""),"",J33-L33)</f>
        <v/>
      </c>
      <c r="N33" s="52" t="str">
        <f aca="false">IF(I33="","",IF(AND(M33&lt;&gt;"",M33&lt;0),"역변별·문항검토",IF(I33&gt;=0.9,"매우 쉬움",IF(I33&lt;=0.15,"매우 어려움",IF(AND(M33&lt;&gt;"",M33&lt;0.2),"변별력 낮음","양호")))))</f>
        <v/>
      </c>
      <c r="O33" s="52" t="str">
        <f aca="false">IF(G33=0,"",COUNTIF(공수2!$G$7:$G$86,1))</f>
        <v/>
      </c>
      <c r="P33" s="52" t="str">
        <f aca="false">IF(G33=0,"",COUNTIF(공수2!$G$7:$G$86,2))</f>
        <v/>
      </c>
      <c r="Q33" s="52" t="str">
        <f aca="false">IF(G33=0,"",COUNTIF(공수2!$G$7:$G$86,3))</f>
        <v/>
      </c>
      <c r="R33" s="52" t="str">
        <f aca="false">IF(G33=0,"",COUNTIF(공수2!$G$7:$G$86,4))</f>
        <v/>
      </c>
      <c r="S33" s="52" t="str">
        <f aca="false">IF(G33=0,"",COUNTIF(공수2!$G$7:$G$86,5))</f>
        <v/>
      </c>
    </row>
    <row r="34" customFormat="false" ht="15" hidden="false" customHeight="false" outlineLevel="0" collapsed="false">
      <c r="A34" s="9" t="n">
        <v>5</v>
      </c>
      <c r="B34" s="23" t="s">
        <v>182</v>
      </c>
      <c r="C34" s="47" t="str">
        <f aca="false">공수2!H4</f>
        <v>도형의 방정식</v>
      </c>
      <c r="D34" s="15" t="str">
        <f aca="false">공수2!H5</f>
        <v>중하</v>
      </c>
      <c r="E34" s="15" t="n">
        <f aca="false">공수2!H3</f>
        <v>4</v>
      </c>
      <c r="F34" s="48" t="n">
        <f aca="false">IF(공수2!$H$2="","",공수2!$H$2)</f>
        <v>5</v>
      </c>
      <c r="G34" s="15" t="n">
        <f aca="false">COUNT(공수2!$Y$7:$Y$86)</f>
        <v>0</v>
      </c>
      <c r="H34" s="15" t="n">
        <f aca="false">IF(F34="","",SUMPRODUCT((공수2!$H$7:$H$86=공수2!$H$2)*(공수2!$H$7:$H$86&lt;&gt;"")))</f>
        <v>0</v>
      </c>
      <c r="I34" s="49" t="str">
        <f aca="false">IF(OR(F34="",G34=0),"",H34/G34)</f>
        <v/>
      </c>
      <c r="J34" s="50" t="str">
        <f aca="false">IF(F34="","",IFERROR(SUMPRODUCT((공수2!$H$7:$H$86=공수2!$H$2)*(공수2!$H$7:$H$86&lt;&gt;"")*(반배정!$K$7:$K$86=설정!$B$6))/COUNTIFS(반배정!$K$7:$K$86,설정!$B$6,공수2!$Y$7:$Y$86,"&gt;=0"),""))</f>
        <v/>
      </c>
      <c r="K34" s="50" t="str">
        <f aca="false">IF(F34="","",IFERROR(SUMPRODUCT((공수2!$H$7:$H$86=공수2!$H$2)*(공수2!$H$7:$H$86&lt;&gt;"")*(반배정!$K$7:$K$86=설정!$B$7))/COUNTIFS(반배정!$K$7:$K$86,설정!$B$7,공수2!$Y$7:$Y$86,"&gt;=0"),""))</f>
        <v/>
      </c>
      <c r="L34" s="50" t="str">
        <f aca="false">IF(F34="","",IFERROR(SUMPRODUCT((공수2!$H$7:$H$86=공수2!$H$2)*(공수2!$H$7:$H$86&lt;&gt;"")*(반배정!$K$7:$K$86=설정!$B$8))/COUNTIFS(반배정!$K$7:$K$86,설정!$B$8,공수2!$Y$7:$Y$86,"&gt;=0"),""))</f>
        <v/>
      </c>
      <c r="M34" s="51" t="str">
        <f aca="false">IF(OR(J34="",L34=""),"",J34-L34)</f>
        <v/>
      </c>
      <c r="N34" s="52" t="str">
        <f aca="false">IF(I34="","",IF(AND(M34&lt;&gt;"",M34&lt;0),"역변별·문항검토",IF(I34&gt;=0.9,"매우 쉬움",IF(I34&lt;=0.15,"매우 어려움",IF(AND(M34&lt;&gt;"",M34&lt;0.2),"변별력 낮음","양호")))))</f>
        <v/>
      </c>
      <c r="O34" s="52" t="str">
        <f aca="false">IF(G34=0,"",COUNTIF(공수2!$H$7:$H$86,1))</f>
        <v/>
      </c>
      <c r="P34" s="52" t="str">
        <f aca="false">IF(G34=0,"",COUNTIF(공수2!$H$7:$H$86,2))</f>
        <v/>
      </c>
      <c r="Q34" s="52" t="str">
        <f aca="false">IF(G34=0,"",COUNTIF(공수2!$H$7:$H$86,3))</f>
        <v/>
      </c>
      <c r="R34" s="52" t="str">
        <f aca="false">IF(G34=0,"",COUNTIF(공수2!$H$7:$H$86,4))</f>
        <v/>
      </c>
      <c r="S34" s="52" t="str">
        <f aca="false">IF(G34=0,"",COUNTIF(공수2!$H$7:$H$86,5))</f>
        <v/>
      </c>
    </row>
    <row r="35" customFormat="false" ht="15" hidden="false" customHeight="false" outlineLevel="0" collapsed="false">
      <c r="A35" s="9" t="n">
        <v>6</v>
      </c>
      <c r="B35" s="23" t="s">
        <v>182</v>
      </c>
      <c r="C35" s="47" t="str">
        <f aca="false">공수2!I4</f>
        <v>집합과 명제</v>
      </c>
      <c r="D35" s="15" t="str">
        <f aca="false">공수2!I5</f>
        <v>중하</v>
      </c>
      <c r="E35" s="15" t="n">
        <f aca="false">공수2!I3</f>
        <v>4</v>
      </c>
      <c r="F35" s="48" t="n">
        <f aca="false">IF(공수2!$I$2="","",공수2!$I$2)</f>
        <v>2</v>
      </c>
      <c r="G35" s="15" t="n">
        <f aca="false">COUNT(공수2!$Y$7:$Y$86)</f>
        <v>0</v>
      </c>
      <c r="H35" s="15" t="n">
        <f aca="false">IF(F35="","",SUMPRODUCT((공수2!$I$7:$I$86=공수2!$I$2)*(공수2!$I$7:$I$86&lt;&gt;"")))</f>
        <v>0</v>
      </c>
      <c r="I35" s="49" t="str">
        <f aca="false">IF(OR(F35="",G35=0),"",H35/G35)</f>
        <v/>
      </c>
      <c r="J35" s="50" t="str">
        <f aca="false">IF(F35="","",IFERROR(SUMPRODUCT((공수2!$I$7:$I$86=공수2!$I$2)*(공수2!$I$7:$I$86&lt;&gt;"")*(반배정!$K$7:$K$86=설정!$B$6))/COUNTIFS(반배정!$K$7:$K$86,설정!$B$6,공수2!$Y$7:$Y$86,"&gt;=0"),""))</f>
        <v/>
      </c>
      <c r="K35" s="50" t="str">
        <f aca="false">IF(F35="","",IFERROR(SUMPRODUCT((공수2!$I$7:$I$86=공수2!$I$2)*(공수2!$I$7:$I$86&lt;&gt;"")*(반배정!$K$7:$K$86=설정!$B$7))/COUNTIFS(반배정!$K$7:$K$86,설정!$B$7,공수2!$Y$7:$Y$86,"&gt;=0"),""))</f>
        <v/>
      </c>
      <c r="L35" s="50" t="str">
        <f aca="false">IF(F35="","",IFERROR(SUMPRODUCT((공수2!$I$7:$I$86=공수2!$I$2)*(공수2!$I$7:$I$86&lt;&gt;"")*(반배정!$K$7:$K$86=설정!$B$8))/COUNTIFS(반배정!$K$7:$K$86,설정!$B$8,공수2!$Y$7:$Y$86,"&gt;=0"),""))</f>
        <v/>
      </c>
      <c r="M35" s="51" t="str">
        <f aca="false">IF(OR(J35="",L35=""),"",J35-L35)</f>
        <v/>
      </c>
      <c r="N35" s="52" t="str">
        <f aca="false">IF(I35="","",IF(AND(M35&lt;&gt;"",M35&lt;0),"역변별·문항검토",IF(I35&gt;=0.9,"매우 쉬움",IF(I35&lt;=0.15,"매우 어려움",IF(AND(M35&lt;&gt;"",M35&lt;0.2),"변별력 낮음","양호")))))</f>
        <v/>
      </c>
      <c r="O35" s="52" t="str">
        <f aca="false">IF(G35=0,"",COUNTIF(공수2!$I$7:$I$86,1))</f>
        <v/>
      </c>
      <c r="P35" s="52" t="str">
        <f aca="false">IF(G35=0,"",COUNTIF(공수2!$I$7:$I$86,2))</f>
        <v/>
      </c>
      <c r="Q35" s="52" t="str">
        <f aca="false">IF(G35=0,"",COUNTIF(공수2!$I$7:$I$86,3))</f>
        <v/>
      </c>
      <c r="R35" s="52" t="str">
        <f aca="false">IF(G35=0,"",COUNTIF(공수2!$I$7:$I$86,4))</f>
        <v/>
      </c>
      <c r="S35" s="52" t="str">
        <f aca="false">IF(G35=0,"",COUNTIF(공수2!$I$7:$I$86,5))</f>
        <v/>
      </c>
    </row>
    <row r="36" customFormat="false" ht="15" hidden="false" customHeight="false" outlineLevel="0" collapsed="false">
      <c r="A36" s="9" t="n">
        <v>7</v>
      </c>
      <c r="B36" s="23" t="s">
        <v>182</v>
      </c>
      <c r="C36" s="47" t="str">
        <f aca="false">공수2!J4</f>
        <v>함수와 그래프</v>
      </c>
      <c r="D36" s="15" t="str">
        <f aca="false">공수2!J5</f>
        <v>중</v>
      </c>
      <c r="E36" s="15" t="n">
        <f aca="false">공수2!J3</f>
        <v>5</v>
      </c>
      <c r="F36" s="48" t="n">
        <f aca="false">IF(공수2!$J$2="","",공수2!$J$2)</f>
        <v>3</v>
      </c>
      <c r="G36" s="15" t="n">
        <f aca="false">COUNT(공수2!$Y$7:$Y$86)</f>
        <v>0</v>
      </c>
      <c r="H36" s="15" t="n">
        <f aca="false">IF(F36="","",SUMPRODUCT((공수2!$J$7:$J$86=공수2!$J$2)*(공수2!$J$7:$J$86&lt;&gt;"")))</f>
        <v>0</v>
      </c>
      <c r="I36" s="49" t="str">
        <f aca="false">IF(OR(F36="",G36=0),"",H36/G36)</f>
        <v/>
      </c>
      <c r="J36" s="50" t="str">
        <f aca="false">IF(F36="","",IFERROR(SUMPRODUCT((공수2!$J$7:$J$86=공수2!$J$2)*(공수2!$J$7:$J$86&lt;&gt;"")*(반배정!$K$7:$K$86=설정!$B$6))/COUNTIFS(반배정!$K$7:$K$86,설정!$B$6,공수2!$Y$7:$Y$86,"&gt;=0"),""))</f>
        <v/>
      </c>
      <c r="K36" s="50" t="str">
        <f aca="false">IF(F36="","",IFERROR(SUMPRODUCT((공수2!$J$7:$J$86=공수2!$J$2)*(공수2!$J$7:$J$86&lt;&gt;"")*(반배정!$K$7:$K$86=설정!$B$7))/COUNTIFS(반배정!$K$7:$K$86,설정!$B$7,공수2!$Y$7:$Y$86,"&gt;=0"),""))</f>
        <v/>
      </c>
      <c r="L36" s="50" t="str">
        <f aca="false">IF(F36="","",IFERROR(SUMPRODUCT((공수2!$J$7:$J$86=공수2!$J$2)*(공수2!$J$7:$J$86&lt;&gt;"")*(반배정!$K$7:$K$86=설정!$B$8))/COUNTIFS(반배정!$K$7:$K$86,설정!$B$8,공수2!$Y$7:$Y$86,"&gt;=0"),""))</f>
        <v/>
      </c>
      <c r="M36" s="51" t="str">
        <f aca="false">IF(OR(J36="",L36=""),"",J36-L36)</f>
        <v/>
      </c>
      <c r="N36" s="52" t="str">
        <f aca="false">IF(I36="","",IF(AND(M36&lt;&gt;"",M36&lt;0),"역변별·문항검토",IF(I36&gt;=0.9,"매우 쉬움",IF(I36&lt;=0.15,"매우 어려움",IF(AND(M36&lt;&gt;"",M36&lt;0.2),"변별력 낮음","양호")))))</f>
        <v/>
      </c>
      <c r="O36" s="52" t="str">
        <f aca="false">IF(G36=0,"",COUNTIF(공수2!$J$7:$J$86,1))</f>
        <v/>
      </c>
      <c r="P36" s="52" t="str">
        <f aca="false">IF(G36=0,"",COUNTIF(공수2!$J$7:$J$86,2))</f>
        <v/>
      </c>
      <c r="Q36" s="52" t="str">
        <f aca="false">IF(G36=0,"",COUNTIF(공수2!$J$7:$J$86,3))</f>
        <v/>
      </c>
      <c r="R36" s="52" t="str">
        <f aca="false">IF(G36=0,"",COUNTIF(공수2!$J$7:$J$86,4))</f>
        <v/>
      </c>
      <c r="S36" s="52" t="str">
        <f aca="false">IF(G36=0,"",COUNTIF(공수2!$J$7:$J$86,5))</f>
        <v/>
      </c>
    </row>
    <row r="37" customFormat="false" ht="15" hidden="false" customHeight="false" outlineLevel="0" collapsed="false">
      <c r="A37" s="9" t="n">
        <v>8</v>
      </c>
      <c r="B37" s="23" t="s">
        <v>182</v>
      </c>
      <c r="C37" s="47" t="str">
        <f aca="false">공수2!K4</f>
        <v>도형의 방정식</v>
      </c>
      <c r="D37" s="15" t="str">
        <f aca="false">공수2!K5</f>
        <v>중</v>
      </c>
      <c r="E37" s="15" t="n">
        <f aca="false">공수2!K3</f>
        <v>5</v>
      </c>
      <c r="F37" s="48" t="n">
        <f aca="false">IF(공수2!$K$2="","",공수2!$K$2)</f>
        <v>1</v>
      </c>
      <c r="G37" s="15" t="n">
        <f aca="false">COUNT(공수2!$Y$7:$Y$86)</f>
        <v>0</v>
      </c>
      <c r="H37" s="15" t="n">
        <f aca="false">IF(F37="","",SUMPRODUCT((공수2!$K$7:$K$86=공수2!$K$2)*(공수2!$K$7:$K$86&lt;&gt;"")))</f>
        <v>0</v>
      </c>
      <c r="I37" s="49" t="str">
        <f aca="false">IF(OR(F37="",G37=0),"",H37/G37)</f>
        <v/>
      </c>
      <c r="J37" s="50" t="str">
        <f aca="false">IF(F37="","",IFERROR(SUMPRODUCT((공수2!$K$7:$K$86=공수2!$K$2)*(공수2!$K$7:$K$86&lt;&gt;"")*(반배정!$K$7:$K$86=설정!$B$6))/COUNTIFS(반배정!$K$7:$K$86,설정!$B$6,공수2!$Y$7:$Y$86,"&gt;=0"),""))</f>
        <v/>
      </c>
      <c r="K37" s="50" t="str">
        <f aca="false">IF(F37="","",IFERROR(SUMPRODUCT((공수2!$K$7:$K$86=공수2!$K$2)*(공수2!$K$7:$K$86&lt;&gt;"")*(반배정!$K$7:$K$86=설정!$B$7))/COUNTIFS(반배정!$K$7:$K$86,설정!$B$7,공수2!$Y$7:$Y$86,"&gt;=0"),""))</f>
        <v/>
      </c>
      <c r="L37" s="50" t="str">
        <f aca="false">IF(F37="","",IFERROR(SUMPRODUCT((공수2!$K$7:$K$86=공수2!$K$2)*(공수2!$K$7:$K$86&lt;&gt;"")*(반배정!$K$7:$K$86=설정!$B$8))/COUNTIFS(반배정!$K$7:$K$86,설정!$B$8,공수2!$Y$7:$Y$86,"&gt;=0"),""))</f>
        <v/>
      </c>
      <c r="M37" s="51" t="str">
        <f aca="false">IF(OR(J37="",L37=""),"",J37-L37)</f>
        <v/>
      </c>
      <c r="N37" s="52" t="str">
        <f aca="false">IF(I37="","",IF(AND(M37&lt;&gt;"",M37&lt;0),"역변별·문항검토",IF(I37&gt;=0.9,"매우 쉬움",IF(I37&lt;=0.15,"매우 어려움",IF(AND(M37&lt;&gt;"",M37&lt;0.2),"변별력 낮음","양호")))))</f>
        <v/>
      </c>
      <c r="O37" s="52" t="str">
        <f aca="false">IF(G37=0,"",COUNTIF(공수2!$K$7:$K$86,1))</f>
        <v/>
      </c>
      <c r="P37" s="52" t="str">
        <f aca="false">IF(G37=0,"",COUNTIF(공수2!$K$7:$K$86,2))</f>
        <v/>
      </c>
      <c r="Q37" s="52" t="str">
        <f aca="false">IF(G37=0,"",COUNTIF(공수2!$K$7:$K$86,3))</f>
        <v/>
      </c>
      <c r="R37" s="52" t="str">
        <f aca="false">IF(G37=0,"",COUNTIF(공수2!$K$7:$K$86,4))</f>
        <v/>
      </c>
      <c r="S37" s="52" t="str">
        <f aca="false">IF(G37=0,"",COUNTIF(공수2!$K$7:$K$86,5))</f>
        <v/>
      </c>
    </row>
    <row r="38" customFormat="false" ht="15" hidden="false" customHeight="false" outlineLevel="0" collapsed="false">
      <c r="A38" s="9" t="n">
        <v>9</v>
      </c>
      <c r="B38" s="23" t="s">
        <v>182</v>
      </c>
      <c r="C38" s="47" t="str">
        <f aca="false">공수2!L4</f>
        <v>함수와 그래프</v>
      </c>
      <c r="D38" s="15" t="str">
        <f aca="false">공수2!L5</f>
        <v>중</v>
      </c>
      <c r="E38" s="15" t="n">
        <f aca="false">공수2!L3</f>
        <v>5</v>
      </c>
      <c r="F38" s="48" t="n">
        <f aca="false">IF(공수2!$L$2="","",공수2!$L$2)</f>
        <v>4</v>
      </c>
      <c r="G38" s="15" t="n">
        <f aca="false">COUNT(공수2!$Y$7:$Y$86)</f>
        <v>0</v>
      </c>
      <c r="H38" s="15" t="n">
        <f aca="false">IF(F38="","",SUMPRODUCT((공수2!$L$7:$L$86=공수2!$L$2)*(공수2!$L$7:$L$86&lt;&gt;"")))</f>
        <v>0</v>
      </c>
      <c r="I38" s="49" t="str">
        <f aca="false">IF(OR(F38="",G38=0),"",H38/G38)</f>
        <v/>
      </c>
      <c r="J38" s="50" t="str">
        <f aca="false">IF(F38="","",IFERROR(SUMPRODUCT((공수2!$L$7:$L$86=공수2!$L$2)*(공수2!$L$7:$L$86&lt;&gt;"")*(반배정!$K$7:$K$86=설정!$B$6))/COUNTIFS(반배정!$K$7:$K$86,설정!$B$6,공수2!$Y$7:$Y$86,"&gt;=0"),""))</f>
        <v/>
      </c>
      <c r="K38" s="50" t="str">
        <f aca="false">IF(F38="","",IFERROR(SUMPRODUCT((공수2!$L$7:$L$86=공수2!$L$2)*(공수2!$L$7:$L$86&lt;&gt;"")*(반배정!$K$7:$K$86=설정!$B$7))/COUNTIFS(반배정!$K$7:$K$86,설정!$B$7,공수2!$Y$7:$Y$86,"&gt;=0"),""))</f>
        <v/>
      </c>
      <c r="L38" s="50" t="str">
        <f aca="false">IF(F38="","",IFERROR(SUMPRODUCT((공수2!$L$7:$L$86=공수2!$L$2)*(공수2!$L$7:$L$86&lt;&gt;"")*(반배정!$K$7:$K$86=설정!$B$8))/COUNTIFS(반배정!$K$7:$K$86,설정!$B$8,공수2!$Y$7:$Y$86,"&gt;=0"),""))</f>
        <v/>
      </c>
      <c r="M38" s="51" t="str">
        <f aca="false">IF(OR(J38="",L38=""),"",J38-L38)</f>
        <v/>
      </c>
      <c r="N38" s="52" t="str">
        <f aca="false">IF(I38="","",IF(AND(M38&lt;&gt;"",M38&lt;0),"역변별·문항검토",IF(I38&gt;=0.9,"매우 쉬움",IF(I38&lt;=0.15,"매우 어려움",IF(AND(M38&lt;&gt;"",M38&lt;0.2),"변별력 낮음","양호")))))</f>
        <v/>
      </c>
      <c r="O38" s="52" t="str">
        <f aca="false">IF(G38=0,"",COUNTIF(공수2!$L$7:$L$86,1))</f>
        <v/>
      </c>
      <c r="P38" s="52" t="str">
        <f aca="false">IF(G38=0,"",COUNTIF(공수2!$L$7:$L$86,2))</f>
        <v/>
      </c>
      <c r="Q38" s="52" t="str">
        <f aca="false">IF(G38=0,"",COUNTIF(공수2!$L$7:$L$86,3))</f>
        <v/>
      </c>
      <c r="R38" s="52" t="str">
        <f aca="false">IF(G38=0,"",COUNTIF(공수2!$L$7:$L$86,4))</f>
        <v/>
      </c>
      <c r="S38" s="52" t="str">
        <f aca="false">IF(G38=0,"",COUNTIF(공수2!$L$7:$L$86,5))</f>
        <v/>
      </c>
    </row>
    <row r="39" customFormat="false" ht="15" hidden="false" customHeight="false" outlineLevel="0" collapsed="false">
      <c r="A39" s="9" t="n">
        <v>10</v>
      </c>
      <c r="B39" s="23" t="s">
        <v>182</v>
      </c>
      <c r="C39" s="47" t="str">
        <f aca="false">공수2!M4</f>
        <v>집합과 명제</v>
      </c>
      <c r="D39" s="15" t="str">
        <f aca="false">공수2!M5</f>
        <v>중상</v>
      </c>
      <c r="E39" s="15" t="n">
        <f aca="false">공수2!M3</f>
        <v>6</v>
      </c>
      <c r="F39" s="48" t="n">
        <f aca="false">IF(공수2!$M$2="","",공수2!$M$2)</f>
        <v>5</v>
      </c>
      <c r="G39" s="15" t="n">
        <f aca="false">COUNT(공수2!$Y$7:$Y$86)</f>
        <v>0</v>
      </c>
      <c r="H39" s="15" t="n">
        <f aca="false">IF(F39="","",SUMPRODUCT((공수2!$M$7:$M$86=공수2!$M$2)*(공수2!$M$7:$M$86&lt;&gt;"")))</f>
        <v>0</v>
      </c>
      <c r="I39" s="49" t="str">
        <f aca="false">IF(OR(F39="",G39=0),"",H39/G39)</f>
        <v/>
      </c>
      <c r="J39" s="50" t="str">
        <f aca="false">IF(F39="","",IFERROR(SUMPRODUCT((공수2!$M$7:$M$86=공수2!$M$2)*(공수2!$M$7:$M$86&lt;&gt;"")*(반배정!$K$7:$K$86=설정!$B$6))/COUNTIFS(반배정!$K$7:$K$86,설정!$B$6,공수2!$Y$7:$Y$86,"&gt;=0"),""))</f>
        <v/>
      </c>
      <c r="K39" s="50" t="str">
        <f aca="false">IF(F39="","",IFERROR(SUMPRODUCT((공수2!$M$7:$M$86=공수2!$M$2)*(공수2!$M$7:$M$86&lt;&gt;"")*(반배정!$K$7:$K$86=설정!$B$7))/COUNTIFS(반배정!$K$7:$K$86,설정!$B$7,공수2!$Y$7:$Y$86,"&gt;=0"),""))</f>
        <v/>
      </c>
      <c r="L39" s="50" t="str">
        <f aca="false">IF(F39="","",IFERROR(SUMPRODUCT((공수2!$M$7:$M$86=공수2!$M$2)*(공수2!$M$7:$M$86&lt;&gt;"")*(반배정!$K$7:$K$86=설정!$B$8))/COUNTIFS(반배정!$K$7:$K$86,설정!$B$8,공수2!$Y$7:$Y$86,"&gt;=0"),""))</f>
        <v/>
      </c>
      <c r="M39" s="51" t="str">
        <f aca="false">IF(OR(J39="",L39=""),"",J39-L39)</f>
        <v/>
      </c>
      <c r="N39" s="52" t="str">
        <f aca="false">IF(I39="","",IF(AND(M39&lt;&gt;"",M39&lt;0),"역변별·문항검토",IF(I39&gt;=0.9,"매우 쉬움",IF(I39&lt;=0.15,"매우 어려움",IF(AND(M39&lt;&gt;"",M39&lt;0.2),"변별력 낮음","양호")))))</f>
        <v/>
      </c>
      <c r="O39" s="52" t="str">
        <f aca="false">IF(G39=0,"",COUNTIF(공수2!$M$7:$M$86,1))</f>
        <v/>
      </c>
      <c r="P39" s="52" t="str">
        <f aca="false">IF(G39=0,"",COUNTIF(공수2!$M$7:$M$86,2))</f>
        <v/>
      </c>
      <c r="Q39" s="52" t="str">
        <f aca="false">IF(G39=0,"",COUNTIF(공수2!$M$7:$M$86,3))</f>
        <v/>
      </c>
      <c r="R39" s="52" t="str">
        <f aca="false">IF(G39=0,"",COUNTIF(공수2!$M$7:$M$86,4))</f>
        <v/>
      </c>
      <c r="S39" s="52" t="str">
        <f aca="false">IF(G39=0,"",COUNTIF(공수2!$M$7:$M$86,5))</f>
        <v/>
      </c>
    </row>
    <row r="40" customFormat="false" ht="15" hidden="false" customHeight="false" outlineLevel="0" collapsed="false">
      <c r="A40" s="9" t="n">
        <v>11</v>
      </c>
      <c r="B40" s="23" t="s">
        <v>182</v>
      </c>
      <c r="C40" s="47" t="str">
        <f aca="false">공수2!N4</f>
        <v>도형의 방정식</v>
      </c>
      <c r="D40" s="15" t="str">
        <f aca="false">공수2!N5</f>
        <v>중상</v>
      </c>
      <c r="E40" s="15" t="n">
        <f aca="false">공수2!N3</f>
        <v>6</v>
      </c>
      <c r="F40" s="48" t="n">
        <f aca="false">IF(공수2!$N$2="","",공수2!$N$2)</f>
        <v>2</v>
      </c>
      <c r="G40" s="15" t="n">
        <f aca="false">COUNT(공수2!$Y$7:$Y$86)</f>
        <v>0</v>
      </c>
      <c r="H40" s="15" t="n">
        <f aca="false">IF(F40="","",SUMPRODUCT((공수2!$N$7:$N$86=공수2!$N$2)*(공수2!$N$7:$N$86&lt;&gt;"")))</f>
        <v>0</v>
      </c>
      <c r="I40" s="49" t="str">
        <f aca="false">IF(OR(F40="",G40=0),"",H40/G40)</f>
        <v/>
      </c>
      <c r="J40" s="50" t="str">
        <f aca="false">IF(F40="","",IFERROR(SUMPRODUCT((공수2!$N$7:$N$86=공수2!$N$2)*(공수2!$N$7:$N$86&lt;&gt;"")*(반배정!$K$7:$K$86=설정!$B$6))/COUNTIFS(반배정!$K$7:$K$86,설정!$B$6,공수2!$Y$7:$Y$86,"&gt;=0"),""))</f>
        <v/>
      </c>
      <c r="K40" s="50" t="str">
        <f aca="false">IF(F40="","",IFERROR(SUMPRODUCT((공수2!$N$7:$N$86=공수2!$N$2)*(공수2!$N$7:$N$86&lt;&gt;"")*(반배정!$K$7:$K$86=설정!$B$7))/COUNTIFS(반배정!$K$7:$K$86,설정!$B$7,공수2!$Y$7:$Y$86,"&gt;=0"),""))</f>
        <v/>
      </c>
      <c r="L40" s="50" t="str">
        <f aca="false">IF(F40="","",IFERROR(SUMPRODUCT((공수2!$N$7:$N$86=공수2!$N$2)*(공수2!$N$7:$N$86&lt;&gt;"")*(반배정!$K$7:$K$86=설정!$B$8))/COUNTIFS(반배정!$K$7:$K$86,설정!$B$8,공수2!$Y$7:$Y$86,"&gt;=0"),""))</f>
        <v/>
      </c>
      <c r="M40" s="51" t="str">
        <f aca="false">IF(OR(J40="",L40=""),"",J40-L40)</f>
        <v/>
      </c>
      <c r="N40" s="52" t="str">
        <f aca="false">IF(I40="","",IF(AND(M40&lt;&gt;"",M40&lt;0),"역변별·문항검토",IF(I40&gt;=0.9,"매우 쉬움",IF(I40&lt;=0.15,"매우 어려움",IF(AND(M40&lt;&gt;"",M40&lt;0.2),"변별력 낮음","양호")))))</f>
        <v/>
      </c>
      <c r="O40" s="52" t="str">
        <f aca="false">IF(G40=0,"",COUNTIF(공수2!$N$7:$N$86,1))</f>
        <v/>
      </c>
      <c r="P40" s="52" t="str">
        <f aca="false">IF(G40=0,"",COUNTIF(공수2!$N$7:$N$86,2))</f>
        <v/>
      </c>
      <c r="Q40" s="52" t="str">
        <f aca="false">IF(G40=0,"",COUNTIF(공수2!$N$7:$N$86,3))</f>
        <v/>
      </c>
      <c r="R40" s="52" t="str">
        <f aca="false">IF(G40=0,"",COUNTIF(공수2!$N$7:$N$86,4))</f>
        <v/>
      </c>
      <c r="S40" s="52" t="str">
        <f aca="false">IF(G40=0,"",COUNTIF(공수2!$N$7:$N$86,5))</f>
        <v/>
      </c>
    </row>
    <row r="41" customFormat="false" ht="15" hidden="false" customHeight="false" outlineLevel="0" collapsed="false">
      <c r="A41" s="9" t="n">
        <v>12</v>
      </c>
      <c r="B41" s="23" t="s">
        <v>182</v>
      </c>
      <c r="C41" s="47" t="str">
        <f aca="false">공수2!O4</f>
        <v>함수와 그래프</v>
      </c>
      <c r="D41" s="15" t="str">
        <f aca="false">공수2!O5</f>
        <v>상</v>
      </c>
      <c r="E41" s="15" t="n">
        <f aca="false">공수2!O3</f>
        <v>7</v>
      </c>
      <c r="F41" s="48" t="n">
        <f aca="false">IF(공수2!$O$2="","",공수2!$O$2)</f>
        <v>4</v>
      </c>
      <c r="G41" s="15" t="n">
        <f aca="false">COUNT(공수2!$Y$7:$Y$86)</f>
        <v>0</v>
      </c>
      <c r="H41" s="15" t="n">
        <f aca="false">IF(F41="","",SUMPRODUCT((공수2!$O$7:$O$86=공수2!$O$2)*(공수2!$O$7:$O$86&lt;&gt;"")))</f>
        <v>0</v>
      </c>
      <c r="I41" s="49" t="str">
        <f aca="false">IF(OR(F41="",G41=0),"",H41/G41)</f>
        <v/>
      </c>
      <c r="J41" s="50" t="str">
        <f aca="false">IF(F41="","",IFERROR(SUMPRODUCT((공수2!$O$7:$O$86=공수2!$O$2)*(공수2!$O$7:$O$86&lt;&gt;"")*(반배정!$K$7:$K$86=설정!$B$6))/COUNTIFS(반배정!$K$7:$K$86,설정!$B$6,공수2!$Y$7:$Y$86,"&gt;=0"),""))</f>
        <v/>
      </c>
      <c r="K41" s="50" t="str">
        <f aca="false">IF(F41="","",IFERROR(SUMPRODUCT((공수2!$O$7:$O$86=공수2!$O$2)*(공수2!$O$7:$O$86&lt;&gt;"")*(반배정!$K$7:$K$86=설정!$B$7))/COUNTIFS(반배정!$K$7:$K$86,설정!$B$7,공수2!$Y$7:$Y$86,"&gt;=0"),""))</f>
        <v/>
      </c>
      <c r="L41" s="50" t="str">
        <f aca="false">IF(F41="","",IFERROR(SUMPRODUCT((공수2!$O$7:$O$86=공수2!$O$2)*(공수2!$O$7:$O$86&lt;&gt;"")*(반배정!$K$7:$K$86=설정!$B$8))/COUNTIFS(반배정!$K$7:$K$86,설정!$B$8,공수2!$Y$7:$Y$86,"&gt;=0"),""))</f>
        <v/>
      </c>
      <c r="M41" s="51" t="str">
        <f aca="false">IF(OR(J41="",L41=""),"",J41-L41)</f>
        <v/>
      </c>
      <c r="N41" s="52" t="str">
        <f aca="false">IF(I41="","",IF(AND(M41&lt;&gt;"",M41&lt;0),"역변별·문항검토",IF(I41&gt;=0.9,"매우 쉬움",IF(I41&lt;=0.15,"매우 어려움",IF(AND(M41&lt;&gt;"",M41&lt;0.2),"변별력 낮음","양호")))))</f>
        <v/>
      </c>
      <c r="O41" s="52" t="str">
        <f aca="false">IF(G41=0,"",COUNTIF(공수2!$O$7:$O$86,1))</f>
        <v/>
      </c>
      <c r="P41" s="52" t="str">
        <f aca="false">IF(G41=0,"",COUNTIF(공수2!$O$7:$O$86,2))</f>
        <v/>
      </c>
      <c r="Q41" s="52" t="str">
        <f aca="false">IF(G41=0,"",COUNTIF(공수2!$O$7:$O$86,3))</f>
        <v/>
      </c>
      <c r="R41" s="52" t="str">
        <f aca="false">IF(G41=0,"",COUNTIF(공수2!$O$7:$O$86,4))</f>
        <v/>
      </c>
      <c r="S41" s="52" t="str">
        <f aca="false">IF(G41=0,"",COUNTIF(공수2!$O$7:$O$86,5))</f>
        <v/>
      </c>
    </row>
    <row r="42" customFormat="false" ht="15" hidden="false" customHeight="false" outlineLevel="0" collapsed="false">
      <c r="A42" s="9" t="n">
        <v>13</v>
      </c>
      <c r="B42" s="23" t="s">
        <v>182</v>
      </c>
      <c r="C42" s="47" t="str">
        <f aca="false">공수2!P4</f>
        <v>함수와 그래프</v>
      </c>
      <c r="D42" s="15" t="str">
        <f aca="false">공수2!P5</f>
        <v>상</v>
      </c>
      <c r="E42" s="15" t="n">
        <f aca="false">공수2!P3</f>
        <v>7</v>
      </c>
      <c r="F42" s="48" t="n">
        <f aca="false">IF(공수2!$P$2="","",공수2!$P$2)</f>
        <v>3</v>
      </c>
      <c r="G42" s="15" t="n">
        <f aca="false">COUNT(공수2!$Y$7:$Y$86)</f>
        <v>0</v>
      </c>
      <c r="H42" s="15" t="n">
        <f aca="false">IF(F42="","",SUMPRODUCT((공수2!$P$7:$P$86=공수2!$P$2)*(공수2!$P$7:$P$86&lt;&gt;"")))</f>
        <v>0</v>
      </c>
      <c r="I42" s="49" t="str">
        <f aca="false">IF(OR(F42="",G42=0),"",H42/G42)</f>
        <v/>
      </c>
      <c r="J42" s="50" t="str">
        <f aca="false">IF(F42="","",IFERROR(SUMPRODUCT((공수2!$P$7:$P$86=공수2!$P$2)*(공수2!$P$7:$P$86&lt;&gt;"")*(반배정!$K$7:$K$86=설정!$B$6))/COUNTIFS(반배정!$K$7:$K$86,설정!$B$6,공수2!$Y$7:$Y$86,"&gt;=0"),""))</f>
        <v/>
      </c>
      <c r="K42" s="50" t="str">
        <f aca="false">IF(F42="","",IFERROR(SUMPRODUCT((공수2!$P$7:$P$86=공수2!$P$2)*(공수2!$P$7:$P$86&lt;&gt;"")*(반배정!$K$7:$K$86=설정!$B$7))/COUNTIFS(반배정!$K$7:$K$86,설정!$B$7,공수2!$Y$7:$Y$86,"&gt;=0"),""))</f>
        <v/>
      </c>
      <c r="L42" s="50" t="str">
        <f aca="false">IF(F42="","",IFERROR(SUMPRODUCT((공수2!$P$7:$P$86=공수2!$P$2)*(공수2!$P$7:$P$86&lt;&gt;"")*(반배정!$K$7:$K$86=설정!$B$8))/COUNTIFS(반배정!$K$7:$K$86,설정!$B$8,공수2!$Y$7:$Y$86,"&gt;=0"),""))</f>
        <v/>
      </c>
      <c r="M42" s="51" t="str">
        <f aca="false">IF(OR(J42="",L42=""),"",J42-L42)</f>
        <v/>
      </c>
      <c r="N42" s="52" t="str">
        <f aca="false">IF(I42="","",IF(AND(M42&lt;&gt;"",M42&lt;0),"역변별·문항검토",IF(I42&gt;=0.9,"매우 쉬움",IF(I42&lt;=0.15,"매우 어려움",IF(AND(M42&lt;&gt;"",M42&lt;0.2),"변별력 낮음","양호")))))</f>
        <v/>
      </c>
      <c r="O42" s="52" t="str">
        <f aca="false">IF(G42=0,"",COUNTIF(공수2!$P$7:$P$86,1))</f>
        <v/>
      </c>
      <c r="P42" s="52" t="str">
        <f aca="false">IF(G42=0,"",COUNTIF(공수2!$P$7:$P$86,2))</f>
        <v/>
      </c>
      <c r="Q42" s="52" t="str">
        <f aca="false">IF(G42=0,"",COUNTIF(공수2!$P$7:$P$86,3))</f>
        <v/>
      </c>
      <c r="R42" s="52" t="str">
        <f aca="false">IF(G42=0,"",COUNTIF(공수2!$P$7:$P$86,4))</f>
        <v/>
      </c>
      <c r="S42" s="52" t="str">
        <f aca="false">IF(G42=0,"",COUNTIF(공수2!$P$7:$P$86,5))</f>
        <v/>
      </c>
    </row>
    <row r="43" customFormat="false" ht="15" hidden="false" customHeight="false" outlineLevel="0" collapsed="false">
      <c r="A43" s="9" t="n">
        <v>14</v>
      </c>
      <c r="B43" s="23" t="s">
        <v>182</v>
      </c>
      <c r="C43" s="47" t="str">
        <f aca="false">공수2!Q4</f>
        <v>도형의 방정식</v>
      </c>
      <c r="D43" s="15" t="str">
        <f aca="false">공수2!Q5</f>
        <v>최상</v>
      </c>
      <c r="E43" s="15" t="n">
        <f aca="false">공수2!Q3</f>
        <v>7</v>
      </c>
      <c r="F43" s="48" t="n">
        <f aca="false">IF(공수2!$Q$2="","",공수2!$Q$2)</f>
        <v>1</v>
      </c>
      <c r="G43" s="15" t="n">
        <f aca="false">COUNT(공수2!$Y$7:$Y$86)</f>
        <v>0</v>
      </c>
      <c r="H43" s="15" t="n">
        <f aca="false">IF(F43="","",SUMPRODUCT((공수2!$Q$7:$Q$86=공수2!$Q$2)*(공수2!$Q$7:$Q$86&lt;&gt;"")))</f>
        <v>0</v>
      </c>
      <c r="I43" s="49" t="str">
        <f aca="false">IF(OR(F43="",G43=0),"",H43/G43)</f>
        <v/>
      </c>
      <c r="J43" s="50" t="str">
        <f aca="false">IF(F43="","",IFERROR(SUMPRODUCT((공수2!$Q$7:$Q$86=공수2!$Q$2)*(공수2!$Q$7:$Q$86&lt;&gt;"")*(반배정!$K$7:$K$86=설정!$B$6))/COUNTIFS(반배정!$K$7:$K$86,설정!$B$6,공수2!$Y$7:$Y$86,"&gt;=0"),""))</f>
        <v/>
      </c>
      <c r="K43" s="50" t="str">
        <f aca="false">IF(F43="","",IFERROR(SUMPRODUCT((공수2!$Q$7:$Q$86=공수2!$Q$2)*(공수2!$Q$7:$Q$86&lt;&gt;"")*(반배정!$K$7:$K$86=설정!$B$7))/COUNTIFS(반배정!$K$7:$K$86,설정!$B$7,공수2!$Y$7:$Y$86,"&gt;=0"),""))</f>
        <v/>
      </c>
      <c r="L43" s="50" t="str">
        <f aca="false">IF(F43="","",IFERROR(SUMPRODUCT((공수2!$Q$7:$Q$86=공수2!$Q$2)*(공수2!$Q$7:$Q$86&lt;&gt;"")*(반배정!$K$7:$K$86=설정!$B$8))/COUNTIFS(반배정!$K$7:$K$86,설정!$B$8,공수2!$Y$7:$Y$86,"&gt;=0"),""))</f>
        <v/>
      </c>
      <c r="M43" s="51" t="str">
        <f aca="false">IF(OR(J43="",L43=""),"",J43-L43)</f>
        <v/>
      </c>
      <c r="N43" s="52" t="str">
        <f aca="false">IF(I43="","",IF(AND(M43&lt;&gt;"",M43&lt;0),"역변별·문항검토",IF(I43&gt;=0.9,"매우 쉬움",IF(I43&lt;=0.15,"매우 어려움",IF(AND(M43&lt;&gt;"",M43&lt;0.2),"변별력 낮음","양호")))))</f>
        <v/>
      </c>
      <c r="O43" s="52" t="str">
        <f aca="false">IF(G43=0,"",COUNTIF(공수2!$Q$7:$Q$86,1))</f>
        <v/>
      </c>
      <c r="P43" s="52" t="str">
        <f aca="false">IF(G43=0,"",COUNTIF(공수2!$Q$7:$Q$86,2))</f>
        <v/>
      </c>
      <c r="Q43" s="52" t="str">
        <f aca="false">IF(G43=0,"",COUNTIF(공수2!$Q$7:$Q$86,3))</f>
        <v/>
      </c>
      <c r="R43" s="52" t="str">
        <f aca="false">IF(G43=0,"",COUNTIF(공수2!$Q$7:$Q$86,4))</f>
        <v/>
      </c>
      <c r="S43" s="52" t="str">
        <f aca="false">IF(G43=0,"",COUNTIF(공수2!$Q$7:$Q$86,5))</f>
        <v/>
      </c>
    </row>
    <row r="44" customFormat="false" ht="15" hidden="false" customHeight="false" outlineLevel="0" collapsed="false">
      <c r="A44" s="9" t="n">
        <v>15</v>
      </c>
      <c r="B44" s="23" t="s">
        <v>183</v>
      </c>
      <c r="C44" s="47" t="str">
        <f aca="false">공수2!R4</f>
        <v>함수와 그래프</v>
      </c>
      <c r="D44" s="15" t="str">
        <f aca="false">공수2!R5</f>
        <v>하</v>
      </c>
      <c r="E44" s="15" t="n">
        <f aca="false">공수2!R3</f>
        <v>3</v>
      </c>
      <c r="F44" s="48" t="n">
        <f aca="false">IF(공수2!$R$2="","",공수2!$R$2)</f>
        <v>8</v>
      </c>
      <c r="G44" s="15" t="n">
        <f aca="false">COUNT(공수2!$Y$7:$Y$86)</f>
        <v>0</v>
      </c>
      <c r="H44" s="15" t="n">
        <f aca="false">IF(F44="","",SUMPRODUCT((공수2!$R$7:$R$86=공수2!$R$2)*(공수2!$R$7:$R$86&lt;&gt;"")))</f>
        <v>0</v>
      </c>
      <c r="I44" s="49" t="str">
        <f aca="false">IF(OR(F44="",G44=0),"",H44/G44)</f>
        <v/>
      </c>
      <c r="J44" s="50" t="str">
        <f aca="false">IF(F44="","",IFERROR(SUMPRODUCT((공수2!$R$7:$R$86=공수2!$R$2)*(공수2!$R$7:$R$86&lt;&gt;"")*(반배정!$K$7:$K$86=설정!$B$6))/COUNTIFS(반배정!$K$7:$K$86,설정!$B$6,공수2!$Y$7:$Y$86,"&gt;=0"),""))</f>
        <v/>
      </c>
      <c r="K44" s="50" t="str">
        <f aca="false">IF(F44="","",IFERROR(SUMPRODUCT((공수2!$R$7:$R$86=공수2!$R$2)*(공수2!$R$7:$R$86&lt;&gt;"")*(반배정!$K$7:$K$86=설정!$B$7))/COUNTIFS(반배정!$K$7:$K$86,설정!$B$7,공수2!$Y$7:$Y$86,"&gt;=0"),""))</f>
        <v/>
      </c>
      <c r="L44" s="50" t="str">
        <f aca="false">IF(F44="","",IFERROR(SUMPRODUCT((공수2!$R$7:$R$86=공수2!$R$2)*(공수2!$R$7:$R$86&lt;&gt;"")*(반배정!$K$7:$K$86=설정!$B$8))/COUNTIFS(반배정!$K$7:$K$86,설정!$B$8,공수2!$Y$7:$Y$86,"&gt;=0"),""))</f>
        <v/>
      </c>
      <c r="M44" s="51" t="str">
        <f aca="false">IF(OR(J44="",L44=""),"",J44-L44)</f>
        <v/>
      </c>
      <c r="N44" s="52" t="str">
        <f aca="false">IF(I44="","",IF(AND(M44&lt;&gt;"",M44&lt;0),"역변별·문항검토",IF(I44&gt;=0.9,"매우 쉬움",IF(I44&lt;=0.15,"매우 어려움",IF(AND(M44&lt;&gt;"",M44&lt;0.2),"변별력 낮음","양호")))))</f>
        <v/>
      </c>
      <c r="O44" s="53" t="s">
        <v>184</v>
      </c>
      <c r="P44" s="53" t="s">
        <v>184</v>
      </c>
      <c r="Q44" s="53" t="s">
        <v>184</v>
      </c>
      <c r="R44" s="53" t="s">
        <v>184</v>
      </c>
      <c r="S44" s="53" t="s">
        <v>184</v>
      </c>
    </row>
    <row r="45" customFormat="false" ht="15" hidden="false" customHeight="false" outlineLevel="0" collapsed="false">
      <c r="A45" s="9" t="n">
        <v>16</v>
      </c>
      <c r="B45" s="23" t="s">
        <v>183</v>
      </c>
      <c r="C45" s="47" t="str">
        <f aca="false">공수2!S4</f>
        <v>집합과 명제</v>
      </c>
      <c r="D45" s="15" t="str">
        <f aca="false">공수2!S5</f>
        <v>중하</v>
      </c>
      <c r="E45" s="15" t="n">
        <f aca="false">공수2!S3</f>
        <v>4</v>
      </c>
      <c r="F45" s="48" t="n">
        <f aca="false">IF(공수2!$S$2="","",공수2!$S$2)</f>
        <v>35</v>
      </c>
      <c r="G45" s="15" t="n">
        <f aca="false">COUNT(공수2!$Y$7:$Y$86)</f>
        <v>0</v>
      </c>
      <c r="H45" s="15" t="n">
        <f aca="false">IF(F45="","",SUMPRODUCT((공수2!$S$7:$S$86=공수2!$S$2)*(공수2!$S$7:$S$86&lt;&gt;"")))</f>
        <v>0</v>
      </c>
      <c r="I45" s="49" t="str">
        <f aca="false">IF(OR(F45="",G45=0),"",H45/G45)</f>
        <v/>
      </c>
      <c r="J45" s="50" t="str">
        <f aca="false">IF(F45="","",IFERROR(SUMPRODUCT((공수2!$S$7:$S$86=공수2!$S$2)*(공수2!$S$7:$S$86&lt;&gt;"")*(반배정!$K$7:$K$86=설정!$B$6))/COUNTIFS(반배정!$K$7:$K$86,설정!$B$6,공수2!$Y$7:$Y$86,"&gt;=0"),""))</f>
        <v/>
      </c>
      <c r="K45" s="50" t="str">
        <f aca="false">IF(F45="","",IFERROR(SUMPRODUCT((공수2!$S$7:$S$86=공수2!$S$2)*(공수2!$S$7:$S$86&lt;&gt;"")*(반배정!$K$7:$K$86=설정!$B$7))/COUNTIFS(반배정!$K$7:$K$86,설정!$B$7,공수2!$Y$7:$Y$86,"&gt;=0"),""))</f>
        <v/>
      </c>
      <c r="L45" s="50" t="str">
        <f aca="false">IF(F45="","",IFERROR(SUMPRODUCT((공수2!$S$7:$S$86=공수2!$S$2)*(공수2!$S$7:$S$86&lt;&gt;"")*(반배정!$K$7:$K$86=설정!$B$8))/COUNTIFS(반배정!$K$7:$K$86,설정!$B$8,공수2!$Y$7:$Y$86,"&gt;=0"),""))</f>
        <v/>
      </c>
      <c r="M45" s="51" t="str">
        <f aca="false">IF(OR(J45="",L45=""),"",J45-L45)</f>
        <v/>
      </c>
      <c r="N45" s="52" t="str">
        <f aca="false">IF(I45="","",IF(AND(M45&lt;&gt;"",M45&lt;0),"역변별·문항검토",IF(I45&gt;=0.9,"매우 쉬움",IF(I45&lt;=0.15,"매우 어려움",IF(AND(M45&lt;&gt;"",M45&lt;0.2),"변별력 낮음","양호")))))</f>
        <v/>
      </c>
      <c r="O45" s="53" t="s">
        <v>184</v>
      </c>
      <c r="P45" s="53" t="s">
        <v>184</v>
      </c>
      <c r="Q45" s="53" t="s">
        <v>184</v>
      </c>
      <c r="R45" s="53" t="s">
        <v>184</v>
      </c>
      <c r="S45" s="53" t="s">
        <v>184</v>
      </c>
    </row>
    <row r="46" customFormat="false" ht="15" hidden="false" customHeight="false" outlineLevel="0" collapsed="false">
      <c r="A46" s="9" t="n">
        <v>17</v>
      </c>
      <c r="B46" s="23" t="s">
        <v>183</v>
      </c>
      <c r="C46" s="47" t="str">
        <f aca="false">공수2!T4</f>
        <v>도형의 방정식</v>
      </c>
      <c r="D46" s="15" t="str">
        <f aca="false">공수2!T5</f>
        <v>중</v>
      </c>
      <c r="E46" s="15" t="n">
        <f aca="false">공수2!T3</f>
        <v>5</v>
      </c>
      <c r="F46" s="48" t="n">
        <f aca="false">IF(공수2!$T$2="","",공수2!$T$2)</f>
        <v>4</v>
      </c>
      <c r="G46" s="15" t="n">
        <f aca="false">COUNT(공수2!$Y$7:$Y$86)</f>
        <v>0</v>
      </c>
      <c r="H46" s="15" t="n">
        <f aca="false">IF(F46="","",SUMPRODUCT((공수2!$T$7:$T$86=공수2!$T$2)*(공수2!$T$7:$T$86&lt;&gt;"")))</f>
        <v>0</v>
      </c>
      <c r="I46" s="49" t="str">
        <f aca="false">IF(OR(F46="",G46=0),"",H46/G46)</f>
        <v/>
      </c>
      <c r="J46" s="50" t="str">
        <f aca="false">IF(F46="","",IFERROR(SUMPRODUCT((공수2!$T$7:$T$86=공수2!$T$2)*(공수2!$T$7:$T$86&lt;&gt;"")*(반배정!$K$7:$K$86=설정!$B$6))/COUNTIFS(반배정!$K$7:$K$86,설정!$B$6,공수2!$Y$7:$Y$86,"&gt;=0"),""))</f>
        <v/>
      </c>
      <c r="K46" s="50" t="str">
        <f aca="false">IF(F46="","",IFERROR(SUMPRODUCT((공수2!$T$7:$T$86=공수2!$T$2)*(공수2!$T$7:$T$86&lt;&gt;"")*(반배정!$K$7:$K$86=설정!$B$7))/COUNTIFS(반배정!$K$7:$K$86,설정!$B$7,공수2!$Y$7:$Y$86,"&gt;=0"),""))</f>
        <v/>
      </c>
      <c r="L46" s="50" t="str">
        <f aca="false">IF(F46="","",IFERROR(SUMPRODUCT((공수2!$T$7:$T$86=공수2!$T$2)*(공수2!$T$7:$T$86&lt;&gt;"")*(반배정!$K$7:$K$86=설정!$B$8))/COUNTIFS(반배정!$K$7:$K$86,설정!$B$8,공수2!$Y$7:$Y$86,"&gt;=0"),""))</f>
        <v/>
      </c>
      <c r="M46" s="51" t="str">
        <f aca="false">IF(OR(J46="",L46=""),"",J46-L46)</f>
        <v/>
      </c>
      <c r="N46" s="52" t="str">
        <f aca="false">IF(I46="","",IF(AND(M46&lt;&gt;"",M46&lt;0),"역변별·문항검토",IF(I46&gt;=0.9,"매우 쉬움",IF(I46&lt;=0.15,"매우 어려움",IF(AND(M46&lt;&gt;"",M46&lt;0.2),"변별력 낮음","양호")))))</f>
        <v/>
      </c>
      <c r="O46" s="53" t="s">
        <v>184</v>
      </c>
      <c r="P46" s="53" t="s">
        <v>184</v>
      </c>
      <c r="Q46" s="53" t="s">
        <v>184</v>
      </c>
      <c r="R46" s="53" t="s">
        <v>184</v>
      </c>
      <c r="S46" s="53" t="s">
        <v>184</v>
      </c>
    </row>
    <row r="47" customFormat="false" ht="15" hidden="false" customHeight="false" outlineLevel="0" collapsed="false">
      <c r="A47" s="9" t="n">
        <v>18</v>
      </c>
      <c r="B47" s="23" t="s">
        <v>183</v>
      </c>
      <c r="C47" s="47" t="str">
        <f aca="false">공수2!U4</f>
        <v>도형의 방정식</v>
      </c>
      <c r="D47" s="15" t="str">
        <f aca="false">공수2!U5</f>
        <v>중</v>
      </c>
      <c r="E47" s="15" t="n">
        <f aca="false">공수2!U3</f>
        <v>5</v>
      </c>
      <c r="F47" s="48" t="n">
        <f aca="false">IF(공수2!$U$2="","",공수2!$U$2)</f>
        <v>24</v>
      </c>
      <c r="G47" s="15" t="n">
        <f aca="false">COUNT(공수2!$Y$7:$Y$86)</f>
        <v>0</v>
      </c>
      <c r="H47" s="15" t="n">
        <f aca="false">IF(F47="","",SUMPRODUCT((공수2!$U$7:$U$86=공수2!$U$2)*(공수2!$U$7:$U$86&lt;&gt;"")))</f>
        <v>0</v>
      </c>
      <c r="I47" s="49" t="str">
        <f aca="false">IF(OR(F47="",G47=0),"",H47/G47)</f>
        <v/>
      </c>
      <c r="J47" s="50" t="str">
        <f aca="false">IF(F47="","",IFERROR(SUMPRODUCT((공수2!$U$7:$U$86=공수2!$U$2)*(공수2!$U$7:$U$86&lt;&gt;"")*(반배정!$K$7:$K$86=설정!$B$6))/COUNTIFS(반배정!$K$7:$K$86,설정!$B$6,공수2!$Y$7:$Y$86,"&gt;=0"),""))</f>
        <v/>
      </c>
      <c r="K47" s="50" t="str">
        <f aca="false">IF(F47="","",IFERROR(SUMPRODUCT((공수2!$U$7:$U$86=공수2!$U$2)*(공수2!$U$7:$U$86&lt;&gt;"")*(반배정!$K$7:$K$86=설정!$B$7))/COUNTIFS(반배정!$K$7:$K$86,설정!$B$7,공수2!$Y$7:$Y$86,"&gt;=0"),""))</f>
        <v/>
      </c>
      <c r="L47" s="50" t="str">
        <f aca="false">IF(F47="","",IFERROR(SUMPRODUCT((공수2!$U$7:$U$86=공수2!$U$2)*(공수2!$U$7:$U$86&lt;&gt;"")*(반배정!$K$7:$K$86=설정!$B$8))/COUNTIFS(반배정!$K$7:$K$86,설정!$B$8,공수2!$Y$7:$Y$86,"&gt;=0"),""))</f>
        <v/>
      </c>
      <c r="M47" s="51" t="str">
        <f aca="false">IF(OR(J47="",L47=""),"",J47-L47)</f>
        <v/>
      </c>
      <c r="N47" s="52" t="str">
        <f aca="false">IF(I47="","",IF(AND(M47&lt;&gt;"",M47&lt;0),"역변별·문항검토",IF(I47&gt;=0.9,"매우 쉬움",IF(I47&lt;=0.15,"매우 어려움",IF(AND(M47&lt;&gt;"",M47&lt;0.2),"변별력 낮음","양호")))))</f>
        <v/>
      </c>
      <c r="O47" s="53" t="s">
        <v>184</v>
      </c>
      <c r="P47" s="53" t="s">
        <v>184</v>
      </c>
      <c r="Q47" s="53" t="s">
        <v>184</v>
      </c>
      <c r="R47" s="53" t="s">
        <v>184</v>
      </c>
      <c r="S47" s="53" t="s">
        <v>184</v>
      </c>
    </row>
    <row r="48" customFormat="false" ht="15" hidden="false" customHeight="false" outlineLevel="0" collapsed="false">
      <c r="A48" s="9" t="n">
        <v>19</v>
      </c>
      <c r="B48" s="23" t="s">
        <v>183</v>
      </c>
      <c r="C48" s="47" t="str">
        <f aca="false">공수2!V4</f>
        <v>함수와 그래프</v>
      </c>
      <c r="D48" s="15" t="str">
        <f aca="false">공수2!V5</f>
        <v>중상</v>
      </c>
      <c r="E48" s="15" t="n">
        <f aca="false">공수2!V3</f>
        <v>6</v>
      </c>
      <c r="F48" s="48" t="n">
        <f aca="false">IF(공수2!$V$2="","",공수2!$V$2)</f>
        <v>19</v>
      </c>
      <c r="G48" s="15" t="n">
        <f aca="false">COUNT(공수2!$Y$7:$Y$86)</f>
        <v>0</v>
      </c>
      <c r="H48" s="15" t="n">
        <f aca="false">IF(F48="","",SUMPRODUCT((공수2!$V$7:$V$86=공수2!$V$2)*(공수2!$V$7:$V$86&lt;&gt;"")))</f>
        <v>0</v>
      </c>
      <c r="I48" s="49" t="str">
        <f aca="false">IF(OR(F48="",G48=0),"",H48/G48)</f>
        <v/>
      </c>
      <c r="J48" s="50" t="str">
        <f aca="false">IF(F48="","",IFERROR(SUMPRODUCT((공수2!$V$7:$V$86=공수2!$V$2)*(공수2!$V$7:$V$86&lt;&gt;"")*(반배정!$K$7:$K$86=설정!$B$6))/COUNTIFS(반배정!$K$7:$K$86,설정!$B$6,공수2!$Y$7:$Y$86,"&gt;=0"),""))</f>
        <v/>
      </c>
      <c r="K48" s="50" t="str">
        <f aca="false">IF(F48="","",IFERROR(SUMPRODUCT((공수2!$V$7:$V$86=공수2!$V$2)*(공수2!$V$7:$V$86&lt;&gt;"")*(반배정!$K$7:$K$86=설정!$B$7))/COUNTIFS(반배정!$K$7:$K$86,설정!$B$7,공수2!$Y$7:$Y$86,"&gt;=0"),""))</f>
        <v/>
      </c>
      <c r="L48" s="50" t="str">
        <f aca="false">IF(F48="","",IFERROR(SUMPRODUCT((공수2!$V$7:$V$86=공수2!$V$2)*(공수2!$V$7:$V$86&lt;&gt;"")*(반배정!$K$7:$K$86=설정!$B$8))/COUNTIFS(반배정!$K$7:$K$86,설정!$B$8,공수2!$Y$7:$Y$86,"&gt;=0"),""))</f>
        <v/>
      </c>
      <c r="M48" s="51" t="str">
        <f aca="false">IF(OR(J48="",L48=""),"",J48-L48)</f>
        <v/>
      </c>
      <c r="N48" s="52" t="str">
        <f aca="false">IF(I48="","",IF(AND(M48&lt;&gt;"",M48&lt;0),"역변별·문항검토",IF(I48&gt;=0.9,"매우 쉬움",IF(I48&lt;=0.15,"매우 어려움",IF(AND(M48&lt;&gt;"",M48&lt;0.2),"변별력 낮음","양호")))))</f>
        <v/>
      </c>
      <c r="O48" s="53" t="s">
        <v>184</v>
      </c>
      <c r="P48" s="53" t="s">
        <v>184</v>
      </c>
      <c r="Q48" s="53" t="s">
        <v>184</v>
      </c>
      <c r="R48" s="53" t="s">
        <v>184</v>
      </c>
      <c r="S48" s="53" t="s">
        <v>184</v>
      </c>
    </row>
    <row r="49" customFormat="false" ht="15" hidden="false" customHeight="false" outlineLevel="0" collapsed="false">
      <c r="A49" s="9" t="n">
        <v>20</v>
      </c>
      <c r="B49" s="23" t="s">
        <v>183</v>
      </c>
      <c r="C49" s="47" t="str">
        <f aca="false">공수2!W4</f>
        <v>집합과 명제</v>
      </c>
      <c r="D49" s="15" t="str">
        <f aca="false">공수2!W5</f>
        <v>최상</v>
      </c>
      <c r="E49" s="15" t="n">
        <f aca="false">공수2!W3</f>
        <v>8</v>
      </c>
      <c r="F49" s="48" t="n">
        <f aca="false">IF(공수2!$W$2="","",공수2!$W$2)</f>
        <v>15</v>
      </c>
      <c r="G49" s="15" t="n">
        <f aca="false">COUNT(공수2!$Y$7:$Y$86)</f>
        <v>0</v>
      </c>
      <c r="H49" s="15" t="n">
        <f aca="false">IF(F49="","",SUMPRODUCT((공수2!$W$7:$W$86=공수2!$W$2)*(공수2!$W$7:$W$86&lt;&gt;"")))</f>
        <v>0</v>
      </c>
      <c r="I49" s="49" t="str">
        <f aca="false">IF(OR(F49="",G49=0),"",H49/G49)</f>
        <v/>
      </c>
      <c r="J49" s="50" t="str">
        <f aca="false">IF(F49="","",IFERROR(SUMPRODUCT((공수2!$W$7:$W$86=공수2!$W$2)*(공수2!$W$7:$W$86&lt;&gt;"")*(반배정!$K$7:$K$86=설정!$B$6))/COUNTIFS(반배정!$K$7:$K$86,설정!$B$6,공수2!$Y$7:$Y$86,"&gt;=0"),""))</f>
        <v/>
      </c>
      <c r="K49" s="50" t="str">
        <f aca="false">IF(F49="","",IFERROR(SUMPRODUCT((공수2!$W$7:$W$86=공수2!$W$2)*(공수2!$W$7:$W$86&lt;&gt;"")*(반배정!$K$7:$K$86=설정!$B$7))/COUNTIFS(반배정!$K$7:$K$86,설정!$B$7,공수2!$Y$7:$Y$86,"&gt;=0"),""))</f>
        <v/>
      </c>
      <c r="L49" s="50" t="str">
        <f aca="false">IF(F49="","",IFERROR(SUMPRODUCT((공수2!$W$7:$W$86=공수2!$W$2)*(공수2!$W$7:$W$86&lt;&gt;"")*(반배정!$K$7:$K$86=설정!$B$8))/COUNTIFS(반배정!$K$7:$K$86,설정!$B$8,공수2!$Y$7:$Y$86,"&gt;=0"),""))</f>
        <v/>
      </c>
      <c r="M49" s="51" t="str">
        <f aca="false">IF(OR(J49="",L49=""),"",J49-L49)</f>
        <v/>
      </c>
      <c r="N49" s="52" t="str">
        <f aca="false">IF(I49="","",IF(AND(M49&lt;&gt;"",M49&lt;0),"역변별·문항검토",IF(I49&gt;=0.9,"매우 쉬움",IF(I49&lt;=0.15,"매우 어려움",IF(AND(M49&lt;&gt;"",M49&lt;0.2),"변별력 낮음","양호")))))</f>
        <v/>
      </c>
      <c r="O49" s="53" t="s">
        <v>184</v>
      </c>
      <c r="P49" s="53" t="s">
        <v>184</v>
      </c>
      <c r="Q49" s="53" t="s">
        <v>184</v>
      </c>
      <c r="R49" s="53" t="s">
        <v>184</v>
      </c>
      <c r="S49" s="53" t="s">
        <v>184</v>
      </c>
    </row>
  </sheetData>
  <mergeCells count="4">
    <mergeCell ref="A1:R1"/>
    <mergeCell ref="A2:R2"/>
    <mergeCell ref="A4:E4"/>
    <mergeCell ref="A28:E28"/>
  </mergeCells>
  <conditionalFormatting sqref="N6:N25">
    <cfRule type="expression" priority="2" aboveAverage="0" equalAverage="0" bottom="0" percent="0" rank="0" text="" dxfId="4">
      <formula>N6="양호"</formula>
    </cfRule>
    <cfRule type="expression" priority="3" aboveAverage="0" equalAverage="0" bottom="0" percent="0" rank="0" text="" dxfId="5">
      <formula>AND(N6&lt;&gt;"",N6&lt;&gt;"양호")</formula>
    </cfRule>
  </conditionalFormatting>
  <conditionalFormatting sqref="O6:S19">
    <cfRule type="expression" priority="4" aboveAverage="0" equalAverage="0" bottom="0" percent="0" rank="0" text="" dxfId="7">
      <formula>COLUMN(O6)-14=$F6</formula>
    </cfRule>
  </conditionalFormatting>
  <conditionalFormatting sqref="N30:N49">
    <cfRule type="expression" priority="5" aboveAverage="0" equalAverage="0" bottom="0" percent="0" rank="0" text="" dxfId="4">
      <formula>N30="양호"</formula>
    </cfRule>
    <cfRule type="expression" priority="6" aboveAverage="0" equalAverage="0" bottom="0" percent="0" rank="0" text="" dxfId="5">
      <formula>AND(N30&lt;&gt;"",N30&lt;&gt;"양호")</formula>
    </cfRule>
  </conditionalFormatting>
  <conditionalFormatting sqref="O30:S43">
    <cfRule type="expression" priority="7" aboveAverage="0" equalAverage="0" bottom="0" percent="0" rank="0" text="" dxfId="7">
      <formula>COLUMN(O30)-14=$F30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2026-10-07T14:43:25Z</dcterms:created>
  <dc:creator>openpyxl</dc:creator>
  <dc:description/>
  <dc:language>en-US</dc:language>
  <cp:lastModifiedBy/>
  <dcterms:modified xsi:type="dcterms:W3CDTF">2026-10-07T14:43:26Z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