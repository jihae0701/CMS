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9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COUNTIF($O$7:$O$156,S7)</f>
        <v/>
      </c>
      <c r="V7" s="32">
        <f>IFERROR(AVERAGEIF($O$7:$O$156,S7,$G$7:$G$156),"")</f>
        <v/>
      </c>
      <c r="W7" s="32">
        <f>IFERROR(AVERAGEIF($O$7:$O$156,S7,$H$7:$H$156),"")</f>
        <v/>
      </c>
      <c r="X7" s="10">
        <f>COUNTIFS($O$7:$O$156,S7,$D$7:$D$156,"재원")</f>
        <v/>
      </c>
      <c r="Y7" s="10">
        <f>COUNTIFS($O$7:$O$156,S7,$D$7:$D$156,"외부")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9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COUNTIF($O$7:$O$156,S8)</f>
        <v/>
      </c>
      <c r="V8" s="32">
        <f>IFERROR(AVERAGEIF($O$7:$O$156,S8,$G$7:$G$156),"")</f>
        <v/>
      </c>
      <c r="W8" s="32">
        <f>IFERROR(AVERAGEIF($O$7:$O$156,S8,$H$7:$H$156),"")</f>
        <v/>
      </c>
      <c r="X8" s="10">
        <f>COUNTIFS($O$7:$O$156,S8,$D$7:$D$156,"재원")</f>
        <v/>
      </c>
      <c r="Y8" s="10">
        <f>COUNTIFS($O$7:$O$156,S8,$D$7:$D$156,"외부")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9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COUNTIF($O$7:$O$156,S9)</f>
        <v/>
      </c>
      <c r="V9" s="32">
        <f>IFERROR(AVERAGEIF($O$7:$O$156,S9,$G$7:$G$156),"")</f>
        <v/>
      </c>
      <c r="W9" s="32">
        <f>IFERROR(AVERAGEIF($O$7:$O$156,S9,$H$7:$H$156),"")</f>
        <v/>
      </c>
      <c r="X9" s="10">
        <f>COUNTIFS($O$7:$O$156,S9,$D$7:$D$156,"재원")</f>
        <v/>
      </c>
      <c r="Y9" s="10">
        <f>COUNTIFS($O$7:$O$156,S9,$D$7:$D$156,"외부")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9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COUNTIF($O$7:$O$156,S10)</f>
        <v/>
      </c>
      <c r="V10" s="32">
        <f>IFERROR(AVERAGEIF($O$7:$O$156,S10,$G$7:$G$156),"")</f>
        <v/>
      </c>
      <c r="W10" s="32">
        <f>IFERROR(AVERAGEIF($O$7:$O$156,S10,$H$7:$H$156),"")</f>
        <v/>
      </c>
      <c r="X10" s="10">
        <f>COUNTIFS($O$7:$O$156,S10,$D$7:$D$156,"재원")</f>
        <v/>
      </c>
      <c r="Y10" s="10">
        <f>COUNTIFS($O$7:$O$156,S10,$D$7:$D$156,"외부")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9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IFERROR(AVERAGE($G$7:$G$156),"")</f>
        <v/>
      </c>
      <c r="W11" s="36">
        <f>IFERROR(AVERAGE($H$7:$H$156),"")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9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9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9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9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9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9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9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9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9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9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9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9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9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9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9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9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9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9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9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9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9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9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9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9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9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9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9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9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9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9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9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9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9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9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9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9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9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9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9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9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9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9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9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9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9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9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9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9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9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9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9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9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9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9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9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9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9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9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9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9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9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9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9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9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9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9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9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9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9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9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9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9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9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9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9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OR(G87="",H87=""),'설정'!$B$9,IF(AND(OR('설정'!$C$6="",G87&gt;='설정'!$C$6),OR('설정'!$D$6="",G87&lt;'설정'!$D$6),OR('설정'!$E$6="",H87&gt;='설정'!$E$6),OR('설정'!$F$6="",H87&lt;'설정'!$F$6)),'설정'!$B$6,IF(AND(OR('설정'!$C$7="",G87&gt;='설정'!$C$7),OR('설정'!$D$7="",G87&lt;'설정'!$D$7),OR('설정'!$E$7="",H87&gt;='설정'!$E$7),OR('설정'!$F$7="",H87&lt;'설정'!$F$7)),'설정'!$B$7,IF(AND(OR('설정'!$C$8="",G87&gt;='설정'!$C$8),OR('설정'!$D$8="",G87&lt;'설정'!$D$8),OR('설정'!$E$8="",H87&gt;='설정'!$E$8),OR('설정'!$F$8="",H87&lt;'설정'!$F$8)),'설정'!$B$8,'설정'!$B$9)))))</f>
        <v/>
      </c>
      <c r="L87" s="29">
        <f>IF(OR(G87="",H87=""),"",IF(SUMPRODUCT(ISNUMBER('설정'!$C$6:$D$8)*(ABS(G87-'설정'!$C$6:$D$8)&lt;='설정'!$C$15))+SUMPRODUCT(ISNUMBER('설정'!$E$6:$F$8)*(ABS(H87-'설정'!$E$6:$F$8)&lt;='설정'!$C$15))&gt;0,"경계",""))</f>
        <v/>
      </c>
      <c r="M87" s="7" t="n"/>
      <c r="N87" s="7" t="n"/>
      <c r="O87" s="27">
        <f>IF(M87&lt;&gt;"",M87,K87)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OR(G88="",H88=""),'설정'!$B$9,IF(AND(OR('설정'!$C$6="",G88&gt;='설정'!$C$6),OR('설정'!$D$6="",G88&lt;'설정'!$D$6),OR('설정'!$E$6="",H88&gt;='설정'!$E$6),OR('설정'!$F$6="",H88&lt;'설정'!$F$6)),'설정'!$B$6,IF(AND(OR('설정'!$C$7="",G88&gt;='설정'!$C$7),OR('설정'!$D$7="",G88&lt;'설정'!$D$7),OR('설정'!$E$7="",H88&gt;='설정'!$E$7),OR('설정'!$F$7="",H88&lt;'설정'!$F$7)),'설정'!$B$7,IF(AND(OR('설정'!$C$8="",G88&gt;='설정'!$C$8),OR('설정'!$D$8="",G88&lt;'설정'!$D$8),OR('설정'!$E$8="",H88&gt;='설정'!$E$8),OR('설정'!$F$8="",H88&lt;'설정'!$F$8)),'설정'!$B$8,'설정'!$B$9)))))</f>
        <v/>
      </c>
      <c r="L88" s="29">
        <f>IF(OR(G88="",H88=""),"",IF(SUMPRODUCT(ISNUMBER('설정'!$C$6:$D$8)*(ABS(G88-'설정'!$C$6:$D$8)&lt;='설정'!$C$15))+SUMPRODUCT(ISNUMBER('설정'!$E$6:$F$8)*(ABS(H88-'설정'!$E$6:$F$8)&lt;='설정'!$C$15))&gt;0,"경계",""))</f>
        <v/>
      </c>
      <c r="M88" s="7" t="n"/>
      <c r="N88" s="7" t="n"/>
      <c r="O88" s="27">
        <f>IF(M88&lt;&gt;"",M88,K88)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OR(G89="",H89=""),'설정'!$B$9,IF(AND(OR('설정'!$C$6="",G89&gt;='설정'!$C$6),OR('설정'!$D$6="",G89&lt;'설정'!$D$6),OR('설정'!$E$6="",H89&gt;='설정'!$E$6),OR('설정'!$F$6="",H89&lt;'설정'!$F$6)),'설정'!$B$6,IF(AND(OR('설정'!$C$7="",G89&gt;='설정'!$C$7),OR('설정'!$D$7="",G89&lt;'설정'!$D$7),OR('설정'!$E$7="",H89&gt;='설정'!$E$7),OR('설정'!$F$7="",H89&lt;'설정'!$F$7)),'설정'!$B$7,IF(AND(OR('설정'!$C$8="",G89&gt;='설정'!$C$8),OR('설정'!$D$8="",G89&lt;'설정'!$D$8),OR('설정'!$E$8="",H89&gt;='설정'!$E$8),OR('설정'!$F$8="",H89&lt;'설정'!$F$8)),'설정'!$B$8,'설정'!$B$9)))))</f>
        <v/>
      </c>
      <c r="L89" s="29">
        <f>IF(OR(G89="",H89=""),"",IF(SUMPRODUCT(ISNUMBER('설정'!$C$6:$D$8)*(ABS(G89-'설정'!$C$6:$D$8)&lt;='설정'!$C$15))+SUMPRODUCT(ISNUMBER('설정'!$E$6:$F$8)*(ABS(H89-'설정'!$E$6:$F$8)&lt;='설정'!$C$15))&gt;0,"경계",""))</f>
        <v/>
      </c>
      <c r="M89" s="7" t="n"/>
      <c r="N89" s="7" t="n"/>
      <c r="O89" s="27">
        <f>IF(M89&lt;&gt;"",M89,K89)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OR(G90="",H90=""),'설정'!$B$9,IF(AND(OR('설정'!$C$6="",G90&gt;='설정'!$C$6),OR('설정'!$D$6="",G90&lt;'설정'!$D$6),OR('설정'!$E$6="",H90&gt;='설정'!$E$6),OR('설정'!$F$6="",H90&lt;'설정'!$F$6)),'설정'!$B$6,IF(AND(OR('설정'!$C$7="",G90&gt;='설정'!$C$7),OR('설정'!$D$7="",G90&lt;'설정'!$D$7),OR('설정'!$E$7="",H90&gt;='설정'!$E$7),OR('설정'!$F$7="",H90&lt;'설정'!$F$7)),'설정'!$B$7,IF(AND(OR('설정'!$C$8="",G90&gt;='설정'!$C$8),OR('설정'!$D$8="",G90&lt;'설정'!$D$8),OR('설정'!$E$8="",H90&gt;='설정'!$E$8),OR('설정'!$F$8="",H90&lt;'설정'!$F$8)),'설정'!$B$8,'설정'!$B$9)))))</f>
        <v/>
      </c>
      <c r="L90" s="29">
        <f>IF(OR(G90="",H90=""),"",IF(SUMPRODUCT(ISNUMBER('설정'!$C$6:$D$8)*(ABS(G90-'설정'!$C$6:$D$8)&lt;='설정'!$C$15))+SUMPRODUCT(ISNUMBER('설정'!$E$6:$F$8)*(ABS(H90-'설정'!$E$6:$F$8)&lt;='설정'!$C$15))&gt;0,"경계",""))</f>
        <v/>
      </c>
      <c r="M90" s="7" t="n"/>
      <c r="N90" s="7" t="n"/>
      <c r="O90" s="27">
        <f>IF(M90&lt;&gt;"",M90,K90)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OR(G91="",H91=""),'설정'!$B$9,IF(AND(OR('설정'!$C$6="",G91&gt;='설정'!$C$6),OR('설정'!$D$6="",G91&lt;'설정'!$D$6),OR('설정'!$E$6="",H91&gt;='설정'!$E$6),OR('설정'!$F$6="",H91&lt;'설정'!$F$6)),'설정'!$B$6,IF(AND(OR('설정'!$C$7="",G91&gt;='설정'!$C$7),OR('설정'!$D$7="",G91&lt;'설정'!$D$7),OR('설정'!$E$7="",H91&gt;='설정'!$E$7),OR('설정'!$F$7="",H91&lt;'설정'!$F$7)),'설정'!$B$7,IF(AND(OR('설정'!$C$8="",G91&gt;='설정'!$C$8),OR('설정'!$D$8="",G91&lt;'설정'!$D$8),OR('설정'!$E$8="",H91&gt;='설정'!$E$8),OR('설정'!$F$8="",H91&lt;'설정'!$F$8)),'설정'!$B$8,'설정'!$B$9)))))</f>
        <v/>
      </c>
      <c r="L91" s="29">
        <f>IF(OR(G91="",H91=""),"",IF(SUMPRODUCT(ISNUMBER('설정'!$C$6:$D$8)*(ABS(G91-'설정'!$C$6:$D$8)&lt;='설정'!$C$15))+SUMPRODUCT(ISNUMBER('설정'!$E$6:$F$8)*(ABS(H91-'설정'!$E$6:$F$8)&lt;='설정'!$C$15))&gt;0,"경계",""))</f>
        <v/>
      </c>
      <c r="M91" s="7" t="n"/>
      <c r="N91" s="7" t="n"/>
      <c r="O91" s="27">
        <f>IF(M91&lt;&gt;"",M91,K91)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OR(G92="",H92=""),'설정'!$B$9,IF(AND(OR('설정'!$C$6="",G92&gt;='설정'!$C$6),OR('설정'!$D$6="",G92&lt;'설정'!$D$6),OR('설정'!$E$6="",H92&gt;='설정'!$E$6),OR('설정'!$F$6="",H92&lt;'설정'!$F$6)),'설정'!$B$6,IF(AND(OR('설정'!$C$7="",G92&gt;='설정'!$C$7),OR('설정'!$D$7="",G92&lt;'설정'!$D$7),OR('설정'!$E$7="",H92&gt;='설정'!$E$7),OR('설정'!$F$7="",H92&lt;'설정'!$F$7)),'설정'!$B$7,IF(AND(OR('설정'!$C$8="",G92&gt;='설정'!$C$8),OR('설정'!$D$8="",G92&lt;'설정'!$D$8),OR('설정'!$E$8="",H92&gt;='설정'!$E$8),OR('설정'!$F$8="",H92&lt;'설정'!$F$8)),'설정'!$B$8,'설정'!$B$9)))))</f>
        <v/>
      </c>
      <c r="L92" s="29">
        <f>IF(OR(G92="",H92=""),"",IF(SUMPRODUCT(ISNUMBER('설정'!$C$6:$D$8)*(ABS(G92-'설정'!$C$6:$D$8)&lt;='설정'!$C$15))+SUMPRODUCT(ISNUMBER('설정'!$E$6:$F$8)*(ABS(H92-'설정'!$E$6:$F$8)&lt;='설정'!$C$15))&gt;0,"경계",""))</f>
        <v/>
      </c>
      <c r="M92" s="7" t="n"/>
      <c r="N92" s="7" t="n"/>
      <c r="O92" s="27">
        <f>IF(M92&lt;&gt;"",M92,K92)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OR(G93="",H93=""),'설정'!$B$9,IF(AND(OR('설정'!$C$6="",G93&gt;='설정'!$C$6),OR('설정'!$D$6="",G93&lt;'설정'!$D$6),OR('설정'!$E$6="",H93&gt;='설정'!$E$6),OR('설정'!$F$6="",H93&lt;'설정'!$F$6)),'설정'!$B$6,IF(AND(OR('설정'!$C$7="",G93&gt;='설정'!$C$7),OR('설정'!$D$7="",G93&lt;'설정'!$D$7),OR('설정'!$E$7="",H93&gt;='설정'!$E$7),OR('설정'!$F$7="",H93&lt;'설정'!$F$7)),'설정'!$B$7,IF(AND(OR('설정'!$C$8="",G93&gt;='설정'!$C$8),OR('설정'!$D$8="",G93&lt;'설정'!$D$8),OR('설정'!$E$8="",H93&gt;='설정'!$E$8),OR('설정'!$F$8="",H93&lt;'설정'!$F$8)),'설정'!$B$8,'설정'!$B$9)))))</f>
        <v/>
      </c>
      <c r="L93" s="29">
        <f>IF(OR(G93="",H93=""),"",IF(SUMPRODUCT(ISNUMBER('설정'!$C$6:$D$8)*(ABS(G93-'설정'!$C$6:$D$8)&lt;='설정'!$C$15))+SUMPRODUCT(ISNUMBER('설정'!$E$6:$F$8)*(ABS(H93-'설정'!$E$6:$F$8)&lt;='설정'!$C$15))&gt;0,"경계",""))</f>
        <v/>
      </c>
      <c r="M93" s="7" t="n"/>
      <c r="N93" s="7" t="n"/>
      <c r="O93" s="27">
        <f>IF(M93&lt;&gt;"",M93,K93)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OR(G94="",H94=""),'설정'!$B$9,IF(AND(OR('설정'!$C$6="",G94&gt;='설정'!$C$6),OR('설정'!$D$6="",G94&lt;'설정'!$D$6),OR('설정'!$E$6="",H94&gt;='설정'!$E$6),OR('설정'!$F$6="",H94&lt;'설정'!$F$6)),'설정'!$B$6,IF(AND(OR('설정'!$C$7="",G94&gt;='설정'!$C$7),OR('설정'!$D$7="",G94&lt;'설정'!$D$7),OR('설정'!$E$7="",H94&gt;='설정'!$E$7),OR('설정'!$F$7="",H94&lt;'설정'!$F$7)),'설정'!$B$7,IF(AND(OR('설정'!$C$8="",G94&gt;='설정'!$C$8),OR('설정'!$D$8="",G94&lt;'설정'!$D$8),OR('설정'!$E$8="",H94&gt;='설정'!$E$8),OR('설정'!$F$8="",H94&lt;'설정'!$F$8)),'설정'!$B$8,'설정'!$B$9)))))</f>
        <v/>
      </c>
      <c r="L94" s="29">
        <f>IF(OR(G94="",H94=""),"",IF(SUMPRODUCT(ISNUMBER('설정'!$C$6:$D$8)*(ABS(G94-'설정'!$C$6:$D$8)&lt;='설정'!$C$15))+SUMPRODUCT(ISNUMBER('설정'!$E$6:$F$8)*(ABS(H94-'설정'!$E$6:$F$8)&lt;='설정'!$C$15))&gt;0,"경계",""))</f>
        <v/>
      </c>
      <c r="M94" s="7" t="n"/>
      <c r="N94" s="7" t="n"/>
      <c r="O94" s="27">
        <f>IF(M94&lt;&gt;"",M94,K94)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OR(G95="",H95=""),'설정'!$B$9,IF(AND(OR('설정'!$C$6="",G95&gt;='설정'!$C$6),OR('설정'!$D$6="",G95&lt;'설정'!$D$6),OR('설정'!$E$6="",H95&gt;='설정'!$E$6),OR('설정'!$F$6="",H95&lt;'설정'!$F$6)),'설정'!$B$6,IF(AND(OR('설정'!$C$7="",G95&gt;='설정'!$C$7),OR('설정'!$D$7="",G95&lt;'설정'!$D$7),OR('설정'!$E$7="",H95&gt;='설정'!$E$7),OR('설정'!$F$7="",H95&lt;'설정'!$F$7)),'설정'!$B$7,IF(AND(OR('설정'!$C$8="",G95&gt;='설정'!$C$8),OR('설정'!$D$8="",G95&lt;'설정'!$D$8),OR('설정'!$E$8="",H95&gt;='설정'!$E$8),OR('설정'!$F$8="",H95&lt;'설정'!$F$8)),'설정'!$B$8,'설정'!$B$9)))))</f>
        <v/>
      </c>
      <c r="L95" s="29">
        <f>IF(OR(G95="",H95=""),"",IF(SUMPRODUCT(ISNUMBER('설정'!$C$6:$D$8)*(ABS(G95-'설정'!$C$6:$D$8)&lt;='설정'!$C$15))+SUMPRODUCT(ISNUMBER('설정'!$E$6:$F$8)*(ABS(H95-'설정'!$E$6:$F$8)&lt;='설정'!$C$15))&gt;0,"경계",""))</f>
        <v/>
      </c>
      <c r="M95" s="7" t="n"/>
      <c r="N95" s="7" t="n"/>
      <c r="O95" s="27">
        <f>IF(M95&lt;&gt;"",M95,K95)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OR(G96="",H96=""),'설정'!$B$9,IF(AND(OR('설정'!$C$6="",G96&gt;='설정'!$C$6),OR('설정'!$D$6="",G96&lt;'설정'!$D$6),OR('설정'!$E$6="",H96&gt;='설정'!$E$6),OR('설정'!$F$6="",H96&lt;'설정'!$F$6)),'설정'!$B$6,IF(AND(OR('설정'!$C$7="",G96&gt;='설정'!$C$7),OR('설정'!$D$7="",G96&lt;'설정'!$D$7),OR('설정'!$E$7="",H96&gt;='설정'!$E$7),OR('설정'!$F$7="",H96&lt;'설정'!$F$7)),'설정'!$B$7,IF(AND(OR('설정'!$C$8="",G96&gt;='설정'!$C$8),OR('설정'!$D$8="",G96&lt;'설정'!$D$8),OR('설정'!$E$8="",H96&gt;='설정'!$E$8),OR('설정'!$F$8="",H96&lt;'설정'!$F$8)),'설정'!$B$8,'설정'!$B$9)))))</f>
        <v/>
      </c>
      <c r="L96" s="29">
        <f>IF(OR(G96="",H96=""),"",IF(SUMPRODUCT(ISNUMBER('설정'!$C$6:$D$8)*(ABS(G96-'설정'!$C$6:$D$8)&lt;='설정'!$C$15))+SUMPRODUCT(ISNUMBER('설정'!$E$6:$F$8)*(ABS(H96-'설정'!$E$6:$F$8)&lt;='설정'!$C$15))&gt;0,"경계",""))</f>
        <v/>
      </c>
      <c r="M96" s="7" t="n"/>
      <c r="N96" s="7" t="n"/>
      <c r="O96" s="27">
        <f>IF(M96&lt;&gt;"",M96,K96)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OR(G97="",H97=""),'설정'!$B$9,IF(AND(OR('설정'!$C$6="",G97&gt;='설정'!$C$6),OR('설정'!$D$6="",G97&lt;'설정'!$D$6),OR('설정'!$E$6="",H97&gt;='설정'!$E$6),OR('설정'!$F$6="",H97&lt;'설정'!$F$6)),'설정'!$B$6,IF(AND(OR('설정'!$C$7="",G97&gt;='설정'!$C$7),OR('설정'!$D$7="",G97&lt;'설정'!$D$7),OR('설정'!$E$7="",H97&gt;='설정'!$E$7),OR('설정'!$F$7="",H97&lt;'설정'!$F$7)),'설정'!$B$7,IF(AND(OR('설정'!$C$8="",G97&gt;='설정'!$C$8),OR('설정'!$D$8="",G97&lt;'설정'!$D$8),OR('설정'!$E$8="",H97&gt;='설정'!$E$8),OR('설정'!$F$8="",H97&lt;'설정'!$F$8)),'설정'!$B$8,'설정'!$B$9)))))</f>
        <v/>
      </c>
      <c r="L97" s="29">
        <f>IF(OR(G97="",H97=""),"",IF(SUMPRODUCT(ISNUMBER('설정'!$C$6:$D$8)*(ABS(G97-'설정'!$C$6:$D$8)&lt;='설정'!$C$15))+SUMPRODUCT(ISNUMBER('설정'!$E$6:$F$8)*(ABS(H97-'설정'!$E$6:$F$8)&lt;='설정'!$C$15))&gt;0,"경계",""))</f>
        <v/>
      </c>
      <c r="M97" s="7" t="n"/>
      <c r="N97" s="7" t="n"/>
      <c r="O97" s="27">
        <f>IF(M97&lt;&gt;"",M97,K97)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OR(G98="",H98=""),'설정'!$B$9,IF(AND(OR('설정'!$C$6="",G98&gt;='설정'!$C$6),OR('설정'!$D$6="",G98&lt;'설정'!$D$6),OR('설정'!$E$6="",H98&gt;='설정'!$E$6),OR('설정'!$F$6="",H98&lt;'설정'!$F$6)),'설정'!$B$6,IF(AND(OR('설정'!$C$7="",G98&gt;='설정'!$C$7),OR('설정'!$D$7="",G98&lt;'설정'!$D$7),OR('설정'!$E$7="",H98&gt;='설정'!$E$7),OR('설정'!$F$7="",H98&lt;'설정'!$F$7)),'설정'!$B$7,IF(AND(OR('설정'!$C$8="",G98&gt;='설정'!$C$8),OR('설정'!$D$8="",G98&lt;'설정'!$D$8),OR('설정'!$E$8="",H98&gt;='설정'!$E$8),OR('설정'!$F$8="",H98&lt;'설정'!$F$8)),'설정'!$B$8,'설정'!$B$9)))))</f>
        <v/>
      </c>
      <c r="L98" s="29">
        <f>IF(OR(G98="",H98=""),"",IF(SUMPRODUCT(ISNUMBER('설정'!$C$6:$D$8)*(ABS(G98-'설정'!$C$6:$D$8)&lt;='설정'!$C$15))+SUMPRODUCT(ISNUMBER('설정'!$E$6:$F$8)*(ABS(H98-'설정'!$E$6:$F$8)&lt;='설정'!$C$15))&gt;0,"경계",""))</f>
        <v/>
      </c>
      <c r="M98" s="7" t="n"/>
      <c r="N98" s="7" t="n"/>
      <c r="O98" s="27">
        <f>IF(M98&lt;&gt;"",M98,K98)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OR(G99="",H99=""),'설정'!$B$9,IF(AND(OR('설정'!$C$6="",G99&gt;='설정'!$C$6),OR('설정'!$D$6="",G99&lt;'설정'!$D$6),OR('설정'!$E$6="",H99&gt;='설정'!$E$6),OR('설정'!$F$6="",H99&lt;'설정'!$F$6)),'설정'!$B$6,IF(AND(OR('설정'!$C$7="",G99&gt;='설정'!$C$7),OR('설정'!$D$7="",G99&lt;'설정'!$D$7),OR('설정'!$E$7="",H99&gt;='설정'!$E$7),OR('설정'!$F$7="",H99&lt;'설정'!$F$7)),'설정'!$B$7,IF(AND(OR('설정'!$C$8="",G99&gt;='설정'!$C$8),OR('설정'!$D$8="",G99&lt;'설정'!$D$8),OR('설정'!$E$8="",H99&gt;='설정'!$E$8),OR('설정'!$F$8="",H99&lt;'설정'!$F$8)),'설정'!$B$8,'설정'!$B$9)))))</f>
        <v/>
      </c>
      <c r="L99" s="29">
        <f>IF(OR(G99="",H99=""),"",IF(SUMPRODUCT(ISNUMBER('설정'!$C$6:$D$8)*(ABS(G99-'설정'!$C$6:$D$8)&lt;='설정'!$C$15))+SUMPRODUCT(ISNUMBER('설정'!$E$6:$F$8)*(ABS(H99-'설정'!$E$6:$F$8)&lt;='설정'!$C$15))&gt;0,"경계",""))</f>
        <v/>
      </c>
      <c r="M99" s="7" t="n"/>
      <c r="N99" s="7" t="n"/>
      <c r="O99" s="27">
        <f>IF(M99&lt;&gt;"",M99,K99)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OR(G100="",H100=""),'설정'!$B$9,IF(AND(OR('설정'!$C$6="",G100&gt;='설정'!$C$6),OR('설정'!$D$6="",G100&lt;'설정'!$D$6),OR('설정'!$E$6="",H100&gt;='설정'!$E$6),OR('설정'!$F$6="",H100&lt;'설정'!$F$6)),'설정'!$B$6,IF(AND(OR('설정'!$C$7="",G100&gt;='설정'!$C$7),OR('설정'!$D$7="",G100&lt;'설정'!$D$7),OR('설정'!$E$7="",H100&gt;='설정'!$E$7),OR('설정'!$F$7="",H100&lt;'설정'!$F$7)),'설정'!$B$7,IF(AND(OR('설정'!$C$8="",G100&gt;='설정'!$C$8),OR('설정'!$D$8="",G100&lt;'설정'!$D$8),OR('설정'!$E$8="",H100&gt;='설정'!$E$8),OR('설정'!$F$8="",H100&lt;'설정'!$F$8)),'설정'!$B$8,'설정'!$B$9)))))</f>
        <v/>
      </c>
      <c r="L100" s="29">
        <f>IF(OR(G100="",H100=""),"",IF(SUMPRODUCT(ISNUMBER('설정'!$C$6:$D$8)*(ABS(G100-'설정'!$C$6:$D$8)&lt;='설정'!$C$15))+SUMPRODUCT(ISNUMBER('설정'!$E$6:$F$8)*(ABS(H100-'설정'!$E$6:$F$8)&lt;='설정'!$C$15))&gt;0,"경계",""))</f>
        <v/>
      </c>
      <c r="M100" s="7" t="n"/>
      <c r="N100" s="7" t="n"/>
      <c r="O100" s="27">
        <f>IF(M100&lt;&gt;"",M100,K100)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OR(G101="",H101=""),'설정'!$B$9,IF(AND(OR('설정'!$C$6="",G101&gt;='설정'!$C$6),OR('설정'!$D$6="",G101&lt;'설정'!$D$6),OR('설정'!$E$6="",H101&gt;='설정'!$E$6),OR('설정'!$F$6="",H101&lt;'설정'!$F$6)),'설정'!$B$6,IF(AND(OR('설정'!$C$7="",G101&gt;='설정'!$C$7),OR('설정'!$D$7="",G101&lt;'설정'!$D$7),OR('설정'!$E$7="",H101&gt;='설정'!$E$7),OR('설정'!$F$7="",H101&lt;'설정'!$F$7)),'설정'!$B$7,IF(AND(OR('설정'!$C$8="",G101&gt;='설정'!$C$8),OR('설정'!$D$8="",G101&lt;'설정'!$D$8),OR('설정'!$E$8="",H101&gt;='설정'!$E$8),OR('설정'!$F$8="",H101&lt;'설정'!$F$8)),'설정'!$B$8,'설정'!$B$9)))))</f>
        <v/>
      </c>
      <c r="L101" s="29">
        <f>IF(OR(G101="",H101=""),"",IF(SUMPRODUCT(ISNUMBER('설정'!$C$6:$D$8)*(ABS(G101-'설정'!$C$6:$D$8)&lt;='설정'!$C$15))+SUMPRODUCT(ISNUMBER('설정'!$E$6:$F$8)*(ABS(H101-'설정'!$E$6:$F$8)&lt;='설정'!$C$15))&gt;0,"경계",""))</f>
        <v/>
      </c>
      <c r="M101" s="7" t="n"/>
      <c r="N101" s="7" t="n"/>
      <c r="O101" s="27">
        <f>IF(M101&lt;&gt;"",M101,K101)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OR(G102="",H102=""),'설정'!$B$9,IF(AND(OR('설정'!$C$6="",G102&gt;='설정'!$C$6),OR('설정'!$D$6="",G102&lt;'설정'!$D$6),OR('설정'!$E$6="",H102&gt;='설정'!$E$6),OR('설정'!$F$6="",H102&lt;'설정'!$F$6)),'설정'!$B$6,IF(AND(OR('설정'!$C$7="",G102&gt;='설정'!$C$7),OR('설정'!$D$7="",G102&lt;'설정'!$D$7),OR('설정'!$E$7="",H102&gt;='설정'!$E$7),OR('설정'!$F$7="",H102&lt;'설정'!$F$7)),'설정'!$B$7,IF(AND(OR('설정'!$C$8="",G102&gt;='설정'!$C$8),OR('설정'!$D$8="",G102&lt;'설정'!$D$8),OR('설정'!$E$8="",H102&gt;='설정'!$E$8),OR('설정'!$F$8="",H102&lt;'설정'!$F$8)),'설정'!$B$8,'설정'!$B$9)))))</f>
        <v/>
      </c>
      <c r="L102" s="29">
        <f>IF(OR(G102="",H102=""),"",IF(SUMPRODUCT(ISNUMBER('설정'!$C$6:$D$8)*(ABS(G102-'설정'!$C$6:$D$8)&lt;='설정'!$C$15))+SUMPRODUCT(ISNUMBER('설정'!$E$6:$F$8)*(ABS(H102-'설정'!$E$6:$F$8)&lt;='설정'!$C$15))&gt;0,"경계",""))</f>
        <v/>
      </c>
      <c r="M102" s="7" t="n"/>
      <c r="N102" s="7" t="n"/>
      <c r="O102" s="27">
        <f>IF(M102&lt;&gt;"",M102,K102)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OR(G103="",H103=""),'설정'!$B$9,IF(AND(OR('설정'!$C$6="",G103&gt;='설정'!$C$6),OR('설정'!$D$6="",G103&lt;'설정'!$D$6),OR('설정'!$E$6="",H103&gt;='설정'!$E$6),OR('설정'!$F$6="",H103&lt;'설정'!$F$6)),'설정'!$B$6,IF(AND(OR('설정'!$C$7="",G103&gt;='설정'!$C$7),OR('설정'!$D$7="",G103&lt;'설정'!$D$7),OR('설정'!$E$7="",H103&gt;='설정'!$E$7),OR('설정'!$F$7="",H103&lt;'설정'!$F$7)),'설정'!$B$7,IF(AND(OR('설정'!$C$8="",G103&gt;='설정'!$C$8),OR('설정'!$D$8="",G103&lt;'설정'!$D$8),OR('설정'!$E$8="",H103&gt;='설정'!$E$8),OR('설정'!$F$8="",H103&lt;'설정'!$F$8)),'설정'!$B$8,'설정'!$B$9)))))</f>
        <v/>
      </c>
      <c r="L103" s="29">
        <f>IF(OR(G103="",H103=""),"",IF(SUMPRODUCT(ISNUMBER('설정'!$C$6:$D$8)*(ABS(G103-'설정'!$C$6:$D$8)&lt;='설정'!$C$15))+SUMPRODUCT(ISNUMBER('설정'!$E$6:$F$8)*(ABS(H103-'설정'!$E$6:$F$8)&lt;='설정'!$C$15))&gt;0,"경계",""))</f>
        <v/>
      </c>
      <c r="M103" s="7" t="n"/>
      <c r="N103" s="7" t="n"/>
      <c r="O103" s="27">
        <f>IF(M103&lt;&gt;"",M103,K103)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OR(G104="",H104=""),'설정'!$B$9,IF(AND(OR('설정'!$C$6="",G104&gt;='설정'!$C$6),OR('설정'!$D$6="",G104&lt;'설정'!$D$6),OR('설정'!$E$6="",H104&gt;='설정'!$E$6),OR('설정'!$F$6="",H104&lt;'설정'!$F$6)),'설정'!$B$6,IF(AND(OR('설정'!$C$7="",G104&gt;='설정'!$C$7),OR('설정'!$D$7="",G104&lt;'설정'!$D$7),OR('설정'!$E$7="",H104&gt;='설정'!$E$7),OR('설정'!$F$7="",H104&lt;'설정'!$F$7)),'설정'!$B$7,IF(AND(OR('설정'!$C$8="",G104&gt;='설정'!$C$8),OR('설정'!$D$8="",G104&lt;'설정'!$D$8),OR('설정'!$E$8="",H104&gt;='설정'!$E$8),OR('설정'!$F$8="",H104&lt;'설정'!$F$8)),'설정'!$B$8,'설정'!$B$9)))))</f>
        <v/>
      </c>
      <c r="L104" s="29">
        <f>IF(OR(G104="",H104=""),"",IF(SUMPRODUCT(ISNUMBER('설정'!$C$6:$D$8)*(ABS(G104-'설정'!$C$6:$D$8)&lt;='설정'!$C$15))+SUMPRODUCT(ISNUMBER('설정'!$E$6:$F$8)*(ABS(H104-'설정'!$E$6:$F$8)&lt;='설정'!$C$15))&gt;0,"경계",""))</f>
        <v/>
      </c>
      <c r="M104" s="7" t="n"/>
      <c r="N104" s="7" t="n"/>
      <c r="O104" s="27">
        <f>IF(M104&lt;&gt;"",M104,K104)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OR(G105="",H105=""),'설정'!$B$9,IF(AND(OR('설정'!$C$6="",G105&gt;='설정'!$C$6),OR('설정'!$D$6="",G105&lt;'설정'!$D$6),OR('설정'!$E$6="",H105&gt;='설정'!$E$6),OR('설정'!$F$6="",H105&lt;'설정'!$F$6)),'설정'!$B$6,IF(AND(OR('설정'!$C$7="",G105&gt;='설정'!$C$7),OR('설정'!$D$7="",G105&lt;'설정'!$D$7),OR('설정'!$E$7="",H105&gt;='설정'!$E$7),OR('설정'!$F$7="",H105&lt;'설정'!$F$7)),'설정'!$B$7,IF(AND(OR('설정'!$C$8="",G105&gt;='설정'!$C$8),OR('설정'!$D$8="",G105&lt;'설정'!$D$8),OR('설정'!$E$8="",H105&gt;='설정'!$E$8),OR('설정'!$F$8="",H105&lt;'설정'!$F$8)),'설정'!$B$8,'설정'!$B$9)))))</f>
        <v/>
      </c>
      <c r="L105" s="29">
        <f>IF(OR(G105="",H105=""),"",IF(SUMPRODUCT(ISNUMBER('설정'!$C$6:$D$8)*(ABS(G105-'설정'!$C$6:$D$8)&lt;='설정'!$C$15))+SUMPRODUCT(ISNUMBER('설정'!$E$6:$F$8)*(ABS(H105-'설정'!$E$6:$F$8)&lt;='설정'!$C$15))&gt;0,"경계",""))</f>
        <v/>
      </c>
      <c r="M105" s="7" t="n"/>
      <c r="N105" s="7" t="n"/>
      <c r="O105" s="27">
        <f>IF(M105&lt;&gt;"",M105,K105)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OR(G106="",H106=""),'설정'!$B$9,IF(AND(OR('설정'!$C$6="",G106&gt;='설정'!$C$6),OR('설정'!$D$6="",G106&lt;'설정'!$D$6),OR('설정'!$E$6="",H106&gt;='설정'!$E$6),OR('설정'!$F$6="",H106&lt;'설정'!$F$6)),'설정'!$B$6,IF(AND(OR('설정'!$C$7="",G106&gt;='설정'!$C$7),OR('설정'!$D$7="",G106&lt;'설정'!$D$7),OR('설정'!$E$7="",H106&gt;='설정'!$E$7),OR('설정'!$F$7="",H106&lt;'설정'!$F$7)),'설정'!$B$7,IF(AND(OR('설정'!$C$8="",G106&gt;='설정'!$C$8),OR('설정'!$D$8="",G106&lt;'설정'!$D$8),OR('설정'!$E$8="",H106&gt;='설정'!$E$8),OR('설정'!$F$8="",H106&lt;'설정'!$F$8)),'설정'!$B$8,'설정'!$B$9)))))</f>
        <v/>
      </c>
      <c r="L106" s="29">
        <f>IF(OR(G106="",H106=""),"",IF(SUMPRODUCT(ISNUMBER('설정'!$C$6:$D$8)*(ABS(G106-'설정'!$C$6:$D$8)&lt;='설정'!$C$15))+SUMPRODUCT(ISNUMBER('설정'!$E$6:$F$8)*(ABS(H106-'설정'!$E$6:$F$8)&lt;='설정'!$C$15))&gt;0,"경계",""))</f>
        <v/>
      </c>
      <c r="M106" s="7" t="n"/>
      <c r="N106" s="7" t="n"/>
      <c r="O106" s="27">
        <f>IF(M106&lt;&gt;"",M106,K106)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OR(G107="",H107=""),'설정'!$B$9,IF(AND(OR('설정'!$C$6="",G107&gt;='설정'!$C$6),OR('설정'!$D$6="",G107&lt;'설정'!$D$6),OR('설정'!$E$6="",H107&gt;='설정'!$E$6),OR('설정'!$F$6="",H107&lt;'설정'!$F$6)),'설정'!$B$6,IF(AND(OR('설정'!$C$7="",G107&gt;='설정'!$C$7),OR('설정'!$D$7="",G107&lt;'설정'!$D$7),OR('설정'!$E$7="",H107&gt;='설정'!$E$7),OR('설정'!$F$7="",H107&lt;'설정'!$F$7)),'설정'!$B$7,IF(AND(OR('설정'!$C$8="",G107&gt;='설정'!$C$8),OR('설정'!$D$8="",G107&lt;'설정'!$D$8),OR('설정'!$E$8="",H107&gt;='설정'!$E$8),OR('설정'!$F$8="",H107&lt;'설정'!$F$8)),'설정'!$B$8,'설정'!$B$9)))))</f>
        <v/>
      </c>
      <c r="L107" s="29">
        <f>IF(OR(G107="",H107=""),"",IF(SUMPRODUCT(ISNUMBER('설정'!$C$6:$D$8)*(ABS(G107-'설정'!$C$6:$D$8)&lt;='설정'!$C$15))+SUMPRODUCT(ISNUMBER('설정'!$E$6:$F$8)*(ABS(H107-'설정'!$E$6:$F$8)&lt;='설정'!$C$15))&gt;0,"경계",""))</f>
        <v/>
      </c>
      <c r="M107" s="7" t="n"/>
      <c r="N107" s="7" t="n"/>
      <c r="O107" s="27">
        <f>IF(M107&lt;&gt;"",M107,K107)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OR(G108="",H108=""),'설정'!$B$9,IF(AND(OR('설정'!$C$6="",G108&gt;='설정'!$C$6),OR('설정'!$D$6="",G108&lt;'설정'!$D$6),OR('설정'!$E$6="",H108&gt;='설정'!$E$6),OR('설정'!$F$6="",H108&lt;'설정'!$F$6)),'설정'!$B$6,IF(AND(OR('설정'!$C$7="",G108&gt;='설정'!$C$7),OR('설정'!$D$7="",G108&lt;'설정'!$D$7),OR('설정'!$E$7="",H108&gt;='설정'!$E$7),OR('설정'!$F$7="",H108&lt;'설정'!$F$7)),'설정'!$B$7,IF(AND(OR('설정'!$C$8="",G108&gt;='설정'!$C$8),OR('설정'!$D$8="",G108&lt;'설정'!$D$8),OR('설정'!$E$8="",H108&gt;='설정'!$E$8),OR('설정'!$F$8="",H108&lt;'설정'!$F$8)),'설정'!$B$8,'설정'!$B$9)))))</f>
        <v/>
      </c>
      <c r="L108" s="29">
        <f>IF(OR(G108="",H108=""),"",IF(SUMPRODUCT(ISNUMBER('설정'!$C$6:$D$8)*(ABS(G108-'설정'!$C$6:$D$8)&lt;='설정'!$C$15))+SUMPRODUCT(ISNUMBER('설정'!$E$6:$F$8)*(ABS(H108-'설정'!$E$6:$F$8)&lt;='설정'!$C$15))&gt;0,"경계",""))</f>
        <v/>
      </c>
      <c r="M108" s="7" t="n"/>
      <c r="N108" s="7" t="n"/>
      <c r="O108" s="27">
        <f>IF(M108&lt;&gt;"",M108,K108)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OR(G109="",H109=""),'설정'!$B$9,IF(AND(OR('설정'!$C$6="",G109&gt;='설정'!$C$6),OR('설정'!$D$6="",G109&lt;'설정'!$D$6),OR('설정'!$E$6="",H109&gt;='설정'!$E$6),OR('설정'!$F$6="",H109&lt;'설정'!$F$6)),'설정'!$B$6,IF(AND(OR('설정'!$C$7="",G109&gt;='설정'!$C$7),OR('설정'!$D$7="",G109&lt;'설정'!$D$7),OR('설정'!$E$7="",H109&gt;='설정'!$E$7),OR('설정'!$F$7="",H109&lt;'설정'!$F$7)),'설정'!$B$7,IF(AND(OR('설정'!$C$8="",G109&gt;='설정'!$C$8),OR('설정'!$D$8="",G109&lt;'설정'!$D$8),OR('설정'!$E$8="",H109&gt;='설정'!$E$8),OR('설정'!$F$8="",H109&lt;'설정'!$F$8)),'설정'!$B$8,'설정'!$B$9)))))</f>
        <v/>
      </c>
      <c r="L109" s="29">
        <f>IF(OR(G109="",H109=""),"",IF(SUMPRODUCT(ISNUMBER('설정'!$C$6:$D$8)*(ABS(G109-'설정'!$C$6:$D$8)&lt;='설정'!$C$15))+SUMPRODUCT(ISNUMBER('설정'!$E$6:$F$8)*(ABS(H109-'설정'!$E$6:$F$8)&lt;='설정'!$C$15))&gt;0,"경계",""))</f>
        <v/>
      </c>
      <c r="M109" s="7" t="n"/>
      <c r="N109" s="7" t="n"/>
      <c r="O109" s="27">
        <f>IF(M109&lt;&gt;"",M109,K109)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OR(G110="",H110=""),'설정'!$B$9,IF(AND(OR('설정'!$C$6="",G110&gt;='설정'!$C$6),OR('설정'!$D$6="",G110&lt;'설정'!$D$6),OR('설정'!$E$6="",H110&gt;='설정'!$E$6),OR('설정'!$F$6="",H110&lt;'설정'!$F$6)),'설정'!$B$6,IF(AND(OR('설정'!$C$7="",G110&gt;='설정'!$C$7),OR('설정'!$D$7="",G110&lt;'설정'!$D$7),OR('설정'!$E$7="",H110&gt;='설정'!$E$7),OR('설정'!$F$7="",H110&lt;'설정'!$F$7)),'설정'!$B$7,IF(AND(OR('설정'!$C$8="",G110&gt;='설정'!$C$8),OR('설정'!$D$8="",G110&lt;'설정'!$D$8),OR('설정'!$E$8="",H110&gt;='설정'!$E$8),OR('설정'!$F$8="",H110&lt;'설정'!$F$8)),'설정'!$B$8,'설정'!$B$9)))))</f>
        <v/>
      </c>
      <c r="L110" s="29">
        <f>IF(OR(G110="",H110=""),"",IF(SUMPRODUCT(ISNUMBER('설정'!$C$6:$D$8)*(ABS(G110-'설정'!$C$6:$D$8)&lt;='설정'!$C$15))+SUMPRODUCT(ISNUMBER('설정'!$E$6:$F$8)*(ABS(H110-'설정'!$E$6:$F$8)&lt;='설정'!$C$15))&gt;0,"경계",""))</f>
        <v/>
      </c>
      <c r="M110" s="7" t="n"/>
      <c r="N110" s="7" t="n"/>
      <c r="O110" s="27">
        <f>IF(M110&lt;&gt;"",M110,K110)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OR(G111="",H111=""),'설정'!$B$9,IF(AND(OR('설정'!$C$6="",G111&gt;='설정'!$C$6),OR('설정'!$D$6="",G111&lt;'설정'!$D$6),OR('설정'!$E$6="",H111&gt;='설정'!$E$6),OR('설정'!$F$6="",H111&lt;'설정'!$F$6)),'설정'!$B$6,IF(AND(OR('설정'!$C$7="",G111&gt;='설정'!$C$7),OR('설정'!$D$7="",G111&lt;'설정'!$D$7),OR('설정'!$E$7="",H111&gt;='설정'!$E$7),OR('설정'!$F$7="",H111&lt;'설정'!$F$7)),'설정'!$B$7,IF(AND(OR('설정'!$C$8="",G111&gt;='설정'!$C$8),OR('설정'!$D$8="",G111&lt;'설정'!$D$8),OR('설정'!$E$8="",H111&gt;='설정'!$E$8),OR('설정'!$F$8="",H111&lt;'설정'!$F$8)),'설정'!$B$8,'설정'!$B$9)))))</f>
        <v/>
      </c>
      <c r="L111" s="29">
        <f>IF(OR(G111="",H111=""),"",IF(SUMPRODUCT(ISNUMBER('설정'!$C$6:$D$8)*(ABS(G111-'설정'!$C$6:$D$8)&lt;='설정'!$C$15))+SUMPRODUCT(ISNUMBER('설정'!$E$6:$F$8)*(ABS(H111-'설정'!$E$6:$F$8)&lt;='설정'!$C$15))&gt;0,"경계",""))</f>
        <v/>
      </c>
      <c r="M111" s="7" t="n"/>
      <c r="N111" s="7" t="n"/>
      <c r="O111" s="27">
        <f>IF(M111&lt;&gt;"",M111,K111)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OR(G112="",H112=""),'설정'!$B$9,IF(AND(OR('설정'!$C$6="",G112&gt;='설정'!$C$6),OR('설정'!$D$6="",G112&lt;'설정'!$D$6),OR('설정'!$E$6="",H112&gt;='설정'!$E$6),OR('설정'!$F$6="",H112&lt;'설정'!$F$6)),'설정'!$B$6,IF(AND(OR('설정'!$C$7="",G112&gt;='설정'!$C$7),OR('설정'!$D$7="",G112&lt;'설정'!$D$7),OR('설정'!$E$7="",H112&gt;='설정'!$E$7),OR('설정'!$F$7="",H112&lt;'설정'!$F$7)),'설정'!$B$7,IF(AND(OR('설정'!$C$8="",G112&gt;='설정'!$C$8),OR('설정'!$D$8="",G112&lt;'설정'!$D$8),OR('설정'!$E$8="",H112&gt;='설정'!$E$8),OR('설정'!$F$8="",H112&lt;'설정'!$F$8)),'설정'!$B$8,'설정'!$B$9)))))</f>
        <v/>
      </c>
      <c r="L112" s="29">
        <f>IF(OR(G112="",H112=""),"",IF(SUMPRODUCT(ISNUMBER('설정'!$C$6:$D$8)*(ABS(G112-'설정'!$C$6:$D$8)&lt;='설정'!$C$15))+SUMPRODUCT(ISNUMBER('설정'!$E$6:$F$8)*(ABS(H112-'설정'!$E$6:$F$8)&lt;='설정'!$C$15))&gt;0,"경계",""))</f>
        <v/>
      </c>
      <c r="M112" s="7" t="n"/>
      <c r="N112" s="7" t="n"/>
      <c r="O112" s="27">
        <f>IF(M112&lt;&gt;"",M112,K112)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OR(G113="",H113=""),'설정'!$B$9,IF(AND(OR('설정'!$C$6="",G113&gt;='설정'!$C$6),OR('설정'!$D$6="",G113&lt;'설정'!$D$6),OR('설정'!$E$6="",H113&gt;='설정'!$E$6),OR('설정'!$F$6="",H113&lt;'설정'!$F$6)),'설정'!$B$6,IF(AND(OR('설정'!$C$7="",G113&gt;='설정'!$C$7),OR('설정'!$D$7="",G113&lt;'설정'!$D$7),OR('설정'!$E$7="",H113&gt;='설정'!$E$7),OR('설정'!$F$7="",H113&lt;'설정'!$F$7)),'설정'!$B$7,IF(AND(OR('설정'!$C$8="",G113&gt;='설정'!$C$8),OR('설정'!$D$8="",G113&lt;'설정'!$D$8),OR('설정'!$E$8="",H113&gt;='설정'!$E$8),OR('설정'!$F$8="",H113&lt;'설정'!$F$8)),'설정'!$B$8,'설정'!$B$9)))))</f>
        <v/>
      </c>
      <c r="L113" s="29">
        <f>IF(OR(G113="",H113=""),"",IF(SUMPRODUCT(ISNUMBER('설정'!$C$6:$D$8)*(ABS(G113-'설정'!$C$6:$D$8)&lt;='설정'!$C$15))+SUMPRODUCT(ISNUMBER('설정'!$E$6:$F$8)*(ABS(H113-'설정'!$E$6:$F$8)&lt;='설정'!$C$15))&gt;0,"경계",""))</f>
        <v/>
      </c>
      <c r="M113" s="7" t="n"/>
      <c r="N113" s="7" t="n"/>
      <c r="O113" s="27">
        <f>IF(M113&lt;&gt;"",M113,K113)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OR(G114="",H114=""),'설정'!$B$9,IF(AND(OR('설정'!$C$6="",G114&gt;='설정'!$C$6),OR('설정'!$D$6="",G114&lt;'설정'!$D$6),OR('설정'!$E$6="",H114&gt;='설정'!$E$6),OR('설정'!$F$6="",H114&lt;'설정'!$F$6)),'설정'!$B$6,IF(AND(OR('설정'!$C$7="",G114&gt;='설정'!$C$7),OR('설정'!$D$7="",G114&lt;'설정'!$D$7),OR('설정'!$E$7="",H114&gt;='설정'!$E$7),OR('설정'!$F$7="",H114&lt;'설정'!$F$7)),'설정'!$B$7,IF(AND(OR('설정'!$C$8="",G114&gt;='설정'!$C$8),OR('설정'!$D$8="",G114&lt;'설정'!$D$8),OR('설정'!$E$8="",H114&gt;='설정'!$E$8),OR('설정'!$F$8="",H114&lt;'설정'!$F$8)),'설정'!$B$8,'설정'!$B$9)))))</f>
        <v/>
      </c>
      <c r="L114" s="29">
        <f>IF(OR(G114="",H114=""),"",IF(SUMPRODUCT(ISNUMBER('설정'!$C$6:$D$8)*(ABS(G114-'설정'!$C$6:$D$8)&lt;='설정'!$C$15))+SUMPRODUCT(ISNUMBER('설정'!$E$6:$F$8)*(ABS(H114-'설정'!$E$6:$F$8)&lt;='설정'!$C$15))&gt;0,"경계",""))</f>
        <v/>
      </c>
      <c r="M114" s="7" t="n"/>
      <c r="N114" s="7" t="n"/>
      <c r="O114" s="27">
        <f>IF(M114&lt;&gt;"",M114,K114)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OR(G115="",H115=""),'설정'!$B$9,IF(AND(OR('설정'!$C$6="",G115&gt;='설정'!$C$6),OR('설정'!$D$6="",G115&lt;'설정'!$D$6),OR('설정'!$E$6="",H115&gt;='설정'!$E$6),OR('설정'!$F$6="",H115&lt;'설정'!$F$6)),'설정'!$B$6,IF(AND(OR('설정'!$C$7="",G115&gt;='설정'!$C$7),OR('설정'!$D$7="",G115&lt;'설정'!$D$7),OR('설정'!$E$7="",H115&gt;='설정'!$E$7),OR('설정'!$F$7="",H115&lt;'설정'!$F$7)),'설정'!$B$7,IF(AND(OR('설정'!$C$8="",G115&gt;='설정'!$C$8),OR('설정'!$D$8="",G115&lt;'설정'!$D$8),OR('설정'!$E$8="",H115&gt;='설정'!$E$8),OR('설정'!$F$8="",H115&lt;'설정'!$F$8)),'설정'!$B$8,'설정'!$B$9)))))</f>
        <v/>
      </c>
      <c r="L115" s="29">
        <f>IF(OR(G115="",H115=""),"",IF(SUMPRODUCT(ISNUMBER('설정'!$C$6:$D$8)*(ABS(G115-'설정'!$C$6:$D$8)&lt;='설정'!$C$15))+SUMPRODUCT(ISNUMBER('설정'!$E$6:$F$8)*(ABS(H115-'설정'!$E$6:$F$8)&lt;='설정'!$C$15))&gt;0,"경계",""))</f>
        <v/>
      </c>
      <c r="M115" s="7" t="n"/>
      <c r="N115" s="7" t="n"/>
      <c r="O115" s="27">
        <f>IF(M115&lt;&gt;"",M115,K115)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OR(G116="",H116=""),'설정'!$B$9,IF(AND(OR('설정'!$C$6="",G116&gt;='설정'!$C$6),OR('설정'!$D$6="",G116&lt;'설정'!$D$6),OR('설정'!$E$6="",H116&gt;='설정'!$E$6),OR('설정'!$F$6="",H116&lt;'설정'!$F$6)),'설정'!$B$6,IF(AND(OR('설정'!$C$7="",G116&gt;='설정'!$C$7),OR('설정'!$D$7="",G116&lt;'설정'!$D$7),OR('설정'!$E$7="",H116&gt;='설정'!$E$7),OR('설정'!$F$7="",H116&lt;'설정'!$F$7)),'설정'!$B$7,IF(AND(OR('설정'!$C$8="",G116&gt;='설정'!$C$8),OR('설정'!$D$8="",G116&lt;'설정'!$D$8),OR('설정'!$E$8="",H116&gt;='설정'!$E$8),OR('설정'!$F$8="",H116&lt;'설정'!$F$8)),'설정'!$B$8,'설정'!$B$9)))))</f>
        <v/>
      </c>
      <c r="L116" s="29">
        <f>IF(OR(G116="",H116=""),"",IF(SUMPRODUCT(ISNUMBER('설정'!$C$6:$D$8)*(ABS(G116-'설정'!$C$6:$D$8)&lt;='설정'!$C$15))+SUMPRODUCT(ISNUMBER('설정'!$E$6:$F$8)*(ABS(H116-'설정'!$E$6:$F$8)&lt;='설정'!$C$15))&gt;0,"경계",""))</f>
        <v/>
      </c>
      <c r="M116" s="7" t="n"/>
      <c r="N116" s="7" t="n"/>
      <c r="O116" s="27">
        <f>IF(M116&lt;&gt;"",M116,K116)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OR(G117="",H117=""),'설정'!$B$9,IF(AND(OR('설정'!$C$6="",G117&gt;='설정'!$C$6),OR('설정'!$D$6="",G117&lt;'설정'!$D$6),OR('설정'!$E$6="",H117&gt;='설정'!$E$6),OR('설정'!$F$6="",H117&lt;'설정'!$F$6)),'설정'!$B$6,IF(AND(OR('설정'!$C$7="",G117&gt;='설정'!$C$7),OR('설정'!$D$7="",G117&lt;'설정'!$D$7),OR('설정'!$E$7="",H117&gt;='설정'!$E$7),OR('설정'!$F$7="",H117&lt;'설정'!$F$7)),'설정'!$B$7,IF(AND(OR('설정'!$C$8="",G117&gt;='설정'!$C$8),OR('설정'!$D$8="",G117&lt;'설정'!$D$8),OR('설정'!$E$8="",H117&gt;='설정'!$E$8),OR('설정'!$F$8="",H117&lt;'설정'!$F$8)),'설정'!$B$8,'설정'!$B$9)))))</f>
        <v/>
      </c>
      <c r="L117" s="29">
        <f>IF(OR(G117="",H117=""),"",IF(SUMPRODUCT(ISNUMBER('설정'!$C$6:$D$8)*(ABS(G117-'설정'!$C$6:$D$8)&lt;='설정'!$C$15))+SUMPRODUCT(ISNUMBER('설정'!$E$6:$F$8)*(ABS(H117-'설정'!$E$6:$F$8)&lt;='설정'!$C$15))&gt;0,"경계",""))</f>
        <v/>
      </c>
      <c r="M117" s="7" t="n"/>
      <c r="N117" s="7" t="n"/>
      <c r="O117" s="27">
        <f>IF(M117&lt;&gt;"",M117,K117)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OR(G118="",H118=""),'설정'!$B$9,IF(AND(OR('설정'!$C$6="",G118&gt;='설정'!$C$6),OR('설정'!$D$6="",G118&lt;'설정'!$D$6),OR('설정'!$E$6="",H118&gt;='설정'!$E$6),OR('설정'!$F$6="",H118&lt;'설정'!$F$6)),'설정'!$B$6,IF(AND(OR('설정'!$C$7="",G118&gt;='설정'!$C$7),OR('설정'!$D$7="",G118&lt;'설정'!$D$7),OR('설정'!$E$7="",H118&gt;='설정'!$E$7),OR('설정'!$F$7="",H118&lt;'설정'!$F$7)),'설정'!$B$7,IF(AND(OR('설정'!$C$8="",G118&gt;='설정'!$C$8),OR('설정'!$D$8="",G118&lt;'설정'!$D$8),OR('설정'!$E$8="",H118&gt;='설정'!$E$8),OR('설정'!$F$8="",H118&lt;'설정'!$F$8)),'설정'!$B$8,'설정'!$B$9)))))</f>
        <v/>
      </c>
      <c r="L118" s="29">
        <f>IF(OR(G118="",H118=""),"",IF(SUMPRODUCT(ISNUMBER('설정'!$C$6:$D$8)*(ABS(G118-'설정'!$C$6:$D$8)&lt;='설정'!$C$15))+SUMPRODUCT(ISNUMBER('설정'!$E$6:$F$8)*(ABS(H118-'설정'!$E$6:$F$8)&lt;='설정'!$C$15))&gt;0,"경계",""))</f>
        <v/>
      </c>
      <c r="M118" s="7" t="n"/>
      <c r="N118" s="7" t="n"/>
      <c r="O118" s="27">
        <f>IF(M118&lt;&gt;"",M118,K118)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OR(G119="",H119=""),'설정'!$B$9,IF(AND(OR('설정'!$C$6="",G119&gt;='설정'!$C$6),OR('설정'!$D$6="",G119&lt;'설정'!$D$6),OR('설정'!$E$6="",H119&gt;='설정'!$E$6),OR('설정'!$F$6="",H119&lt;'설정'!$F$6)),'설정'!$B$6,IF(AND(OR('설정'!$C$7="",G119&gt;='설정'!$C$7),OR('설정'!$D$7="",G119&lt;'설정'!$D$7),OR('설정'!$E$7="",H119&gt;='설정'!$E$7),OR('설정'!$F$7="",H119&lt;'설정'!$F$7)),'설정'!$B$7,IF(AND(OR('설정'!$C$8="",G119&gt;='설정'!$C$8),OR('설정'!$D$8="",G119&lt;'설정'!$D$8),OR('설정'!$E$8="",H119&gt;='설정'!$E$8),OR('설정'!$F$8="",H119&lt;'설정'!$F$8)),'설정'!$B$8,'설정'!$B$9)))))</f>
        <v/>
      </c>
      <c r="L119" s="29">
        <f>IF(OR(G119="",H119=""),"",IF(SUMPRODUCT(ISNUMBER('설정'!$C$6:$D$8)*(ABS(G119-'설정'!$C$6:$D$8)&lt;='설정'!$C$15))+SUMPRODUCT(ISNUMBER('설정'!$E$6:$F$8)*(ABS(H119-'설정'!$E$6:$F$8)&lt;='설정'!$C$15))&gt;0,"경계",""))</f>
        <v/>
      </c>
      <c r="M119" s="7" t="n"/>
      <c r="N119" s="7" t="n"/>
      <c r="O119" s="27">
        <f>IF(M119&lt;&gt;"",M119,K119)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OR(G120="",H120=""),'설정'!$B$9,IF(AND(OR('설정'!$C$6="",G120&gt;='설정'!$C$6),OR('설정'!$D$6="",G120&lt;'설정'!$D$6),OR('설정'!$E$6="",H120&gt;='설정'!$E$6),OR('설정'!$F$6="",H120&lt;'설정'!$F$6)),'설정'!$B$6,IF(AND(OR('설정'!$C$7="",G120&gt;='설정'!$C$7),OR('설정'!$D$7="",G120&lt;'설정'!$D$7),OR('설정'!$E$7="",H120&gt;='설정'!$E$7),OR('설정'!$F$7="",H120&lt;'설정'!$F$7)),'설정'!$B$7,IF(AND(OR('설정'!$C$8="",G120&gt;='설정'!$C$8),OR('설정'!$D$8="",G120&lt;'설정'!$D$8),OR('설정'!$E$8="",H120&gt;='설정'!$E$8),OR('설정'!$F$8="",H120&lt;'설정'!$F$8)),'설정'!$B$8,'설정'!$B$9)))))</f>
        <v/>
      </c>
      <c r="L120" s="29">
        <f>IF(OR(G120="",H120=""),"",IF(SUMPRODUCT(ISNUMBER('설정'!$C$6:$D$8)*(ABS(G120-'설정'!$C$6:$D$8)&lt;='설정'!$C$15))+SUMPRODUCT(ISNUMBER('설정'!$E$6:$F$8)*(ABS(H120-'설정'!$E$6:$F$8)&lt;='설정'!$C$15))&gt;0,"경계",""))</f>
        <v/>
      </c>
      <c r="M120" s="7" t="n"/>
      <c r="N120" s="7" t="n"/>
      <c r="O120" s="27">
        <f>IF(M120&lt;&gt;"",M120,K120)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OR(G121="",H121=""),'설정'!$B$9,IF(AND(OR('설정'!$C$6="",G121&gt;='설정'!$C$6),OR('설정'!$D$6="",G121&lt;'설정'!$D$6),OR('설정'!$E$6="",H121&gt;='설정'!$E$6),OR('설정'!$F$6="",H121&lt;'설정'!$F$6)),'설정'!$B$6,IF(AND(OR('설정'!$C$7="",G121&gt;='설정'!$C$7),OR('설정'!$D$7="",G121&lt;'설정'!$D$7),OR('설정'!$E$7="",H121&gt;='설정'!$E$7),OR('설정'!$F$7="",H121&lt;'설정'!$F$7)),'설정'!$B$7,IF(AND(OR('설정'!$C$8="",G121&gt;='설정'!$C$8),OR('설정'!$D$8="",G121&lt;'설정'!$D$8),OR('설정'!$E$8="",H121&gt;='설정'!$E$8),OR('설정'!$F$8="",H121&lt;'설정'!$F$8)),'설정'!$B$8,'설정'!$B$9)))))</f>
        <v/>
      </c>
      <c r="L121" s="29">
        <f>IF(OR(G121="",H121=""),"",IF(SUMPRODUCT(ISNUMBER('설정'!$C$6:$D$8)*(ABS(G121-'설정'!$C$6:$D$8)&lt;='설정'!$C$15))+SUMPRODUCT(ISNUMBER('설정'!$E$6:$F$8)*(ABS(H121-'설정'!$E$6:$F$8)&lt;='설정'!$C$15))&gt;0,"경계",""))</f>
        <v/>
      </c>
      <c r="M121" s="7" t="n"/>
      <c r="N121" s="7" t="n"/>
      <c r="O121" s="27">
        <f>IF(M121&lt;&gt;"",M121,K121)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OR(G122="",H122=""),'설정'!$B$9,IF(AND(OR('설정'!$C$6="",G122&gt;='설정'!$C$6),OR('설정'!$D$6="",G122&lt;'설정'!$D$6),OR('설정'!$E$6="",H122&gt;='설정'!$E$6),OR('설정'!$F$6="",H122&lt;'설정'!$F$6)),'설정'!$B$6,IF(AND(OR('설정'!$C$7="",G122&gt;='설정'!$C$7),OR('설정'!$D$7="",G122&lt;'설정'!$D$7),OR('설정'!$E$7="",H122&gt;='설정'!$E$7),OR('설정'!$F$7="",H122&lt;'설정'!$F$7)),'설정'!$B$7,IF(AND(OR('설정'!$C$8="",G122&gt;='설정'!$C$8),OR('설정'!$D$8="",G122&lt;'설정'!$D$8),OR('설정'!$E$8="",H122&gt;='설정'!$E$8),OR('설정'!$F$8="",H122&lt;'설정'!$F$8)),'설정'!$B$8,'설정'!$B$9)))))</f>
        <v/>
      </c>
      <c r="L122" s="29">
        <f>IF(OR(G122="",H122=""),"",IF(SUMPRODUCT(ISNUMBER('설정'!$C$6:$D$8)*(ABS(G122-'설정'!$C$6:$D$8)&lt;='설정'!$C$15))+SUMPRODUCT(ISNUMBER('설정'!$E$6:$F$8)*(ABS(H122-'설정'!$E$6:$F$8)&lt;='설정'!$C$15))&gt;0,"경계",""))</f>
        <v/>
      </c>
      <c r="M122" s="7" t="n"/>
      <c r="N122" s="7" t="n"/>
      <c r="O122" s="27">
        <f>IF(M122&lt;&gt;"",M122,K122)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OR(G123="",H123=""),'설정'!$B$9,IF(AND(OR('설정'!$C$6="",G123&gt;='설정'!$C$6),OR('설정'!$D$6="",G123&lt;'설정'!$D$6),OR('설정'!$E$6="",H123&gt;='설정'!$E$6),OR('설정'!$F$6="",H123&lt;'설정'!$F$6)),'설정'!$B$6,IF(AND(OR('설정'!$C$7="",G123&gt;='설정'!$C$7),OR('설정'!$D$7="",G123&lt;'설정'!$D$7),OR('설정'!$E$7="",H123&gt;='설정'!$E$7),OR('설정'!$F$7="",H123&lt;'설정'!$F$7)),'설정'!$B$7,IF(AND(OR('설정'!$C$8="",G123&gt;='설정'!$C$8),OR('설정'!$D$8="",G123&lt;'설정'!$D$8),OR('설정'!$E$8="",H123&gt;='설정'!$E$8),OR('설정'!$F$8="",H123&lt;'설정'!$F$8)),'설정'!$B$8,'설정'!$B$9)))))</f>
        <v/>
      </c>
      <c r="L123" s="29">
        <f>IF(OR(G123="",H123=""),"",IF(SUMPRODUCT(ISNUMBER('설정'!$C$6:$D$8)*(ABS(G123-'설정'!$C$6:$D$8)&lt;='설정'!$C$15))+SUMPRODUCT(ISNUMBER('설정'!$E$6:$F$8)*(ABS(H123-'설정'!$E$6:$F$8)&lt;='설정'!$C$15))&gt;0,"경계",""))</f>
        <v/>
      </c>
      <c r="M123" s="7" t="n"/>
      <c r="N123" s="7" t="n"/>
      <c r="O123" s="27">
        <f>IF(M123&lt;&gt;"",M123,K123)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OR(G124="",H124=""),'설정'!$B$9,IF(AND(OR('설정'!$C$6="",G124&gt;='설정'!$C$6),OR('설정'!$D$6="",G124&lt;'설정'!$D$6),OR('설정'!$E$6="",H124&gt;='설정'!$E$6),OR('설정'!$F$6="",H124&lt;'설정'!$F$6)),'설정'!$B$6,IF(AND(OR('설정'!$C$7="",G124&gt;='설정'!$C$7),OR('설정'!$D$7="",G124&lt;'설정'!$D$7),OR('설정'!$E$7="",H124&gt;='설정'!$E$7),OR('설정'!$F$7="",H124&lt;'설정'!$F$7)),'설정'!$B$7,IF(AND(OR('설정'!$C$8="",G124&gt;='설정'!$C$8),OR('설정'!$D$8="",G124&lt;'설정'!$D$8),OR('설정'!$E$8="",H124&gt;='설정'!$E$8),OR('설정'!$F$8="",H124&lt;'설정'!$F$8)),'설정'!$B$8,'설정'!$B$9)))))</f>
        <v/>
      </c>
      <c r="L124" s="29">
        <f>IF(OR(G124="",H124=""),"",IF(SUMPRODUCT(ISNUMBER('설정'!$C$6:$D$8)*(ABS(G124-'설정'!$C$6:$D$8)&lt;='설정'!$C$15))+SUMPRODUCT(ISNUMBER('설정'!$E$6:$F$8)*(ABS(H124-'설정'!$E$6:$F$8)&lt;='설정'!$C$15))&gt;0,"경계",""))</f>
        <v/>
      </c>
      <c r="M124" s="7" t="n"/>
      <c r="N124" s="7" t="n"/>
      <c r="O124" s="27">
        <f>IF(M124&lt;&gt;"",M124,K124)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OR(G125="",H125=""),'설정'!$B$9,IF(AND(OR('설정'!$C$6="",G125&gt;='설정'!$C$6),OR('설정'!$D$6="",G125&lt;'설정'!$D$6),OR('설정'!$E$6="",H125&gt;='설정'!$E$6),OR('설정'!$F$6="",H125&lt;'설정'!$F$6)),'설정'!$B$6,IF(AND(OR('설정'!$C$7="",G125&gt;='설정'!$C$7),OR('설정'!$D$7="",G125&lt;'설정'!$D$7),OR('설정'!$E$7="",H125&gt;='설정'!$E$7),OR('설정'!$F$7="",H125&lt;'설정'!$F$7)),'설정'!$B$7,IF(AND(OR('설정'!$C$8="",G125&gt;='설정'!$C$8),OR('설정'!$D$8="",G125&lt;'설정'!$D$8),OR('설정'!$E$8="",H125&gt;='설정'!$E$8),OR('설정'!$F$8="",H125&lt;'설정'!$F$8)),'설정'!$B$8,'설정'!$B$9)))))</f>
        <v/>
      </c>
      <c r="L125" s="29">
        <f>IF(OR(G125="",H125=""),"",IF(SUMPRODUCT(ISNUMBER('설정'!$C$6:$D$8)*(ABS(G125-'설정'!$C$6:$D$8)&lt;='설정'!$C$15))+SUMPRODUCT(ISNUMBER('설정'!$E$6:$F$8)*(ABS(H125-'설정'!$E$6:$F$8)&lt;='설정'!$C$15))&gt;0,"경계",""))</f>
        <v/>
      </c>
      <c r="M125" s="7" t="n"/>
      <c r="N125" s="7" t="n"/>
      <c r="O125" s="27">
        <f>IF(M125&lt;&gt;"",M125,K125)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OR(G126="",H126=""),'설정'!$B$9,IF(AND(OR('설정'!$C$6="",G126&gt;='설정'!$C$6),OR('설정'!$D$6="",G126&lt;'설정'!$D$6),OR('설정'!$E$6="",H126&gt;='설정'!$E$6),OR('설정'!$F$6="",H126&lt;'설정'!$F$6)),'설정'!$B$6,IF(AND(OR('설정'!$C$7="",G126&gt;='설정'!$C$7),OR('설정'!$D$7="",G126&lt;'설정'!$D$7),OR('설정'!$E$7="",H126&gt;='설정'!$E$7),OR('설정'!$F$7="",H126&lt;'설정'!$F$7)),'설정'!$B$7,IF(AND(OR('설정'!$C$8="",G126&gt;='설정'!$C$8),OR('설정'!$D$8="",G126&lt;'설정'!$D$8),OR('설정'!$E$8="",H126&gt;='설정'!$E$8),OR('설정'!$F$8="",H126&lt;'설정'!$F$8)),'설정'!$B$8,'설정'!$B$9)))))</f>
        <v/>
      </c>
      <c r="L126" s="29">
        <f>IF(OR(G126="",H126=""),"",IF(SUMPRODUCT(ISNUMBER('설정'!$C$6:$D$8)*(ABS(G126-'설정'!$C$6:$D$8)&lt;='설정'!$C$15))+SUMPRODUCT(ISNUMBER('설정'!$E$6:$F$8)*(ABS(H126-'설정'!$E$6:$F$8)&lt;='설정'!$C$15))&gt;0,"경계",""))</f>
        <v/>
      </c>
      <c r="M126" s="7" t="n"/>
      <c r="N126" s="7" t="n"/>
      <c r="O126" s="27">
        <f>IF(M126&lt;&gt;"",M126,K126)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OR(G127="",H127=""),'설정'!$B$9,IF(AND(OR('설정'!$C$6="",G127&gt;='설정'!$C$6),OR('설정'!$D$6="",G127&lt;'설정'!$D$6),OR('설정'!$E$6="",H127&gt;='설정'!$E$6),OR('설정'!$F$6="",H127&lt;'설정'!$F$6)),'설정'!$B$6,IF(AND(OR('설정'!$C$7="",G127&gt;='설정'!$C$7),OR('설정'!$D$7="",G127&lt;'설정'!$D$7),OR('설정'!$E$7="",H127&gt;='설정'!$E$7),OR('설정'!$F$7="",H127&lt;'설정'!$F$7)),'설정'!$B$7,IF(AND(OR('설정'!$C$8="",G127&gt;='설정'!$C$8),OR('설정'!$D$8="",G127&lt;'설정'!$D$8),OR('설정'!$E$8="",H127&gt;='설정'!$E$8),OR('설정'!$F$8="",H127&lt;'설정'!$F$8)),'설정'!$B$8,'설정'!$B$9)))))</f>
        <v/>
      </c>
      <c r="L127" s="29">
        <f>IF(OR(G127="",H127=""),"",IF(SUMPRODUCT(ISNUMBER('설정'!$C$6:$D$8)*(ABS(G127-'설정'!$C$6:$D$8)&lt;='설정'!$C$15))+SUMPRODUCT(ISNUMBER('설정'!$E$6:$F$8)*(ABS(H127-'설정'!$E$6:$F$8)&lt;='설정'!$C$15))&gt;0,"경계",""))</f>
        <v/>
      </c>
      <c r="M127" s="7" t="n"/>
      <c r="N127" s="7" t="n"/>
      <c r="O127" s="27">
        <f>IF(M127&lt;&gt;"",M127,K127)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OR(G128="",H128=""),'설정'!$B$9,IF(AND(OR('설정'!$C$6="",G128&gt;='설정'!$C$6),OR('설정'!$D$6="",G128&lt;'설정'!$D$6),OR('설정'!$E$6="",H128&gt;='설정'!$E$6),OR('설정'!$F$6="",H128&lt;'설정'!$F$6)),'설정'!$B$6,IF(AND(OR('설정'!$C$7="",G128&gt;='설정'!$C$7),OR('설정'!$D$7="",G128&lt;'설정'!$D$7),OR('설정'!$E$7="",H128&gt;='설정'!$E$7),OR('설정'!$F$7="",H128&lt;'설정'!$F$7)),'설정'!$B$7,IF(AND(OR('설정'!$C$8="",G128&gt;='설정'!$C$8),OR('설정'!$D$8="",G128&lt;'설정'!$D$8),OR('설정'!$E$8="",H128&gt;='설정'!$E$8),OR('설정'!$F$8="",H128&lt;'설정'!$F$8)),'설정'!$B$8,'설정'!$B$9)))))</f>
        <v/>
      </c>
      <c r="L128" s="29">
        <f>IF(OR(G128="",H128=""),"",IF(SUMPRODUCT(ISNUMBER('설정'!$C$6:$D$8)*(ABS(G128-'설정'!$C$6:$D$8)&lt;='설정'!$C$15))+SUMPRODUCT(ISNUMBER('설정'!$E$6:$F$8)*(ABS(H128-'설정'!$E$6:$F$8)&lt;='설정'!$C$15))&gt;0,"경계",""))</f>
        <v/>
      </c>
      <c r="M128" s="7" t="n"/>
      <c r="N128" s="7" t="n"/>
      <c r="O128" s="27">
        <f>IF(M128&lt;&gt;"",M128,K128)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OR(G129="",H129=""),'설정'!$B$9,IF(AND(OR('설정'!$C$6="",G129&gt;='설정'!$C$6),OR('설정'!$D$6="",G129&lt;'설정'!$D$6),OR('설정'!$E$6="",H129&gt;='설정'!$E$6),OR('설정'!$F$6="",H129&lt;'설정'!$F$6)),'설정'!$B$6,IF(AND(OR('설정'!$C$7="",G129&gt;='설정'!$C$7),OR('설정'!$D$7="",G129&lt;'설정'!$D$7),OR('설정'!$E$7="",H129&gt;='설정'!$E$7),OR('설정'!$F$7="",H129&lt;'설정'!$F$7)),'설정'!$B$7,IF(AND(OR('설정'!$C$8="",G129&gt;='설정'!$C$8),OR('설정'!$D$8="",G129&lt;'설정'!$D$8),OR('설정'!$E$8="",H129&gt;='설정'!$E$8),OR('설정'!$F$8="",H129&lt;'설정'!$F$8)),'설정'!$B$8,'설정'!$B$9)))))</f>
        <v/>
      </c>
      <c r="L129" s="29">
        <f>IF(OR(G129="",H129=""),"",IF(SUMPRODUCT(ISNUMBER('설정'!$C$6:$D$8)*(ABS(G129-'설정'!$C$6:$D$8)&lt;='설정'!$C$15))+SUMPRODUCT(ISNUMBER('설정'!$E$6:$F$8)*(ABS(H129-'설정'!$E$6:$F$8)&lt;='설정'!$C$15))&gt;0,"경계",""))</f>
        <v/>
      </c>
      <c r="M129" s="7" t="n"/>
      <c r="N129" s="7" t="n"/>
      <c r="O129" s="27">
        <f>IF(M129&lt;&gt;"",M129,K129)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OR(G130="",H130=""),'설정'!$B$9,IF(AND(OR('설정'!$C$6="",G130&gt;='설정'!$C$6),OR('설정'!$D$6="",G130&lt;'설정'!$D$6),OR('설정'!$E$6="",H130&gt;='설정'!$E$6),OR('설정'!$F$6="",H130&lt;'설정'!$F$6)),'설정'!$B$6,IF(AND(OR('설정'!$C$7="",G130&gt;='설정'!$C$7),OR('설정'!$D$7="",G130&lt;'설정'!$D$7),OR('설정'!$E$7="",H130&gt;='설정'!$E$7),OR('설정'!$F$7="",H130&lt;'설정'!$F$7)),'설정'!$B$7,IF(AND(OR('설정'!$C$8="",G130&gt;='설정'!$C$8),OR('설정'!$D$8="",G130&lt;'설정'!$D$8),OR('설정'!$E$8="",H130&gt;='설정'!$E$8),OR('설정'!$F$8="",H130&lt;'설정'!$F$8)),'설정'!$B$8,'설정'!$B$9)))))</f>
        <v/>
      </c>
      <c r="L130" s="29">
        <f>IF(OR(G130="",H130=""),"",IF(SUMPRODUCT(ISNUMBER('설정'!$C$6:$D$8)*(ABS(G130-'설정'!$C$6:$D$8)&lt;='설정'!$C$15))+SUMPRODUCT(ISNUMBER('설정'!$E$6:$F$8)*(ABS(H130-'설정'!$E$6:$F$8)&lt;='설정'!$C$15))&gt;0,"경계",""))</f>
        <v/>
      </c>
      <c r="M130" s="7" t="n"/>
      <c r="N130" s="7" t="n"/>
      <c r="O130" s="27">
        <f>IF(M130&lt;&gt;"",M130,K130)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OR(G131="",H131=""),'설정'!$B$9,IF(AND(OR('설정'!$C$6="",G131&gt;='설정'!$C$6),OR('설정'!$D$6="",G131&lt;'설정'!$D$6),OR('설정'!$E$6="",H131&gt;='설정'!$E$6),OR('설정'!$F$6="",H131&lt;'설정'!$F$6)),'설정'!$B$6,IF(AND(OR('설정'!$C$7="",G131&gt;='설정'!$C$7),OR('설정'!$D$7="",G131&lt;'설정'!$D$7),OR('설정'!$E$7="",H131&gt;='설정'!$E$7),OR('설정'!$F$7="",H131&lt;'설정'!$F$7)),'설정'!$B$7,IF(AND(OR('설정'!$C$8="",G131&gt;='설정'!$C$8),OR('설정'!$D$8="",G131&lt;'설정'!$D$8),OR('설정'!$E$8="",H131&gt;='설정'!$E$8),OR('설정'!$F$8="",H131&lt;'설정'!$F$8)),'설정'!$B$8,'설정'!$B$9)))))</f>
        <v/>
      </c>
      <c r="L131" s="29">
        <f>IF(OR(G131="",H131=""),"",IF(SUMPRODUCT(ISNUMBER('설정'!$C$6:$D$8)*(ABS(G131-'설정'!$C$6:$D$8)&lt;='설정'!$C$15))+SUMPRODUCT(ISNUMBER('설정'!$E$6:$F$8)*(ABS(H131-'설정'!$E$6:$F$8)&lt;='설정'!$C$15))&gt;0,"경계",""))</f>
        <v/>
      </c>
      <c r="M131" s="7" t="n"/>
      <c r="N131" s="7" t="n"/>
      <c r="O131" s="27">
        <f>IF(M131&lt;&gt;"",M131,K131)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OR(G132="",H132=""),'설정'!$B$9,IF(AND(OR('설정'!$C$6="",G132&gt;='설정'!$C$6),OR('설정'!$D$6="",G132&lt;'설정'!$D$6),OR('설정'!$E$6="",H132&gt;='설정'!$E$6),OR('설정'!$F$6="",H132&lt;'설정'!$F$6)),'설정'!$B$6,IF(AND(OR('설정'!$C$7="",G132&gt;='설정'!$C$7),OR('설정'!$D$7="",G132&lt;'설정'!$D$7),OR('설정'!$E$7="",H132&gt;='설정'!$E$7),OR('설정'!$F$7="",H132&lt;'설정'!$F$7)),'설정'!$B$7,IF(AND(OR('설정'!$C$8="",G132&gt;='설정'!$C$8),OR('설정'!$D$8="",G132&lt;'설정'!$D$8),OR('설정'!$E$8="",H132&gt;='설정'!$E$8),OR('설정'!$F$8="",H132&lt;'설정'!$F$8)),'설정'!$B$8,'설정'!$B$9)))))</f>
        <v/>
      </c>
      <c r="L132" s="29">
        <f>IF(OR(G132="",H132=""),"",IF(SUMPRODUCT(ISNUMBER('설정'!$C$6:$D$8)*(ABS(G132-'설정'!$C$6:$D$8)&lt;='설정'!$C$15))+SUMPRODUCT(ISNUMBER('설정'!$E$6:$F$8)*(ABS(H132-'설정'!$E$6:$F$8)&lt;='설정'!$C$15))&gt;0,"경계",""))</f>
        <v/>
      </c>
      <c r="M132" s="7" t="n"/>
      <c r="N132" s="7" t="n"/>
      <c r="O132" s="27">
        <f>IF(M132&lt;&gt;"",M132,K132)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OR(G133="",H133=""),'설정'!$B$9,IF(AND(OR('설정'!$C$6="",G133&gt;='설정'!$C$6),OR('설정'!$D$6="",G133&lt;'설정'!$D$6),OR('설정'!$E$6="",H133&gt;='설정'!$E$6),OR('설정'!$F$6="",H133&lt;'설정'!$F$6)),'설정'!$B$6,IF(AND(OR('설정'!$C$7="",G133&gt;='설정'!$C$7),OR('설정'!$D$7="",G133&lt;'설정'!$D$7),OR('설정'!$E$7="",H133&gt;='설정'!$E$7),OR('설정'!$F$7="",H133&lt;'설정'!$F$7)),'설정'!$B$7,IF(AND(OR('설정'!$C$8="",G133&gt;='설정'!$C$8),OR('설정'!$D$8="",G133&lt;'설정'!$D$8),OR('설정'!$E$8="",H133&gt;='설정'!$E$8),OR('설정'!$F$8="",H133&lt;'설정'!$F$8)),'설정'!$B$8,'설정'!$B$9)))))</f>
        <v/>
      </c>
      <c r="L133" s="29">
        <f>IF(OR(G133="",H133=""),"",IF(SUMPRODUCT(ISNUMBER('설정'!$C$6:$D$8)*(ABS(G133-'설정'!$C$6:$D$8)&lt;='설정'!$C$15))+SUMPRODUCT(ISNUMBER('설정'!$E$6:$F$8)*(ABS(H133-'설정'!$E$6:$F$8)&lt;='설정'!$C$15))&gt;0,"경계",""))</f>
        <v/>
      </c>
      <c r="M133" s="7" t="n"/>
      <c r="N133" s="7" t="n"/>
      <c r="O133" s="27">
        <f>IF(M133&lt;&gt;"",M133,K133)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OR(G134="",H134=""),'설정'!$B$9,IF(AND(OR('설정'!$C$6="",G134&gt;='설정'!$C$6),OR('설정'!$D$6="",G134&lt;'설정'!$D$6),OR('설정'!$E$6="",H134&gt;='설정'!$E$6),OR('설정'!$F$6="",H134&lt;'설정'!$F$6)),'설정'!$B$6,IF(AND(OR('설정'!$C$7="",G134&gt;='설정'!$C$7),OR('설정'!$D$7="",G134&lt;'설정'!$D$7),OR('설정'!$E$7="",H134&gt;='설정'!$E$7),OR('설정'!$F$7="",H134&lt;'설정'!$F$7)),'설정'!$B$7,IF(AND(OR('설정'!$C$8="",G134&gt;='설정'!$C$8),OR('설정'!$D$8="",G134&lt;'설정'!$D$8),OR('설정'!$E$8="",H134&gt;='설정'!$E$8),OR('설정'!$F$8="",H134&lt;'설정'!$F$8)),'설정'!$B$8,'설정'!$B$9)))))</f>
        <v/>
      </c>
      <c r="L134" s="29">
        <f>IF(OR(G134="",H134=""),"",IF(SUMPRODUCT(ISNUMBER('설정'!$C$6:$D$8)*(ABS(G134-'설정'!$C$6:$D$8)&lt;='설정'!$C$15))+SUMPRODUCT(ISNUMBER('설정'!$E$6:$F$8)*(ABS(H134-'설정'!$E$6:$F$8)&lt;='설정'!$C$15))&gt;0,"경계",""))</f>
        <v/>
      </c>
      <c r="M134" s="7" t="n"/>
      <c r="N134" s="7" t="n"/>
      <c r="O134" s="27">
        <f>IF(M134&lt;&gt;"",M134,K134)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OR(G135="",H135=""),'설정'!$B$9,IF(AND(OR('설정'!$C$6="",G135&gt;='설정'!$C$6),OR('설정'!$D$6="",G135&lt;'설정'!$D$6),OR('설정'!$E$6="",H135&gt;='설정'!$E$6),OR('설정'!$F$6="",H135&lt;'설정'!$F$6)),'설정'!$B$6,IF(AND(OR('설정'!$C$7="",G135&gt;='설정'!$C$7),OR('설정'!$D$7="",G135&lt;'설정'!$D$7),OR('설정'!$E$7="",H135&gt;='설정'!$E$7),OR('설정'!$F$7="",H135&lt;'설정'!$F$7)),'설정'!$B$7,IF(AND(OR('설정'!$C$8="",G135&gt;='설정'!$C$8),OR('설정'!$D$8="",G135&lt;'설정'!$D$8),OR('설정'!$E$8="",H135&gt;='설정'!$E$8),OR('설정'!$F$8="",H135&lt;'설정'!$F$8)),'설정'!$B$8,'설정'!$B$9)))))</f>
        <v/>
      </c>
      <c r="L135" s="29">
        <f>IF(OR(G135="",H135=""),"",IF(SUMPRODUCT(ISNUMBER('설정'!$C$6:$D$8)*(ABS(G135-'설정'!$C$6:$D$8)&lt;='설정'!$C$15))+SUMPRODUCT(ISNUMBER('설정'!$E$6:$F$8)*(ABS(H135-'설정'!$E$6:$F$8)&lt;='설정'!$C$15))&gt;0,"경계",""))</f>
        <v/>
      </c>
      <c r="M135" s="7" t="n"/>
      <c r="N135" s="7" t="n"/>
      <c r="O135" s="27">
        <f>IF(M135&lt;&gt;"",M135,K135)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OR(G136="",H136=""),'설정'!$B$9,IF(AND(OR('설정'!$C$6="",G136&gt;='설정'!$C$6),OR('설정'!$D$6="",G136&lt;'설정'!$D$6),OR('설정'!$E$6="",H136&gt;='설정'!$E$6),OR('설정'!$F$6="",H136&lt;'설정'!$F$6)),'설정'!$B$6,IF(AND(OR('설정'!$C$7="",G136&gt;='설정'!$C$7),OR('설정'!$D$7="",G136&lt;'설정'!$D$7),OR('설정'!$E$7="",H136&gt;='설정'!$E$7),OR('설정'!$F$7="",H136&lt;'설정'!$F$7)),'설정'!$B$7,IF(AND(OR('설정'!$C$8="",G136&gt;='설정'!$C$8),OR('설정'!$D$8="",G136&lt;'설정'!$D$8),OR('설정'!$E$8="",H136&gt;='설정'!$E$8),OR('설정'!$F$8="",H136&lt;'설정'!$F$8)),'설정'!$B$8,'설정'!$B$9)))))</f>
        <v/>
      </c>
      <c r="L136" s="29">
        <f>IF(OR(G136="",H136=""),"",IF(SUMPRODUCT(ISNUMBER('설정'!$C$6:$D$8)*(ABS(G136-'설정'!$C$6:$D$8)&lt;='설정'!$C$15))+SUMPRODUCT(ISNUMBER('설정'!$E$6:$F$8)*(ABS(H136-'설정'!$E$6:$F$8)&lt;='설정'!$C$15))&gt;0,"경계",""))</f>
        <v/>
      </c>
      <c r="M136" s="7" t="n"/>
      <c r="N136" s="7" t="n"/>
      <c r="O136" s="27">
        <f>IF(M136&lt;&gt;"",M136,K136)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OR(G137="",H137=""),'설정'!$B$9,IF(AND(OR('설정'!$C$6="",G137&gt;='설정'!$C$6),OR('설정'!$D$6="",G137&lt;'설정'!$D$6),OR('설정'!$E$6="",H137&gt;='설정'!$E$6),OR('설정'!$F$6="",H137&lt;'설정'!$F$6)),'설정'!$B$6,IF(AND(OR('설정'!$C$7="",G137&gt;='설정'!$C$7),OR('설정'!$D$7="",G137&lt;'설정'!$D$7),OR('설정'!$E$7="",H137&gt;='설정'!$E$7),OR('설정'!$F$7="",H137&lt;'설정'!$F$7)),'설정'!$B$7,IF(AND(OR('설정'!$C$8="",G137&gt;='설정'!$C$8),OR('설정'!$D$8="",G137&lt;'설정'!$D$8),OR('설정'!$E$8="",H137&gt;='설정'!$E$8),OR('설정'!$F$8="",H137&lt;'설정'!$F$8)),'설정'!$B$8,'설정'!$B$9)))))</f>
        <v/>
      </c>
      <c r="L137" s="29">
        <f>IF(OR(G137="",H137=""),"",IF(SUMPRODUCT(ISNUMBER('설정'!$C$6:$D$8)*(ABS(G137-'설정'!$C$6:$D$8)&lt;='설정'!$C$15))+SUMPRODUCT(ISNUMBER('설정'!$E$6:$F$8)*(ABS(H137-'설정'!$E$6:$F$8)&lt;='설정'!$C$15))&gt;0,"경계",""))</f>
        <v/>
      </c>
      <c r="M137" s="7" t="n"/>
      <c r="N137" s="7" t="n"/>
      <c r="O137" s="27">
        <f>IF(M137&lt;&gt;"",M137,K137)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OR(G138="",H138=""),'설정'!$B$9,IF(AND(OR('설정'!$C$6="",G138&gt;='설정'!$C$6),OR('설정'!$D$6="",G138&lt;'설정'!$D$6),OR('설정'!$E$6="",H138&gt;='설정'!$E$6),OR('설정'!$F$6="",H138&lt;'설정'!$F$6)),'설정'!$B$6,IF(AND(OR('설정'!$C$7="",G138&gt;='설정'!$C$7),OR('설정'!$D$7="",G138&lt;'설정'!$D$7),OR('설정'!$E$7="",H138&gt;='설정'!$E$7),OR('설정'!$F$7="",H138&lt;'설정'!$F$7)),'설정'!$B$7,IF(AND(OR('설정'!$C$8="",G138&gt;='설정'!$C$8),OR('설정'!$D$8="",G138&lt;'설정'!$D$8),OR('설정'!$E$8="",H138&gt;='설정'!$E$8),OR('설정'!$F$8="",H138&lt;'설정'!$F$8)),'설정'!$B$8,'설정'!$B$9)))))</f>
        <v/>
      </c>
      <c r="L138" s="29">
        <f>IF(OR(G138="",H138=""),"",IF(SUMPRODUCT(ISNUMBER('설정'!$C$6:$D$8)*(ABS(G138-'설정'!$C$6:$D$8)&lt;='설정'!$C$15))+SUMPRODUCT(ISNUMBER('설정'!$E$6:$F$8)*(ABS(H138-'설정'!$E$6:$F$8)&lt;='설정'!$C$15))&gt;0,"경계",""))</f>
        <v/>
      </c>
      <c r="M138" s="7" t="n"/>
      <c r="N138" s="7" t="n"/>
      <c r="O138" s="27">
        <f>IF(M138&lt;&gt;"",M138,K138)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OR(G139="",H139=""),'설정'!$B$9,IF(AND(OR('설정'!$C$6="",G139&gt;='설정'!$C$6),OR('설정'!$D$6="",G139&lt;'설정'!$D$6),OR('설정'!$E$6="",H139&gt;='설정'!$E$6),OR('설정'!$F$6="",H139&lt;'설정'!$F$6)),'설정'!$B$6,IF(AND(OR('설정'!$C$7="",G139&gt;='설정'!$C$7),OR('설정'!$D$7="",G139&lt;'설정'!$D$7),OR('설정'!$E$7="",H139&gt;='설정'!$E$7),OR('설정'!$F$7="",H139&lt;'설정'!$F$7)),'설정'!$B$7,IF(AND(OR('설정'!$C$8="",G139&gt;='설정'!$C$8),OR('설정'!$D$8="",G139&lt;'설정'!$D$8),OR('설정'!$E$8="",H139&gt;='설정'!$E$8),OR('설정'!$F$8="",H139&lt;'설정'!$F$8)),'설정'!$B$8,'설정'!$B$9)))))</f>
        <v/>
      </c>
      <c r="L139" s="29">
        <f>IF(OR(G139="",H139=""),"",IF(SUMPRODUCT(ISNUMBER('설정'!$C$6:$D$8)*(ABS(G139-'설정'!$C$6:$D$8)&lt;='설정'!$C$15))+SUMPRODUCT(ISNUMBER('설정'!$E$6:$F$8)*(ABS(H139-'설정'!$E$6:$F$8)&lt;='설정'!$C$15))&gt;0,"경계",""))</f>
        <v/>
      </c>
      <c r="M139" s="7" t="n"/>
      <c r="N139" s="7" t="n"/>
      <c r="O139" s="27">
        <f>IF(M139&lt;&gt;"",M139,K139)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OR(G140="",H140=""),'설정'!$B$9,IF(AND(OR('설정'!$C$6="",G140&gt;='설정'!$C$6),OR('설정'!$D$6="",G140&lt;'설정'!$D$6),OR('설정'!$E$6="",H140&gt;='설정'!$E$6),OR('설정'!$F$6="",H140&lt;'설정'!$F$6)),'설정'!$B$6,IF(AND(OR('설정'!$C$7="",G140&gt;='설정'!$C$7),OR('설정'!$D$7="",G140&lt;'설정'!$D$7),OR('설정'!$E$7="",H140&gt;='설정'!$E$7),OR('설정'!$F$7="",H140&lt;'설정'!$F$7)),'설정'!$B$7,IF(AND(OR('설정'!$C$8="",G140&gt;='설정'!$C$8),OR('설정'!$D$8="",G140&lt;'설정'!$D$8),OR('설정'!$E$8="",H140&gt;='설정'!$E$8),OR('설정'!$F$8="",H140&lt;'설정'!$F$8)),'설정'!$B$8,'설정'!$B$9)))))</f>
        <v/>
      </c>
      <c r="L140" s="29">
        <f>IF(OR(G140="",H140=""),"",IF(SUMPRODUCT(ISNUMBER('설정'!$C$6:$D$8)*(ABS(G140-'설정'!$C$6:$D$8)&lt;='설정'!$C$15))+SUMPRODUCT(ISNUMBER('설정'!$E$6:$F$8)*(ABS(H140-'설정'!$E$6:$F$8)&lt;='설정'!$C$15))&gt;0,"경계",""))</f>
        <v/>
      </c>
      <c r="M140" s="7" t="n"/>
      <c r="N140" s="7" t="n"/>
      <c r="O140" s="27">
        <f>IF(M140&lt;&gt;"",M140,K140)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OR(G141="",H141=""),'설정'!$B$9,IF(AND(OR('설정'!$C$6="",G141&gt;='설정'!$C$6),OR('설정'!$D$6="",G141&lt;'설정'!$D$6),OR('설정'!$E$6="",H141&gt;='설정'!$E$6),OR('설정'!$F$6="",H141&lt;'설정'!$F$6)),'설정'!$B$6,IF(AND(OR('설정'!$C$7="",G141&gt;='설정'!$C$7),OR('설정'!$D$7="",G141&lt;'설정'!$D$7),OR('설정'!$E$7="",H141&gt;='설정'!$E$7),OR('설정'!$F$7="",H141&lt;'설정'!$F$7)),'설정'!$B$7,IF(AND(OR('설정'!$C$8="",G141&gt;='설정'!$C$8),OR('설정'!$D$8="",G141&lt;'설정'!$D$8),OR('설정'!$E$8="",H141&gt;='설정'!$E$8),OR('설정'!$F$8="",H141&lt;'설정'!$F$8)),'설정'!$B$8,'설정'!$B$9)))))</f>
        <v/>
      </c>
      <c r="L141" s="29">
        <f>IF(OR(G141="",H141=""),"",IF(SUMPRODUCT(ISNUMBER('설정'!$C$6:$D$8)*(ABS(G141-'설정'!$C$6:$D$8)&lt;='설정'!$C$15))+SUMPRODUCT(ISNUMBER('설정'!$E$6:$F$8)*(ABS(H141-'설정'!$E$6:$F$8)&lt;='설정'!$C$15))&gt;0,"경계",""))</f>
        <v/>
      </c>
      <c r="M141" s="7" t="n"/>
      <c r="N141" s="7" t="n"/>
      <c r="O141" s="27">
        <f>IF(M141&lt;&gt;"",M141,K141)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OR(G142="",H142=""),'설정'!$B$9,IF(AND(OR('설정'!$C$6="",G142&gt;='설정'!$C$6),OR('설정'!$D$6="",G142&lt;'설정'!$D$6),OR('설정'!$E$6="",H142&gt;='설정'!$E$6),OR('설정'!$F$6="",H142&lt;'설정'!$F$6)),'설정'!$B$6,IF(AND(OR('설정'!$C$7="",G142&gt;='설정'!$C$7),OR('설정'!$D$7="",G142&lt;'설정'!$D$7),OR('설정'!$E$7="",H142&gt;='설정'!$E$7),OR('설정'!$F$7="",H142&lt;'설정'!$F$7)),'설정'!$B$7,IF(AND(OR('설정'!$C$8="",G142&gt;='설정'!$C$8),OR('설정'!$D$8="",G142&lt;'설정'!$D$8),OR('설정'!$E$8="",H142&gt;='설정'!$E$8),OR('설정'!$F$8="",H142&lt;'설정'!$F$8)),'설정'!$B$8,'설정'!$B$9)))))</f>
        <v/>
      </c>
      <c r="L142" s="29">
        <f>IF(OR(G142="",H142=""),"",IF(SUMPRODUCT(ISNUMBER('설정'!$C$6:$D$8)*(ABS(G142-'설정'!$C$6:$D$8)&lt;='설정'!$C$15))+SUMPRODUCT(ISNUMBER('설정'!$E$6:$F$8)*(ABS(H142-'설정'!$E$6:$F$8)&lt;='설정'!$C$15))&gt;0,"경계",""))</f>
        <v/>
      </c>
      <c r="M142" s="7" t="n"/>
      <c r="N142" s="7" t="n"/>
      <c r="O142" s="27">
        <f>IF(M142&lt;&gt;"",M142,K142)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OR(G143="",H143=""),'설정'!$B$9,IF(AND(OR('설정'!$C$6="",G143&gt;='설정'!$C$6),OR('설정'!$D$6="",G143&lt;'설정'!$D$6),OR('설정'!$E$6="",H143&gt;='설정'!$E$6),OR('설정'!$F$6="",H143&lt;'설정'!$F$6)),'설정'!$B$6,IF(AND(OR('설정'!$C$7="",G143&gt;='설정'!$C$7),OR('설정'!$D$7="",G143&lt;'설정'!$D$7),OR('설정'!$E$7="",H143&gt;='설정'!$E$7),OR('설정'!$F$7="",H143&lt;'설정'!$F$7)),'설정'!$B$7,IF(AND(OR('설정'!$C$8="",G143&gt;='설정'!$C$8),OR('설정'!$D$8="",G143&lt;'설정'!$D$8),OR('설정'!$E$8="",H143&gt;='설정'!$E$8),OR('설정'!$F$8="",H143&lt;'설정'!$F$8)),'설정'!$B$8,'설정'!$B$9)))))</f>
        <v/>
      </c>
      <c r="L143" s="29">
        <f>IF(OR(G143="",H143=""),"",IF(SUMPRODUCT(ISNUMBER('설정'!$C$6:$D$8)*(ABS(G143-'설정'!$C$6:$D$8)&lt;='설정'!$C$15))+SUMPRODUCT(ISNUMBER('설정'!$E$6:$F$8)*(ABS(H143-'설정'!$E$6:$F$8)&lt;='설정'!$C$15))&gt;0,"경계",""))</f>
        <v/>
      </c>
      <c r="M143" s="7" t="n"/>
      <c r="N143" s="7" t="n"/>
      <c r="O143" s="27">
        <f>IF(M143&lt;&gt;"",M143,K143)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OR(G144="",H144=""),'설정'!$B$9,IF(AND(OR('설정'!$C$6="",G144&gt;='설정'!$C$6),OR('설정'!$D$6="",G144&lt;'설정'!$D$6),OR('설정'!$E$6="",H144&gt;='설정'!$E$6),OR('설정'!$F$6="",H144&lt;'설정'!$F$6)),'설정'!$B$6,IF(AND(OR('설정'!$C$7="",G144&gt;='설정'!$C$7),OR('설정'!$D$7="",G144&lt;'설정'!$D$7),OR('설정'!$E$7="",H144&gt;='설정'!$E$7),OR('설정'!$F$7="",H144&lt;'설정'!$F$7)),'설정'!$B$7,IF(AND(OR('설정'!$C$8="",G144&gt;='설정'!$C$8),OR('설정'!$D$8="",G144&lt;'설정'!$D$8),OR('설정'!$E$8="",H144&gt;='설정'!$E$8),OR('설정'!$F$8="",H144&lt;'설정'!$F$8)),'설정'!$B$8,'설정'!$B$9)))))</f>
        <v/>
      </c>
      <c r="L144" s="29">
        <f>IF(OR(G144="",H144=""),"",IF(SUMPRODUCT(ISNUMBER('설정'!$C$6:$D$8)*(ABS(G144-'설정'!$C$6:$D$8)&lt;='설정'!$C$15))+SUMPRODUCT(ISNUMBER('설정'!$E$6:$F$8)*(ABS(H144-'설정'!$E$6:$F$8)&lt;='설정'!$C$15))&gt;0,"경계",""))</f>
        <v/>
      </c>
      <c r="M144" s="7" t="n"/>
      <c r="N144" s="7" t="n"/>
      <c r="O144" s="27">
        <f>IF(M144&lt;&gt;"",M144,K144)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OR(G145="",H145=""),'설정'!$B$9,IF(AND(OR('설정'!$C$6="",G145&gt;='설정'!$C$6),OR('설정'!$D$6="",G145&lt;'설정'!$D$6),OR('설정'!$E$6="",H145&gt;='설정'!$E$6),OR('설정'!$F$6="",H145&lt;'설정'!$F$6)),'설정'!$B$6,IF(AND(OR('설정'!$C$7="",G145&gt;='설정'!$C$7),OR('설정'!$D$7="",G145&lt;'설정'!$D$7),OR('설정'!$E$7="",H145&gt;='설정'!$E$7),OR('설정'!$F$7="",H145&lt;'설정'!$F$7)),'설정'!$B$7,IF(AND(OR('설정'!$C$8="",G145&gt;='설정'!$C$8),OR('설정'!$D$8="",G145&lt;'설정'!$D$8),OR('설정'!$E$8="",H145&gt;='설정'!$E$8),OR('설정'!$F$8="",H145&lt;'설정'!$F$8)),'설정'!$B$8,'설정'!$B$9)))))</f>
        <v/>
      </c>
      <c r="L145" s="29">
        <f>IF(OR(G145="",H145=""),"",IF(SUMPRODUCT(ISNUMBER('설정'!$C$6:$D$8)*(ABS(G145-'설정'!$C$6:$D$8)&lt;='설정'!$C$15))+SUMPRODUCT(ISNUMBER('설정'!$E$6:$F$8)*(ABS(H145-'설정'!$E$6:$F$8)&lt;='설정'!$C$15))&gt;0,"경계",""))</f>
        <v/>
      </c>
      <c r="M145" s="7" t="n"/>
      <c r="N145" s="7" t="n"/>
      <c r="O145" s="27">
        <f>IF(M145&lt;&gt;"",M145,K145)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OR(G146="",H146=""),'설정'!$B$9,IF(AND(OR('설정'!$C$6="",G146&gt;='설정'!$C$6),OR('설정'!$D$6="",G146&lt;'설정'!$D$6),OR('설정'!$E$6="",H146&gt;='설정'!$E$6),OR('설정'!$F$6="",H146&lt;'설정'!$F$6)),'설정'!$B$6,IF(AND(OR('설정'!$C$7="",G146&gt;='설정'!$C$7),OR('설정'!$D$7="",G146&lt;'설정'!$D$7),OR('설정'!$E$7="",H146&gt;='설정'!$E$7),OR('설정'!$F$7="",H146&lt;'설정'!$F$7)),'설정'!$B$7,IF(AND(OR('설정'!$C$8="",G146&gt;='설정'!$C$8),OR('설정'!$D$8="",G146&lt;'설정'!$D$8),OR('설정'!$E$8="",H146&gt;='설정'!$E$8),OR('설정'!$F$8="",H146&lt;'설정'!$F$8)),'설정'!$B$8,'설정'!$B$9)))))</f>
        <v/>
      </c>
      <c r="L146" s="29">
        <f>IF(OR(G146="",H146=""),"",IF(SUMPRODUCT(ISNUMBER('설정'!$C$6:$D$8)*(ABS(G146-'설정'!$C$6:$D$8)&lt;='설정'!$C$15))+SUMPRODUCT(ISNUMBER('설정'!$E$6:$F$8)*(ABS(H146-'설정'!$E$6:$F$8)&lt;='설정'!$C$15))&gt;0,"경계",""))</f>
        <v/>
      </c>
      <c r="M146" s="7" t="n"/>
      <c r="N146" s="7" t="n"/>
      <c r="O146" s="27">
        <f>IF(M146&lt;&gt;"",M146,K146)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OR(G147="",H147=""),'설정'!$B$9,IF(AND(OR('설정'!$C$6="",G147&gt;='설정'!$C$6),OR('설정'!$D$6="",G147&lt;'설정'!$D$6),OR('설정'!$E$6="",H147&gt;='설정'!$E$6),OR('설정'!$F$6="",H147&lt;'설정'!$F$6)),'설정'!$B$6,IF(AND(OR('설정'!$C$7="",G147&gt;='설정'!$C$7),OR('설정'!$D$7="",G147&lt;'설정'!$D$7),OR('설정'!$E$7="",H147&gt;='설정'!$E$7),OR('설정'!$F$7="",H147&lt;'설정'!$F$7)),'설정'!$B$7,IF(AND(OR('설정'!$C$8="",G147&gt;='설정'!$C$8),OR('설정'!$D$8="",G147&lt;'설정'!$D$8),OR('설정'!$E$8="",H147&gt;='설정'!$E$8),OR('설정'!$F$8="",H147&lt;'설정'!$F$8)),'설정'!$B$8,'설정'!$B$9)))))</f>
        <v/>
      </c>
      <c r="L147" s="29">
        <f>IF(OR(G147="",H147=""),"",IF(SUMPRODUCT(ISNUMBER('설정'!$C$6:$D$8)*(ABS(G147-'설정'!$C$6:$D$8)&lt;='설정'!$C$15))+SUMPRODUCT(ISNUMBER('설정'!$E$6:$F$8)*(ABS(H147-'설정'!$E$6:$F$8)&lt;='설정'!$C$15))&gt;0,"경계",""))</f>
        <v/>
      </c>
      <c r="M147" s="7" t="n"/>
      <c r="N147" s="7" t="n"/>
      <c r="O147" s="27">
        <f>IF(M147&lt;&gt;"",M147,K147)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OR(G148="",H148=""),'설정'!$B$9,IF(AND(OR('설정'!$C$6="",G148&gt;='설정'!$C$6),OR('설정'!$D$6="",G148&lt;'설정'!$D$6),OR('설정'!$E$6="",H148&gt;='설정'!$E$6),OR('설정'!$F$6="",H148&lt;'설정'!$F$6)),'설정'!$B$6,IF(AND(OR('설정'!$C$7="",G148&gt;='설정'!$C$7),OR('설정'!$D$7="",G148&lt;'설정'!$D$7),OR('설정'!$E$7="",H148&gt;='설정'!$E$7),OR('설정'!$F$7="",H148&lt;'설정'!$F$7)),'설정'!$B$7,IF(AND(OR('설정'!$C$8="",G148&gt;='설정'!$C$8),OR('설정'!$D$8="",G148&lt;'설정'!$D$8),OR('설정'!$E$8="",H148&gt;='설정'!$E$8),OR('설정'!$F$8="",H148&lt;'설정'!$F$8)),'설정'!$B$8,'설정'!$B$9)))))</f>
        <v/>
      </c>
      <c r="L148" s="29">
        <f>IF(OR(G148="",H148=""),"",IF(SUMPRODUCT(ISNUMBER('설정'!$C$6:$D$8)*(ABS(G148-'설정'!$C$6:$D$8)&lt;='설정'!$C$15))+SUMPRODUCT(ISNUMBER('설정'!$E$6:$F$8)*(ABS(H148-'설정'!$E$6:$F$8)&lt;='설정'!$C$15))&gt;0,"경계",""))</f>
        <v/>
      </c>
      <c r="M148" s="7" t="n"/>
      <c r="N148" s="7" t="n"/>
      <c r="O148" s="27">
        <f>IF(M148&lt;&gt;"",M148,K148)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OR(G149="",H149=""),'설정'!$B$9,IF(AND(OR('설정'!$C$6="",G149&gt;='설정'!$C$6),OR('설정'!$D$6="",G149&lt;'설정'!$D$6),OR('설정'!$E$6="",H149&gt;='설정'!$E$6),OR('설정'!$F$6="",H149&lt;'설정'!$F$6)),'설정'!$B$6,IF(AND(OR('설정'!$C$7="",G149&gt;='설정'!$C$7),OR('설정'!$D$7="",G149&lt;'설정'!$D$7),OR('설정'!$E$7="",H149&gt;='설정'!$E$7),OR('설정'!$F$7="",H149&lt;'설정'!$F$7)),'설정'!$B$7,IF(AND(OR('설정'!$C$8="",G149&gt;='설정'!$C$8),OR('설정'!$D$8="",G149&lt;'설정'!$D$8),OR('설정'!$E$8="",H149&gt;='설정'!$E$8),OR('설정'!$F$8="",H149&lt;'설정'!$F$8)),'설정'!$B$8,'설정'!$B$9)))))</f>
        <v/>
      </c>
      <c r="L149" s="29">
        <f>IF(OR(G149="",H149=""),"",IF(SUMPRODUCT(ISNUMBER('설정'!$C$6:$D$8)*(ABS(G149-'설정'!$C$6:$D$8)&lt;='설정'!$C$15))+SUMPRODUCT(ISNUMBER('설정'!$E$6:$F$8)*(ABS(H149-'설정'!$E$6:$F$8)&lt;='설정'!$C$15))&gt;0,"경계",""))</f>
        <v/>
      </c>
      <c r="M149" s="7" t="n"/>
      <c r="N149" s="7" t="n"/>
      <c r="O149" s="27">
        <f>IF(M149&lt;&gt;"",M149,K149)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OR(G150="",H150=""),'설정'!$B$9,IF(AND(OR('설정'!$C$6="",G150&gt;='설정'!$C$6),OR('설정'!$D$6="",G150&lt;'설정'!$D$6),OR('설정'!$E$6="",H150&gt;='설정'!$E$6),OR('설정'!$F$6="",H150&lt;'설정'!$F$6)),'설정'!$B$6,IF(AND(OR('설정'!$C$7="",G150&gt;='설정'!$C$7),OR('설정'!$D$7="",G150&lt;'설정'!$D$7),OR('설정'!$E$7="",H150&gt;='설정'!$E$7),OR('설정'!$F$7="",H150&lt;'설정'!$F$7)),'설정'!$B$7,IF(AND(OR('설정'!$C$8="",G150&gt;='설정'!$C$8),OR('설정'!$D$8="",G150&lt;'설정'!$D$8),OR('설정'!$E$8="",H150&gt;='설정'!$E$8),OR('설정'!$F$8="",H150&lt;'설정'!$F$8)),'설정'!$B$8,'설정'!$B$9)))))</f>
        <v/>
      </c>
      <c r="L150" s="29">
        <f>IF(OR(G150="",H150=""),"",IF(SUMPRODUCT(ISNUMBER('설정'!$C$6:$D$8)*(ABS(G150-'설정'!$C$6:$D$8)&lt;='설정'!$C$15))+SUMPRODUCT(ISNUMBER('설정'!$E$6:$F$8)*(ABS(H150-'설정'!$E$6:$F$8)&lt;='설정'!$C$15))&gt;0,"경계",""))</f>
        <v/>
      </c>
      <c r="M150" s="7" t="n"/>
      <c r="N150" s="7" t="n"/>
      <c r="O150" s="27">
        <f>IF(M150&lt;&gt;"",M150,K150)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OR(G151="",H151=""),'설정'!$B$9,IF(AND(OR('설정'!$C$6="",G151&gt;='설정'!$C$6),OR('설정'!$D$6="",G151&lt;'설정'!$D$6),OR('설정'!$E$6="",H151&gt;='설정'!$E$6),OR('설정'!$F$6="",H151&lt;'설정'!$F$6)),'설정'!$B$6,IF(AND(OR('설정'!$C$7="",G151&gt;='설정'!$C$7),OR('설정'!$D$7="",G151&lt;'설정'!$D$7),OR('설정'!$E$7="",H151&gt;='설정'!$E$7),OR('설정'!$F$7="",H151&lt;'설정'!$F$7)),'설정'!$B$7,IF(AND(OR('설정'!$C$8="",G151&gt;='설정'!$C$8),OR('설정'!$D$8="",G151&lt;'설정'!$D$8),OR('설정'!$E$8="",H151&gt;='설정'!$E$8),OR('설정'!$F$8="",H151&lt;'설정'!$F$8)),'설정'!$B$8,'설정'!$B$9)))))</f>
        <v/>
      </c>
      <c r="L151" s="29">
        <f>IF(OR(G151="",H151=""),"",IF(SUMPRODUCT(ISNUMBER('설정'!$C$6:$D$8)*(ABS(G151-'설정'!$C$6:$D$8)&lt;='설정'!$C$15))+SUMPRODUCT(ISNUMBER('설정'!$E$6:$F$8)*(ABS(H151-'설정'!$E$6:$F$8)&lt;='설정'!$C$15))&gt;0,"경계",""))</f>
        <v/>
      </c>
      <c r="M151" s="7" t="n"/>
      <c r="N151" s="7" t="n"/>
      <c r="O151" s="27">
        <f>IF(M151&lt;&gt;"",M151,K151)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OR(G152="",H152=""),'설정'!$B$9,IF(AND(OR('설정'!$C$6="",G152&gt;='설정'!$C$6),OR('설정'!$D$6="",G152&lt;'설정'!$D$6),OR('설정'!$E$6="",H152&gt;='설정'!$E$6),OR('설정'!$F$6="",H152&lt;'설정'!$F$6)),'설정'!$B$6,IF(AND(OR('설정'!$C$7="",G152&gt;='설정'!$C$7),OR('설정'!$D$7="",G152&lt;'설정'!$D$7),OR('설정'!$E$7="",H152&gt;='설정'!$E$7),OR('설정'!$F$7="",H152&lt;'설정'!$F$7)),'설정'!$B$7,IF(AND(OR('설정'!$C$8="",G152&gt;='설정'!$C$8),OR('설정'!$D$8="",G152&lt;'설정'!$D$8),OR('설정'!$E$8="",H152&gt;='설정'!$E$8),OR('설정'!$F$8="",H152&lt;'설정'!$F$8)),'설정'!$B$8,'설정'!$B$9)))))</f>
        <v/>
      </c>
      <c r="L152" s="29">
        <f>IF(OR(G152="",H152=""),"",IF(SUMPRODUCT(ISNUMBER('설정'!$C$6:$D$8)*(ABS(G152-'설정'!$C$6:$D$8)&lt;='설정'!$C$15))+SUMPRODUCT(ISNUMBER('설정'!$E$6:$F$8)*(ABS(H152-'설정'!$E$6:$F$8)&lt;='설정'!$C$15))&gt;0,"경계",""))</f>
        <v/>
      </c>
      <c r="M152" s="7" t="n"/>
      <c r="N152" s="7" t="n"/>
      <c r="O152" s="27">
        <f>IF(M152&lt;&gt;"",M152,K152)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OR(G153="",H153=""),'설정'!$B$9,IF(AND(OR('설정'!$C$6="",G153&gt;='설정'!$C$6),OR('설정'!$D$6="",G153&lt;'설정'!$D$6),OR('설정'!$E$6="",H153&gt;='설정'!$E$6),OR('설정'!$F$6="",H153&lt;'설정'!$F$6)),'설정'!$B$6,IF(AND(OR('설정'!$C$7="",G153&gt;='설정'!$C$7),OR('설정'!$D$7="",G153&lt;'설정'!$D$7),OR('설정'!$E$7="",H153&gt;='설정'!$E$7),OR('설정'!$F$7="",H153&lt;'설정'!$F$7)),'설정'!$B$7,IF(AND(OR('설정'!$C$8="",G153&gt;='설정'!$C$8),OR('설정'!$D$8="",G153&lt;'설정'!$D$8),OR('설정'!$E$8="",H153&gt;='설정'!$E$8),OR('설정'!$F$8="",H153&lt;'설정'!$F$8)),'설정'!$B$8,'설정'!$B$9)))))</f>
        <v/>
      </c>
      <c r="L153" s="29">
        <f>IF(OR(G153="",H153=""),"",IF(SUMPRODUCT(ISNUMBER('설정'!$C$6:$D$8)*(ABS(G153-'설정'!$C$6:$D$8)&lt;='설정'!$C$15))+SUMPRODUCT(ISNUMBER('설정'!$E$6:$F$8)*(ABS(H153-'설정'!$E$6:$F$8)&lt;='설정'!$C$15))&gt;0,"경계",""))</f>
        <v/>
      </c>
      <c r="M153" s="7" t="n"/>
      <c r="N153" s="7" t="n"/>
      <c r="O153" s="27">
        <f>IF(M153&lt;&gt;"",M153,K153)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OR(G154="",H154=""),'설정'!$B$9,IF(AND(OR('설정'!$C$6="",G154&gt;='설정'!$C$6),OR('설정'!$D$6="",G154&lt;'설정'!$D$6),OR('설정'!$E$6="",H154&gt;='설정'!$E$6),OR('설정'!$F$6="",H154&lt;'설정'!$F$6)),'설정'!$B$6,IF(AND(OR('설정'!$C$7="",G154&gt;='설정'!$C$7),OR('설정'!$D$7="",G154&lt;'설정'!$D$7),OR('설정'!$E$7="",H154&gt;='설정'!$E$7),OR('설정'!$F$7="",H154&lt;'설정'!$F$7)),'설정'!$B$7,IF(AND(OR('설정'!$C$8="",G154&gt;='설정'!$C$8),OR('설정'!$D$8="",G154&lt;'설정'!$D$8),OR('설정'!$E$8="",H154&gt;='설정'!$E$8),OR('설정'!$F$8="",H154&lt;'설정'!$F$8)),'설정'!$B$8,'설정'!$B$9)))))</f>
        <v/>
      </c>
      <c r="L154" s="29">
        <f>IF(OR(G154="",H154=""),"",IF(SUMPRODUCT(ISNUMBER('설정'!$C$6:$D$8)*(ABS(G154-'설정'!$C$6:$D$8)&lt;='설정'!$C$15))+SUMPRODUCT(ISNUMBER('설정'!$E$6:$F$8)*(ABS(H154-'설정'!$E$6:$F$8)&lt;='설정'!$C$15))&gt;0,"경계",""))</f>
        <v/>
      </c>
      <c r="M154" s="7" t="n"/>
      <c r="N154" s="7" t="n"/>
      <c r="O154" s="27">
        <f>IF(M154&lt;&gt;"",M154,K154)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OR(G155="",H155=""),'설정'!$B$9,IF(AND(OR('설정'!$C$6="",G155&gt;='설정'!$C$6),OR('설정'!$D$6="",G155&lt;'설정'!$D$6),OR('설정'!$E$6="",H155&gt;='설정'!$E$6),OR('설정'!$F$6="",H155&lt;'설정'!$F$6)),'설정'!$B$6,IF(AND(OR('설정'!$C$7="",G155&gt;='설정'!$C$7),OR('설정'!$D$7="",G155&lt;'설정'!$D$7),OR('설정'!$E$7="",H155&gt;='설정'!$E$7),OR('설정'!$F$7="",H155&lt;'설정'!$F$7)),'설정'!$B$7,IF(AND(OR('설정'!$C$8="",G155&gt;='설정'!$C$8),OR('설정'!$D$8="",G155&lt;'설정'!$D$8),OR('설정'!$E$8="",H155&gt;='설정'!$E$8),OR('설정'!$F$8="",H155&lt;'설정'!$F$8)),'설정'!$B$8,'설정'!$B$9)))))</f>
        <v/>
      </c>
      <c r="L155" s="29">
        <f>IF(OR(G155="",H155=""),"",IF(SUMPRODUCT(ISNUMBER('설정'!$C$6:$D$8)*(ABS(G155-'설정'!$C$6:$D$8)&lt;='설정'!$C$15))+SUMPRODUCT(ISNUMBER('설정'!$E$6:$F$8)*(ABS(H155-'설정'!$E$6:$F$8)&lt;='설정'!$C$15))&gt;0,"경계",""))</f>
        <v/>
      </c>
      <c r="M155" s="7" t="n"/>
      <c r="N155" s="7" t="n"/>
      <c r="O155" s="27">
        <f>IF(M155&lt;&gt;"",M155,K155)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OR(G156="",H156=""),'설정'!$B$9,IF(AND(OR('설정'!$C$6="",G156&gt;='설정'!$C$6),OR('설정'!$D$6="",G156&lt;'설정'!$D$6),OR('설정'!$E$6="",H156&gt;='설정'!$E$6),OR('설정'!$F$6="",H156&lt;'설정'!$F$6)),'설정'!$B$6,IF(AND(OR('설정'!$C$7="",G156&gt;='설정'!$C$7),OR('설정'!$D$7="",G156&lt;'설정'!$D$7),OR('설정'!$E$7="",H156&gt;='설정'!$E$7),OR('설정'!$F$7="",H156&lt;'설정'!$F$7)),'설정'!$B$7,IF(AND(OR('설정'!$C$8="",G156&gt;='설정'!$C$8),OR('설정'!$D$8="",G156&lt;'설정'!$D$8),OR('설정'!$E$8="",H156&gt;='설정'!$E$8),OR('설정'!$F$8="",H156&lt;'설정'!$F$8)),'설정'!$B$8,'설정'!$B$9)))))</f>
        <v/>
      </c>
      <c r="L156" s="29">
        <f>IF(OR(G156="",H156=""),"",IF(SUMPRODUCT(ISNUMBER('설정'!$C$6:$D$8)*(ABS(G156-'설정'!$C$6:$D$8)&lt;='설정'!$C$15))+SUMPRODUCT(ISNUMBER('설정'!$E$6:$F$8)*(ABS(H156-'설정'!$E$6:$F$8)&lt;='설정'!$C$15))&gt;0,"경계",""))</f>
        <v/>
      </c>
      <c r="M156" s="7" t="n"/>
      <c r="N156" s="7" t="n"/>
      <c r="O156" s="27">
        <f>IF(M156&lt;&gt;"",M156,K156)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15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7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7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7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7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7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7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7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7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7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7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7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7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7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7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7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7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7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7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7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7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7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7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7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7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7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7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7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7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7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7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7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7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7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7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7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7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7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7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7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7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7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7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7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7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7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7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7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7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7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7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7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7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7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7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7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7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7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7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7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7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7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7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7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7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7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7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7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7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7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7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7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7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7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7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7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7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7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7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7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7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7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7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7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7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7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7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7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7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7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7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7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7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7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7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7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7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7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7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7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7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7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7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7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7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7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7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7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7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7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7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7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7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7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7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7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7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7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7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7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7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7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7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7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7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7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7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7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7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7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7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7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7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7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7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7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7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7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7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7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7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7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7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7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7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7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7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7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7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7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7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1">
        <f>IF(OR(F6="",G6=0),"",H6/G6)</f>
        <v/>
      </c>
      <c r="J6" s="42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2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2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3">
        <f>IF(OR(J6="",L6=""),"",J6-L6)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IF(G6=0,"",COUNTIF('공수1'!$D$7:$D$156,1))</f>
        <v/>
      </c>
      <c r="P6" s="39">
        <f>IF(G6=0,"",COUNTIF('공수1'!$D$7:$D$156,2))</f>
        <v/>
      </c>
      <c r="Q6" s="39">
        <f>IF(G6=0,"",COUNTIF('공수1'!$D$7:$D$156,3))</f>
        <v/>
      </c>
      <c r="R6" s="39">
        <f>IF(G6=0,"",COUNTIF('공수1'!$D$7:$D$156,4))</f>
        <v/>
      </c>
      <c r="S6" s="39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1">
        <f>IF(OR(F7="",G7=0),"",H7/G7)</f>
        <v/>
      </c>
      <c r="J7" s="42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2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2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3">
        <f>IF(OR(J7="",L7=""),"",J7-L7)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IF(G7=0,"",COUNTIF('공수1'!$E$7:$E$156,1))</f>
        <v/>
      </c>
      <c r="P7" s="39">
        <f>IF(G7=0,"",COUNTIF('공수1'!$E$7:$E$156,2))</f>
        <v/>
      </c>
      <c r="Q7" s="39">
        <f>IF(G7=0,"",COUNTIF('공수1'!$E$7:$E$156,3))</f>
        <v/>
      </c>
      <c r="R7" s="39">
        <f>IF(G7=0,"",COUNTIF('공수1'!$E$7:$E$156,4))</f>
        <v/>
      </c>
      <c r="S7" s="39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1">
        <f>IF(OR(F8="",G8=0),"",H8/G8)</f>
        <v/>
      </c>
      <c r="J8" s="42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2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2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3">
        <f>IF(OR(J8="",L8=""),"",J8-L8)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IF(G8=0,"",COUNTIF('공수1'!$F$7:$F$156,1))</f>
        <v/>
      </c>
      <c r="P8" s="39">
        <f>IF(G8=0,"",COUNTIF('공수1'!$F$7:$F$156,2))</f>
        <v/>
      </c>
      <c r="Q8" s="39">
        <f>IF(G8=0,"",COUNTIF('공수1'!$F$7:$F$156,3))</f>
        <v/>
      </c>
      <c r="R8" s="39">
        <f>IF(G8=0,"",COUNTIF('공수1'!$F$7:$F$156,4))</f>
        <v/>
      </c>
      <c r="S8" s="39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1">
        <f>IF(OR(F9="",G9=0),"",H9/G9)</f>
        <v/>
      </c>
      <c r="J9" s="42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2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2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3">
        <f>IF(OR(J9="",L9=""),"",J9-L9)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IF(G9=0,"",COUNTIF('공수1'!$G$7:$G$156,1))</f>
        <v/>
      </c>
      <c r="P9" s="39">
        <f>IF(G9=0,"",COUNTIF('공수1'!$G$7:$G$156,2))</f>
        <v/>
      </c>
      <c r="Q9" s="39">
        <f>IF(G9=0,"",COUNTIF('공수1'!$G$7:$G$156,3))</f>
        <v/>
      </c>
      <c r="R9" s="39">
        <f>IF(G9=0,"",COUNTIF('공수1'!$G$7:$G$156,4))</f>
        <v/>
      </c>
      <c r="S9" s="39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1">
        <f>IF(OR(F10="",G10=0),"",H10/G10)</f>
        <v/>
      </c>
      <c r="J10" s="42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2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2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3">
        <f>IF(OR(J10="",L10=""),"",J10-L10)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IF(G10=0,"",COUNTIF('공수1'!$H$7:$H$156,1))</f>
        <v/>
      </c>
      <c r="P10" s="39">
        <f>IF(G10=0,"",COUNTIF('공수1'!$H$7:$H$156,2))</f>
        <v/>
      </c>
      <c r="Q10" s="39">
        <f>IF(G10=0,"",COUNTIF('공수1'!$H$7:$H$156,3))</f>
        <v/>
      </c>
      <c r="R10" s="39">
        <f>IF(G10=0,"",COUNTIF('공수1'!$H$7:$H$156,4))</f>
        <v/>
      </c>
      <c r="S10" s="39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1">
        <f>IF(OR(F11="",G11=0),"",H11/G11)</f>
        <v/>
      </c>
      <c r="J11" s="42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2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2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3">
        <f>IF(OR(J11="",L11=""),"",J11-L11)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IF(G11=0,"",COUNTIF('공수1'!$I$7:$I$156,1))</f>
        <v/>
      </c>
      <c r="P11" s="39">
        <f>IF(G11=0,"",COUNTIF('공수1'!$I$7:$I$156,2))</f>
        <v/>
      </c>
      <c r="Q11" s="39">
        <f>IF(G11=0,"",COUNTIF('공수1'!$I$7:$I$156,3))</f>
        <v/>
      </c>
      <c r="R11" s="39">
        <f>IF(G11=0,"",COUNTIF('공수1'!$I$7:$I$156,4))</f>
        <v/>
      </c>
      <c r="S11" s="39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1">
        <f>IF(OR(F12="",G12=0),"",H12/G12)</f>
        <v/>
      </c>
      <c r="J12" s="42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2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2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3">
        <f>IF(OR(J12="",L12=""),"",J12-L12)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IF(G12=0,"",COUNTIF('공수1'!$J$7:$J$156,1))</f>
        <v/>
      </c>
      <c r="P12" s="39">
        <f>IF(G12=0,"",COUNTIF('공수1'!$J$7:$J$156,2))</f>
        <v/>
      </c>
      <c r="Q12" s="39">
        <f>IF(G12=0,"",COUNTIF('공수1'!$J$7:$J$156,3))</f>
        <v/>
      </c>
      <c r="R12" s="39">
        <f>IF(G12=0,"",COUNTIF('공수1'!$J$7:$J$156,4))</f>
        <v/>
      </c>
      <c r="S12" s="39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1">
        <f>IF(OR(F13="",G13=0),"",H13/G13)</f>
        <v/>
      </c>
      <c r="J13" s="42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2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2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3">
        <f>IF(OR(J13="",L13=""),"",J13-L13)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IF(G13=0,"",COUNTIF('공수1'!$K$7:$K$156,1))</f>
        <v/>
      </c>
      <c r="P13" s="39">
        <f>IF(G13=0,"",COUNTIF('공수1'!$K$7:$K$156,2))</f>
        <v/>
      </c>
      <c r="Q13" s="39">
        <f>IF(G13=0,"",COUNTIF('공수1'!$K$7:$K$156,3))</f>
        <v/>
      </c>
      <c r="R13" s="39">
        <f>IF(G13=0,"",COUNTIF('공수1'!$K$7:$K$156,4))</f>
        <v/>
      </c>
      <c r="S13" s="39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1">
        <f>IF(OR(F14="",G14=0),"",H14/G14)</f>
        <v/>
      </c>
      <c r="J14" s="42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2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2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3">
        <f>IF(OR(J14="",L14=""),"",J14-L14)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IF(G14=0,"",COUNTIF('공수1'!$L$7:$L$156,1))</f>
        <v/>
      </c>
      <c r="P14" s="39">
        <f>IF(G14=0,"",COUNTIF('공수1'!$L$7:$L$156,2))</f>
        <v/>
      </c>
      <c r="Q14" s="39">
        <f>IF(G14=0,"",COUNTIF('공수1'!$L$7:$L$156,3))</f>
        <v/>
      </c>
      <c r="R14" s="39">
        <f>IF(G14=0,"",COUNTIF('공수1'!$L$7:$L$156,4))</f>
        <v/>
      </c>
      <c r="S14" s="39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1">
        <f>IF(OR(F15="",G15=0),"",H15/G15)</f>
        <v/>
      </c>
      <c r="J15" s="42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2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2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3">
        <f>IF(OR(J15="",L15=""),"",J15-L15)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IF(G15=0,"",COUNTIF('공수1'!$M$7:$M$156,1))</f>
        <v/>
      </c>
      <c r="P15" s="39">
        <f>IF(G15=0,"",COUNTIF('공수1'!$M$7:$M$156,2))</f>
        <v/>
      </c>
      <c r="Q15" s="39">
        <f>IF(G15=0,"",COUNTIF('공수1'!$M$7:$M$156,3))</f>
        <v/>
      </c>
      <c r="R15" s="39">
        <f>IF(G15=0,"",COUNTIF('공수1'!$M$7:$M$156,4))</f>
        <v/>
      </c>
      <c r="S15" s="39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1">
        <f>IF(OR(F16="",G16=0),"",H16/G16)</f>
        <v/>
      </c>
      <c r="J16" s="42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2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2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3">
        <f>IF(OR(J16="",L16=""),"",J16-L16)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IF(G16=0,"",COUNTIF('공수1'!$N$7:$N$156,1))</f>
        <v/>
      </c>
      <c r="P16" s="39">
        <f>IF(G16=0,"",COUNTIF('공수1'!$N$7:$N$156,2))</f>
        <v/>
      </c>
      <c r="Q16" s="39">
        <f>IF(G16=0,"",COUNTIF('공수1'!$N$7:$N$156,3))</f>
        <v/>
      </c>
      <c r="R16" s="39">
        <f>IF(G16=0,"",COUNTIF('공수1'!$N$7:$N$156,4))</f>
        <v/>
      </c>
      <c r="S16" s="39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1">
        <f>IF(OR(F17="",G17=0),"",H17/G17)</f>
        <v/>
      </c>
      <c r="J17" s="42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2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2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3">
        <f>IF(OR(J17="",L17=""),"",J17-L17)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IF(G17=0,"",COUNTIF('공수1'!$O$7:$O$156,1))</f>
        <v/>
      </c>
      <c r="P17" s="39">
        <f>IF(G17=0,"",COUNTIF('공수1'!$O$7:$O$156,2))</f>
        <v/>
      </c>
      <c r="Q17" s="39">
        <f>IF(G17=0,"",COUNTIF('공수1'!$O$7:$O$156,3))</f>
        <v/>
      </c>
      <c r="R17" s="39">
        <f>IF(G17=0,"",COUNTIF('공수1'!$O$7:$O$156,4))</f>
        <v/>
      </c>
      <c r="S17" s="39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1">
        <f>IF(OR(F18="",G18=0),"",H18/G18)</f>
        <v/>
      </c>
      <c r="J18" s="42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2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2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3">
        <f>IF(OR(J18="",L18=""),"",J18-L18)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IF(G18=0,"",COUNTIF('공수1'!$P$7:$P$156,1))</f>
        <v/>
      </c>
      <c r="P18" s="39">
        <f>IF(G18=0,"",COUNTIF('공수1'!$P$7:$P$156,2))</f>
        <v/>
      </c>
      <c r="Q18" s="39">
        <f>IF(G18=0,"",COUNTIF('공수1'!$P$7:$P$156,3))</f>
        <v/>
      </c>
      <c r="R18" s="39">
        <f>IF(G18=0,"",COUNTIF('공수1'!$P$7:$P$156,4))</f>
        <v/>
      </c>
      <c r="S18" s="39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1">
        <f>IF(OR(F19="",G19=0),"",H19/G19)</f>
        <v/>
      </c>
      <c r="J19" s="42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2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2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3">
        <f>IF(OR(J19="",L19=""),"",J19-L19)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IF(G19=0,"",COUNTIF('공수1'!$Q$7:$Q$156,1))</f>
        <v/>
      </c>
      <c r="P19" s="39">
        <f>IF(G19=0,"",COUNTIF('공수1'!$Q$7:$Q$156,2))</f>
        <v/>
      </c>
      <c r="Q19" s="39">
        <f>IF(G19=0,"",COUNTIF('공수1'!$Q$7:$Q$156,3))</f>
        <v/>
      </c>
      <c r="R19" s="39">
        <f>IF(G19=0,"",COUNTIF('공수1'!$Q$7:$Q$156,4))</f>
        <v/>
      </c>
      <c r="S19" s="39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1">
        <f>IF(OR(F20="",G20=0),"",H20/G20)</f>
        <v/>
      </c>
      <c r="J20" s="42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2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2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3">
        <f>IF(OR(J20="",L20=""),"",J20-L20)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1">
        <f>IF(OR(F21="",G21=0),"",H21/G21)</f>
        <v/>
      </c>
      <c r="J21" s="42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2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2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3">
        <f>IF(OR(J21="",L21=""),"",J21-L21)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1">
        <f>IF(OR(F22="",G22=0),"",H22/G22)</f>
        <v/>
      </c>
      <c r="J22" s="42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2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2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3">
        <f>IF(OR(J22="",L22=""),"",J22-L22)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1">
        <f>IF(OR(F23="",G23=0),"",H23/G23)</f>
        <v/>
      </c>
      <c r="J23" s="42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2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2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3">
        <f>IF(OR(J23="",L23=""),"",J23-L23)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1">
        <f>IF(OR(F24="",G24=0),"",H24/G24)</f>
        <v/>
      </c>
      <c r="J24" s="42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2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2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3">
        <f>IF(OR(J24="",L24=""),"",J24-L24)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1">
        <f>IF(OR(F25="",G25=0),"",H25/G25)</f>
        <v/>
      </c>
      <c r="J25" s="42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2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2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3">
        <f>IF(OR(J25="",L25=""),"",J25-L25)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1">
        <f>IF(OR(F30="",G30=0),"",H30/G30)</f>
        <v/>
      </c>
      <c r="J30" s="42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2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2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3">
        <f>IF(OR(J30="",L30=""),"",J30-L30)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IF(G30=0,"",COUNTIF('공수2'!$D$7:$D$156,1))</f>
        <v/>
      </c>
      <c r="P30" s="39">
        <f>IF(G30=0,"",COUNTIF('공수2'!$D$7:$D$156,2))</f>
        <v/>
      </c>
      <c r="Q30" s="39">
        <f>IF(G30=0,"",COUNTIF('공수2'!$D$7:$D$156,3))</f>
        <v/>
      </c>
      <c r="R30" s="39">
        <f>IF(G30=0,"",COUNTIF('공수2'!$D$7:$D$156,4))</f>
        <v/>
      </c>
      <c r="S30" s="39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1">
        <f>IF(OR(F31="",G31=0),"",H31/G31)</f>
        <v/>
      </c>
      <c r="J31" s="42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2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2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3">
        <f>IF(OR(J31="",L31=""),"",J31-L31)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IF(G31=0,"",COUNTIF('공수2'!$E$7:$E$156,1))</f>
        <v/>
      </c>
      <c r="P31" s="39">
        <f>IF(G31=0,"",COUNTIF('공수2'!$E$7:$E$156,2))</f>
        <v/>
      </c>
      <c r="Q31" s="39">
        <f>IF(G31=0,"",COUNTIF('공수2'!$E$7:$E$156,3))</f>
        <v/>
      </c>
      <c r="R31" s="39">
        <f>IF(G31=0,"",COUNTIF('공수2'!$E$7:$E$156,4))</f>
        <v/>
      </c>
      <c r="S31" s="39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1">
        <f>IF(OR(F32="",G32=0),"",H32/G32)</f>
        <v/>
      </c>
      <c r="J32" s="42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2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2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3">
        <f>IF(OR(J32="",L32=""),"",J32-L32)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IF(G32=0,"",COUNTIF('공수2'!$F$7:$F$156,1))</f>
        <v/>
      </c>
      <c r="P32" s="39">
        <f>IF(G32=0,"",COUNTIF('공수2'!$F$7:$F$156,2))</f>
        <v/>
      </c>
      <c r="Q32" s="39">
        <f>IF(G32=0,"",COUNTIF('공수2'!$F$7:$F$156,3))</f>
        <v/>
      </c>
      <c r="R32" s="39">
        <f>IF(G32=0,"",COUNTIF('공수2'!$F$7:$F$156,4))</f>
        <v/>
      </c>
      <c r="S32" s="39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1">
        <f>IF(OR(F33="",G33=0),"",H33/G33)</f>
        <v/>
      </c>
      <c r="J33" s="42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2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2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3">
        <f>IF(OR(J33="",L33=""),"",J33-L33)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IF(G33=0,"",COUNTIF('공수2'!$G$7:$G$156,1))</f>
        <v/>
      </c>
      <c r="P33" s="39">
        <f>IF(G33=0,"",COUNTIF('공수2'!$G$7:$G$156,2))</f>
        <v/>
      </c>
      <c r="Q33" s="39">
        <f>IF(G33=0,"",COUNTIF('공수2'!$G$7:$G$156,3))</f>
        <v/>
      </c>
      <c r="R33" s="39">
        <f>IF(G33=0,"",COUNTIF('공수2'!$G$7:$G$156,4))</f>
        <v/>
      </c>
      <c r="S33" s="39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1">
        <f>IF(OR(F34="",G34=0),"",H34/G34)</f>
        <v/>
      </c>
      <c r="J34" s="42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2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2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3">
        <f>IF(OR(J34="",L34=""),"",J34-L34)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IF(G34=0,"",COUNTIF('공수2'!$H$7:$H$156,1))</f>
        <v/>
      </c>
      <c r="P34" s="39">
        <f>IF(G34=0,"",COUNTIF('공수2'!$H$7:$H$156,2))</f>
        <v/>
      </c>
      <c r="Q34" s="39">
        <f>IF(G34=0,"",COUNTIF('공수2'!$H$7:$H$156,3))</f>
        <v/>
      </c>
      <c r="R34" s="39">
        <f>IF(G34=0,"",COUNTIF('공수2'!$H$7:$H$156,4))</f>
        <v/>
      </c>
      <c r="S34" s="39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1">
        <f>IF(OR(F35="",G35=0),"",H35/G35)</f>
        <v/>
      </c>
      <c r="J35" s="42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2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2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3">
        <f>IF(OR(J35="",L35=""),"",J35-L35)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IF(G35=0,"",COUNTIF('공수2'!$I$7:$I$156,1))</f>
        <v/>
      </c>
      <c r="P35" s="39">
        <f>IF(G35=0,"",COUNTIF('공수2'!$I$7:$I$156,2))</f>
        <v/>
      </c>
      <c r="Q35" s="39">
        <f>IF(G35=0,"",COUNTIF('공수2'!$I$7:$I$156,3))</f>
        <v/>
      </c>
      <c r="R35" s="39">
        <f>IF(G35=0,"",COUNTIF('공수2'!$I$7:$I$156,4))</f>
        <v/>
      </c>
      <c r="S35" s="39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1">
        <f>IF(OR(F36="",G36=0),"",H36/G36)</f>
        <v/>
      </c>
      <c r="J36" s="42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2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2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3">
        <f>IF(OR(J36="",L36=""),"",J36-L36)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IF(G36=0,"",COUNTIF('공수2'!$J$7:$J$156,1))</f>
        <v/>
      </c>
      <c r="P36" s="39">
        <f>IF(G36=0,"",COUNTIF('공수2'!$J$7:$J$156,2))</f>
        <v/>
      </c>
      <c r="Q36" s="39">
        <f>IF(G36=0,"",COUNTIF('공수2'!$J$7:$J$156,3))</f>
        <v/>
      </c>
      <c r="R36" s="39">
        <f>IF(G36=0,"",COUNTIF('공수2'!$J$7:$J$156,4))</f>
        <v/>
      </c>
      <c r="S36" s="39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1">
        <f>IF(OR(F37="",G37=0),"",H37/G37)</f>
        <v/>
      </c>
      <c r="J37" s="42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2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2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3">
        <f>IF(OR(J37="",L37=""),"",J37-L37)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IF(G37=0,"",COUNTIF('공수2'!$K$7:$K$156,1))</f>
        <v/>
      </c>
      <c r="P37" s="39">
        <f>IF(G37=0,"",COUNTIF('공수2'!$K$7:$K$156,2))</f>
        <v/>
      </c>
      <c r="Q37" s="39">
        <f>IF(G37=0,"",COUNTIF('공수2'!$K$7:$K$156,3))</f>
        <v/>
      </c>
      <c r="R37" s="39">
        <f>IF(G37=0,"",COUNTIF('공수2'!$K$7:$K$156,4))</f>
        <v/>
      </c>
      <c r="S37" s="39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1">
        <f>IF(OR(F38="",G38=0),"",H38/G38)</f>
        <v/>
      </c>
      <c r="J38" s="42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2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2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3">
        <f>IF(OR(J38="",L38=""),"",J38-L38)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IF(G38=0,"",COUNTIF('공수2'!$L$7:$L$156,1))</f>
        <v/>
      </c>
      <c r="P38" s="39">
        <f>IF(G38=0,"",COUNTIF('공수2'!$L$7:$L$156,2))</f>
        <v/>
      </c>
      <c r="Q38" s="39">
        <f>IF(G38=0,"",COUNTIF('공수2'!$L$7:$L$156,3))</f>
        <v/>
      </c>
      <c r="R38" s="39">
        <f>IF(G38=0,"",COUNTIF('공수2'!$L$7:$L$156,4))</f>
        <v/>
      </c>
      <c r="S38" s="39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1">
        <f>IF(OR(F39="",G39=0),"",H39/G39)</f>
        <v/>
      </c>
      <c r="J39" s="42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2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2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3">
        <f>IF(OR(J39="",L39=""),"",J39-L39)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IF(G39=0,"",COUNTIF('공수2'!$M$7:$M$156,1))</f>
        <v/>
      </c>
      <c r="P39" s="39">
        <f>IF(G39=0,"",COUNTIF('공수2'!$M$7:$M$156,2))</f>
        <v/>
      </c>
      <c r="Q39" s="39">
        <f>IF(G39=0,"",COUNTIF('공수2'!$M$7:$M$156,3))</f>
        <v/>
      </c>
      <c r="R39" s="39">
        <f>IF(G39=0,"",COUNTIF('공수2'!$M$7:$M$156,4))</f>
        <v/>
      </c>
      <c r="S39" s="39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1">
        <f>IF(OR(F40="",G40=0),"",H40/G40)</f>
        <v/>
      </c>
      <c r="J40" s="42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2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2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3">
        <f>IF(OR(J40="",L40=""),"",J40-L40)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IF(G40=0,"",COUNTIF('공수2'!$N$7:$N$156,1))</f>
        <v/>
      </c>
      <c r="P40" s="39">
        <f>IF(G40=0,"",COUNTIF('공수2'!$N$7:$N$156,2))</f>
        <v/>
      </c>
      <c r="Q40" s="39">
        <f>IF(G40=0,"",COUNTIF('공수2'!$N$7:$N$156,3))</f>
        <v/>
      </c>
      <c r="R40" s="39">
        <f>IF(G40=0,"",COUNTIF('공수2'!$N$7:$N$156,4))</f>
        <v/>
      </c>
      <c r="S40" s="39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1">
        <f>IF(OR(F41="",G41=0),"",H41/G41)</f>
        <v/>
      </c>
      <c r="J41" s="42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2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2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3">
        <f>IF(OR(J41="",L41=""),"",J41-L41)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IF(G41=0,"",COUNTIF('공수2'!$O$7:$O$156,1))</f>
        <v/>
      </c>
      <c r="P41" s="39">
        <f>IF(G41=0,"",COUNTIF('공수2'!$O$7:$O$156,2))</f>
        <v/>
      </c>
      <c r="Q41" s="39">
        <f>IF(G41=0,"",COUNTIF('공수2'!$O$7:$O$156,3))</f>
        <v/>
      </c>
      <c r="R41" s="39">
        <f>IF(G41=0,"",COUNTIF('공수2'!$O$7:$O$156,4))</f>
        <v/>
      </c>
      <c r="S41" s="39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1">
        <f>IF(OR(F42="",G42=0),"",H42/G42)</f>
        <v/>
      </c>
      <c r="J42" s="42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2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2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3">
        <f>IF(OR(J42="",L42=""),"",J42-L42)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IF(G42=0,"",COUNTIF('공수2'!$P$7:$P$156,1))</f>
        <v/>
      </c>
      <c r="P42" s="39">
        <f>IF(G42=0,"",COUNTIF('공수2'!$P$7:$P$156,2))</f>
        <v/>
      </c>
      <c r="Q42" s="39">
        <f>IF(G42=0,"",COUNTIF('공수2'!$P$7:$P$156,3))</f>
        <v/>
      </c>
      <c r="R42" s="39">
        <f>IF(G42=0,"",COUNTIF('공수2'!$P$7:$P$156,4))</f>
        <v/>
      </c>
      <c r="S42" s="39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1">
        <f>IF(OR(F43="",G43=0),"",H43/G43)</f>
        <v/>
      </c>
      <c r="J43" s="42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2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2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3">
        <f>IF(OR(J43="",L43=""),"",J43-L43)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IF(G43=0,"",COUNTIF('공수2'!$Q$7:$Q$156,1))</f>
        <v/>
      </c>
      <c r="P43" s="39">
        <f>IF(G43=0,"",COUNTIF('공수2'!$Q$7:$Q$156,2))</f>
        <v/>
      </c>
      <c r="Q43" s="39">
        <f>IF(G43=0,"",COUNTIF('공수2'!$Q$7:$Q$156,3))</f>
        <v/>
      </c>
      <c r="R43" s="39">
        <f>IF(G43=0,"",COUNTIF('공수2'!$Q$7:$Q$156,4))</f>
        <v/>
      </c>
      <c r="S43" s="39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1">
        <f>IF(OR(F44="",G44=0),"",H44/G44)</f>
        <v/>
      </c>
      <c r="J44" s="42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2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2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3">
        <f>IF(OR(J44="",L44=""),"",J44-L44)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1">
        <f>IF(OR(F45="",G45=0),"",H45/G45)</f>
        <v/>
      </c>
      <c r="J45" s="42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2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2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3">
        <f>IF(OR(J45="",L45=""),"",J45-L45)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1">
        <f>IF(OR(F46="",G46=0),"",H46/G46)</f>
        <v/>
      </c>
      <c r="J46" s="42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2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2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3">
        <f>IF(OR(J46="",L46=""),"",J46-L46)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1">
        <f>IF(OR(F47="",G47=0),"",H47/G47)</f>
        <v/>
      </c>
      <c r="J47" s="42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2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2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3">
        <f>IF(OR(J47="",L47=""),"",J47-L47)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1">
        <f>IF(OR(F48="",G48=0),"",H48/G48)</f>
        <v/>
      </c>
      <c r="J48" s="42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2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2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3">
        <f>IF(OR(J48="",L48=""),"",J48-L48)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1">
        <f>IF(OR(F49="",G49=0),"",H49/G49)</f>
        <v/>
      </c>
      <c r="J49" s="42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2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2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3">
        <f>IF(OR(J49="",L49=""),"",J49-L49)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2026-10-15T06:32:27Z</dcterms:created>
  <dcterms:modified xmlns:dcterms="http://purl.org/dc/terms/" xmlns:xsi="http://www.w3.org/2001/XMLSchema-instance" xsi:type="dcterms:W3CDTF">2026-10-15T06:32:28Z</dcterms:modified>
</cp:coreProperties>
</file>