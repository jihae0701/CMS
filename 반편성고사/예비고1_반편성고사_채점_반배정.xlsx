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COUNTIF($O$7:$O$156,S7)</f>
        <v/>
      </c>
      <c r="V7" s="32">
        <f>IFERROR(AVERAGEIF($O$7:$O$156,S7,$G$7:$G$156),"")</f>
        <v/>
      </c>
      <c r="W7" s="32">
        <f>IFERROR(AVERAGEIF($O$7:$O$156,S7,$H$7:$H$156),"")</f>
        <v/>
      </c>
      <c r="X7" s="10">
        <f>COUNTIFS($O$7:$O$156,S7,$D$7:$D$156,"재원")</f>
        <v/>
      </c>
      <c r="Y7" s="10">
        <f>COUNTIFS($O$7:$O$156,S7,$D$7:$D$156,"외부")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COUNTIF($O$7:$O$156,S8)</f>
        <v/>
      </c>
      <c r="V8" s="32">
        <f>IFERROR(AVERAGEIF($O$7:$O$156,S8,$G$7:$G$156),"")</f>
        <v/>
      </c>
      <c r="W8" s="32">
        <f>IFERROR(AVERAGEIF($O$7:$O$156,S8,$H$7:$H$156),"")</f>
        <v/>
      </c>
      <c r="X8" s="10">
        <f>COUNTIFS($O$7:$O$156,S8,$D$7:$D$156,"재원")</f>
        <v/>
      </c>
      <c r="Y8" s="10">
        <f>COUNTIFS($O$7:$O$156,S8,$D$7:$D$156,"외부")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COUNTIF($O$7:$O$156,S9)</f>
        <v/>
      </c>
      <c r="V9" s="32">
        <f>IFERROR(AVERAGEIF($O$7:$O$156,S9,$G$7:$G$156),"")</f>
        <v/>
      </c>
      <c r="W9" s="32">
        <f>IFERROR(AVERAGEIF($O$7:$O$156,S9,$H$7:$H$156),"")</f>
        <v/>
      </c>
      <c r="X9" s="10">
        <f>COUNTIFS($O$7:$O$156,S9,$D$7:$D$156,"재원")</f>
        <v/>
      </c>
      <c r="Y9" s="10">
        <f>COUNTIFS($O$7:$O$156,S9,$D$7:$D$156,"외부")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COUNTIF($O$7:$O$156,S10)</f>
        <v/>
      </c>
      <c r="V10" s="32">
        <f>IFERROR(AVERAGEIF($O$7:$O$156,S10,$G$7:$G$156),"")</f>
        <v/>
      </c>
      <c r="W10" s="32">
        <f>IFERROR(AVERAGEIF($O$7:$O$156,S10,$H$7:$H$156),"")</f>
        <v/>
      </c>
      <c r="X10" s="10">
        <f>COUNTIFS($O$7:$O$156,S10,$D$7:$D$156,"재원")</f>
        <v/>
      </c>
      <c r="Y10" s="10">
        <f>COUNTIFS($O$7:$O$156,S10,$D$7:$D$156,"외부")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IFERROR(AVERAGE($G$7:$G$156),"")</f>
        <v/>
      </c>
      <c r="W11" s="36">
        <f>IFERROR(AVERAGE($H$7:$H$156),"")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IF(M87&lt;&gt;"",M87,K87)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IF(M88&lt;&gt;"",M88,K88)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IF(M89&lt;&gt;"",M89,K89)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IF(M90&lt;&gt;"",M90,K90)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IF(M91&lt;&gt;"",M91,K91)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IF(M92&lt;&gt;"",M92,K92)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IF(M93&lt;&gt;"",M93,K93)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IF(M94&lt;&gt;"",M94,K94)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IF(M95&lt;&gt;"",M95,K95)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IF(M96&lt;&gt;"",M96,K96)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IF(M97&lt;&gt;"",M97,K97)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IF(M98&lt;&gt;"",M98,K98)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IF(M99&lt;&gt;"",M99,K99)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IF(M100&lt;&gt;"",M100,K100)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IF(M101&lt;&gt;"",M101,K101)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IF(M102&lt;&gt;"",M102,K102)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IF(M103&lt;&gt;"",M103,K103)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IF(M104&lt;&gt;"",M104,K104)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IF(M105&lt;&gt;"",M105,K105)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IF(M106&lt;&gt;"",M106,K106)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IF(M107&lt;&gt;"",M107,K107)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IF(M108&lt;&gt;"",M108,K108)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IF(M109&lt;&gt;"",M109,K109)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IF(M110&lt;&gt;"",M110,K110)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IF(M111&lt;&gt;"",M111,K111)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IF(M112&lt;&gt;"",M112,K112)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IF(M113&lt;&gt;"",M113,K113)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IF(M114&lt;&gt;"",M114,K114)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IF(M115&lt;&gt;"",M115,K115)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IF(M116&lt;&gt;"",M116,K116)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IF(M117&lt;&gt;"",M117,K117)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IF(M118&lt;&gt;"",M118,K118)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IF(M119&lt;&gt;"",M119,K119)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IF(M120&lt;&gt;"",M120,K120)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IF(M121&lt;&gt;"",M121,K121)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IF(M122&lt;&gt;"",M122,K122)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IF(M123&lt;&gt;"",M123,K123)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IF(M124&lt;&gt;"",M124,K124)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IF(M125&lt;&gt;"",M125,K125)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IF(M126&lt;&gt;"",M126,K126)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IF(M127&lt;&gt;"",M127,K127)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IF(M128&lt;&gt;"",M128,K128)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IF(M129&lt;&gt;"",M129,K129)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IF(M130&lt;&gt;"",M130,K130)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IF(M131&lt;&gt;"",M131,K131)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IF(M132&lt;&gt;"",M132,K132)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IF(M133&lt;&gt;"",M133,K133)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IF(M134&lt;&gt;"",M134,K134)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IF(M135&lt;&gt;"",M135,K135)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IF(M136&lt;&gt;"",M136,K136)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IF(M137&lt;&gt;"",M137,K137)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IF(M138&lt;&gt;"",M138,K138)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IF(M139&lt;&gt;"",M139,K139)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IF(M140&lt;&gt;"",M140,K140)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IF(M141&lt;&gt;"",M141,K141)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IF(M142&lt;&gt;"",M142,K142)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IF(M143&lt;&gt;"",M143,K143)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IF(M144&lt;&gt;"",M144,K144)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IF(M145&lt;&gt;"",M145,K145)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IF(M146&lt;&gt;"",M146,K146)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IF(M147&lt;&gt;"",M147,K147)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IF(M148&lt;&gt;"",M148,K148)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IF(M149&lt;&gt;"",M149,K149)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IF(M150&lt;&gt;"",M150,K150)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IF(M151&lt;&gt;"",M151,K151)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IF(M152&lt;&gt;"",M152,K152)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IF(M153&lt;&gt;"",M153,K153)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IF(M154&lt;&gt;"",M154,K154)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IF(M155&lt;&gt;"",M155,K155)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IF(M156&lt;&gt;"",M156,K156)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15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7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7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7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7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7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7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7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7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7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7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7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7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7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7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7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7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7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7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7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7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7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7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7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7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7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7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7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7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7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7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7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7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7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7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7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7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7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7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7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7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7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7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7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7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7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7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7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7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7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7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7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7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7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7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7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7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7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7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7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7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7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7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7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7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7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7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7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7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7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7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7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7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7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7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7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7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7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7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7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7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7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7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7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7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7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7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7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7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7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7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7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7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7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7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7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7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7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7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7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7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7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7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7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7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7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7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7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7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7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7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7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7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7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7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7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7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7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7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7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7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7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7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7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7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7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7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7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7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7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7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7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7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7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7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7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7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7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7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7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7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7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7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7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7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7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7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7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7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7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7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1">
        <f>IF(OR(F6="",G6=0),"",H6/G6)</f>
        <v/>
      </c>
      <c r="J6" s="42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2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2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3">
        <f>IF(OR(J6="",L6=""),"",J6-L6)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IF(G6=0,"",COUNTIF('공수1'!$D$7:$D$156,1))</f>
        <v/>
      </c>
      <c r="P6" s="39">
        <f>IF(G6=0,"",COUNTIF('공수1'!$D$7:$D$156,2))</f>
        <v/>
      </c>
      <c r="Q6" s="39">
        <f>IF(G6=0,"",COUNTIF('공수1'!$D$7:$D$156,3))</f>
        <v/>
      </c>
      <c r="R6" s="39">
        <f>IF(G6=0,"",COUNTIF('공수1'!$D$7:$D$156,4))</f>
        <v/>
      </c>
      <c r="S6" s="39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1">
        <f>IF(OR(F7="",G7=0),"",H7/G7)</f>
        <v/>
      </c>
      <c r="J7" s="42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2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2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3">
        <f>IF(OR(J7="",L7=""),"",J7-L7)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IF(G7=0,"",COUNTIF('공수1'!$E$7:$E$156,1))</f>
        <v/>
      </c>
      <c r="P7" s="39">
        <f>IF(G7=0,"",COUNTIF('공수1'!$E$7:$E$156,2))</f>
        <v/>
      </c>
      <c r="Q7" s="39">
        <f>IF(G7=0,"",COUNTIF('공수1'!$E$7:$E$156,3))</f>
        <v/>
      </c>
      <c r="R7" s="39">
        <f>IF(G7=0,"",COUNTIF('공수1'!$E$7:$E$156,4))</f>
        <v/>
      </c>
      <c r="S7" s="39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1">
        <f>IF(OR(F8="",G8=0),"",H8/G8)</f>
        <v/>
      </c>
      <c r="J8" s="42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2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2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3">
        <f>IF(OR(J8="",L8=""),"",J8-L8)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IF(G8=0,"",COUNTIF('공수1'!$F$7:$F$156,1))</f>
        <v/>
      </c>
      <c r="P8" s="39">
        <f>IF(G8=0,"",COUNTIF('공수1'!$F$7:$F$156,2))</f>
        <v/>
      </c>
      <c r="Q8" s="39">
        <f>IF(G8=0,"",COUNTIF('공수1'!$F$7:$F$156,3))</f>
        <v/>
      </c>
      <c r="R8" s="39">
        <f>IF(G8=0,"",COUNTIF('공수1'!$F$7:$F$156,4))</f>
        <v/>
      </c>
      <c r="S8" s="39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1">
        <f>IF(OR(F9="",G9=0),"",H9/G9)</f>
        <v/>
      </c>
      <c r="J9" s="42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2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2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3">
        <f>IF(OR(J9="",L9=""),"",J9-L9)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IF(G9=0,"",COUNTIF('공수1'!$G$7:$G$156,1))</f>
        <v/>
      </c>
      <c r="P9" s="39">
        <f>IF(G9=0,"",COUNTIF('공수1'!$G$7:$G$156,2))</f>
        <v/>
      </c>
      <c r="Q9" s="39">
        <f>IF(G9=0,"",COUNTIF('공수1'!$G$7:$G$156,3))</f>
        <v/>
      </c>
      <c r="R9" s="39">
        <f>IF(G9=0,"",COUNTIF('공수1'!$G$7:$G$156,4))</f>
        <v/>
      </c>
      <c r="S9" s="39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1">
        <f>IF(OR(F10="",G10=0),"",H10/G10)</f>
        <v/>
      </c>
      <c r="J10" s="42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2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2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3">
        <f>IF(OR(J10="",L10=""),"",J10-L10)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IF(G10=0,"",COUNTIF('공수1'!$H$7:$H$156,1))</f>
        <v/>
      </c>
      <c r="P10" s="39">
        <f>IF(G10=0,"",COUNTIF('공수1'!$H$7:$H$156,2))</f>
        <v/>
      </c>
      <c r="Q10" s="39">
        <f>IF(G10=0,"",COUNTIF('공수1'!$H$7:$H$156,3))</f>
        <v/>
      </c>
      <c r="R10" s="39">
        <f>IF(G10=0,"",COUNTIF('공수1'!$H$7:$H$156,4))</f>
        <v/>
      </c>
      <c r="S10" s="39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1">
        <f>IF(OR(F11="",G11=0),"",H11/G11)</f>
        <v/>
      </c>
      <c r="J11" s="42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2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2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3">
        <f>IF(OR(J11="",L11=""),"",J11-L11)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IF(G11=0,"",COUNTIF('공수1'!$I$7:$I$156,1))</f>
        <v/>
      </c>
      <c r="P11" s="39">
        <f>IF(G11=0,"",COUNTIF('공수1'!$I$7:$I$156,2))</f>
        <v/>
      </c>
      <c r="Q11" s="39">
        <f>IF(G11=0,"",COUNTIF('공수1'!$I$7:$I$156,3))</f>
        <v/>
      </c>
      <c r="R11" s="39">
        <f>IF(G11=0,"",COUNTIF('공수1'!$I$7:$I$156,4))</f>
        <v/>
      </c>
      <c r="S11" s="39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1">
        <f>IF(OR(F12="",G12=0),"",H12/G12)</f>
        <v/>
      </c>
      <c r="J12" s="42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2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2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3">
        <f>IF(OR(J12="",L12=""),"",J12-L12)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IF(G12=0,"",COUNTIF('공수1'!$J$7:$J$156,1))</f>
        <v/>
      </c>
      <c r="P12" s="39">
        <f>IF(G12=0,"",COUNTIF('공수1'!$J$7:$J$156,2))</f>
        <v/>
      </c>
      <c r="Q12" s="39">
        <f>IF(G12=0,"",COUNTIF('공수1'!$J$7:$J$156,3))</f>
        <v/>
      </c>
      <c r="R12" s="39">
        <f>IF(G12=0,"",COUNTIF('공수1'!$J$7:$J$156,4))</f>
        <v/>
      </c>
      <c r="S12" s="39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1">
        <f>IF(OR(F13="",G13=0),"",H13/G13)</f>
        <v/>
      </c>
      <c r="J13" s="42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2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2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3">
        <f>IF(OR(J13="",L13=""),"",J13-L13)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IF(G13=0,"",COUNTIF('공수1'!$K$7:$K$156,1))</f>
        <v/>
      </c>
      <c r="P13" s="39">
        <f>IF(G13=0,"",COUNTIF('공수1'!$K$7:$K$156,2))</f>
        <v/>
      </c>
      <c r="Q13" s="39">
        <f>IF(G13=0,"",COUNTIF('공수1'!$K$7:$K$156,3))</f>
        <v/>
      </c>
      <c r="R13" s="39">
        <f>IF(G13=0,"",COUNTIF('공수1'!$K$7:$K$156,4))</f>
        <v/>
      </c>
      <c r="S13" s="39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1">
        <f>IF(OR(F14="",G14=0),"",H14/G14)</f>
        <v/>
      </c>
      <c r="J14" s="42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2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2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3">
        <f>IF(OR(J14="",L14=""),"",J14-L14)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IF(G14=0,"",COUNTIF('공수1'!$L$7:$L$156,1))</f>
        <v/>
      </c>
      <c r="P14" s="39">
        <f>IF(G14=0,"",COUNTIF('공수1'!$L$7:$L$156,2))</f>
        <v/>
      </c>
      <c r="Q14" s="39">
        <f>IF(G14=0,"",COUNTIF('공수1'!$L$7:$L$156,3))</f>
        <v/>
      </c>
      <c r="R14" s="39">
        <f>IF(G14=0,"",COUNTIF('공수1'!$L$7:$L$156,4))</f>
        <v/>
      </c>
      <c r="S14" s="39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1">
        <f>IF(OR(F15="",G15=0),"",H15/G15)</f>
        <v/>
      </c>
      <c r="J15" s="42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2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2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3">
        <f>IF(OR(J15="",L15=""),"",J15-L15)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IF(G15=0,"",COUNTIF('공수1'!$M$7:$M$156,1))</f>
        <v/>
      </c>
      <c r="P15" s="39">
        <f>IF(G15=0,"",COUNTIF('공수1'!$M$7:$M$156,2))</f>
        <v/>
      </c>
      <c r="Q15" s="39">
        <f>IF(G15=0,"",COUNTIF('공수1'!$M$7:$M$156,3))</f>
        <v/>
      </c>
      <c r="R15" s="39">
        <f>IF(G15=0,"",COUNTIF('공수1'!$M$7:$M$156,4))</f>
        <v/>
      </c>
      <c r="S15" s="39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1">
        <f>IF(OR(F16="",G16=0),"",H16/G16)</f>
        <v/>
      </c>
      <c r="J16" s="42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2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2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3">
        <f>IF(OR(J16="",L16=""),"",J16-L16)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IF(G16=0,"",COUNTIF('공수1'!$N$7:$N$156,1))</f>
        <v/>
      </c>
      <c r="P16" s="39">
        <f>IF(G16=0,"",COUNTIF('공수1'!$N$7:$N$156,2))</f>
        <v/>
      </c>
      <c r="Q16" s="39">
        <f>IF(G16=0,"",COUNTIF('공수1'!$N$7:$N$156,3))</f>
        <v/>
      </c>
      <c r="R16" s="39">
        <f>IF(G16=0,"",COUNTIF('공수1'!$N$7:$N$156,4))</f>
        <v/>
      </c>
      <c r="S16" s="39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1">
        <f>IF(OR(F17="",G17=0),"",H17/G17)</f>
        <v/>
      </c>
      <c r="J17" s="42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2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2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3">
        <f>IF(OR(J17="",L17=""),"",J17-L17)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IF(G17=0,"",COUNTIF('공수1'!$O$7:$O$156,1))</f>
        <v/>
      </c>
      <c r="P17" s="39">
        <f>IF(G17=0,"",COUNTIF('공수1'!$O$7:$O$156,2))</f>
        <v/>
      </c>
      <c r="Q17" s="39">
        <f>IF(G17=0,"",COUNTIF('공수1'!$O$7:$O$156,3))</f>
        <v/>
      </c>
      <c r="R17" s="39">
        <f>IF(G17=0,"",COUNTIF('공수1'!$O$7:$O$156,4))</f>
        <v/>
      </c>
      <c r="S17" s="39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1">
        <f>IF(OR(F18="",G18=0),"",H18/G18)</f>
        <v/>
      </c>
      <c r="J18" s="42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2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2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3">
        <f>IF(OR(J18="",L18=""),"",J18-L18)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IF(G18=0,"",COUNTIF('공수1'!$P$7:$P$156,1))</f>
        <v/>
      </c>
      <c r="P18" s="39">
        <f>IF(G18=0,"",COUNTIF('공수1'!$P$7:$P$156,2))</f>
        <v/>
      </c>
      <c r="Q18" s="39">
        <f>IF(G18=0,"",COUNTIF('공수1'!$P$7:$P$156,3))</f>
        <v/>
      </c>
      <c r="R18" s="39">
        <f>IF(G18=0,"",COUNTIF('공수1'!$P$7:$P$156,4))</f>
        <v/>
      </c>
      <c r="S18" s="39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1">
        <f>IF(OR(F19="",G19=0),"",H19/G19)</f>
        <v/>
      </c>
      <c r="J19" s="42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2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2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3">
        <f>IF(OR(J19="",L19=""),"",J19-L19)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IF(G19=0,"",COUNTIF('공수1'!$Q$7:$Q$156,1))</f>
        <v/>
      </c>
      <c r="P19" s="39">
        <f>IF(G19=0,"",COUNTIF('공수1'!$Q$7:$Q$156,2))</f>
        <v/>
      </c>
      <c r="Q19" s="39">
        <f>IF(G19=0,"",COUNTIF('공수1'!$Q$7:$Q$156,3))</f>
        <v/>
      </c>
      <c r="R19" s="39">
        <f>IF(G19=0,"",COUNTIF('공수1'!$Q$7:$Q$156,4))</f>
        <v/>
      </c>
      <c r="S19" s="39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1">
        <f>IF(OR(F20="",G20=0),"",H20/G20)</f>
        <v/>
      </c>
      <c r="J20" s="42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2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2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3">
        <f>IF(OR(J20="",L20=""),"",J20-L20)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1">
        <f>IF(OR(F21="",G21=0),"",H21/G21)</f>
        <v/>
      </c>
      <c r="J21" s="42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2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2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3">
        <f>IF(OR(J21="",L21=""),"",J21-L21)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1">
        <f>IF(OR(F22="",G22=0),"",H22/G22)</f>
        <v/>
      </c>
      <c r="J22" s="42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2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2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3">
        <f>IF(OR(J22="",L22=""),"",J22-L22)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1">
        <f>IF(OR(F23="",G23=0),"",H23/G23)</f>
        <v/>
      </c>
      <c r="J23" s="42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2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2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3">
        <f>IF(OR(J23="",L23=""),"",J23-L23)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1">
        <f>IF(OR(F24="",G24=0),"",H24/G24)</f>
        <v/>
      </c>
      <c r="J24" s="42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2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2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3">
        <f>IF(OR(J24="",L24=""),"",J24-L24)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1">
        <f>IF(OR(F25="",G25=0),"",H25/G25)</f>
        <v/>
      </c>
      <c r="J25" s="42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2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2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3">
        <f>IF(OR(J25="",L25=""),"",J25-L25)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1">
        <f>IF(OR(F30="",G30=0),"",H30/G30)</f>
        <v/>
      </c>
      <c r="J30" s="42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2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2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3">
        <f>IF(OR(J30="",L30=""),"",J30-L30)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IF(G30=0,"",COUNTIF('공수2'!$D$7:$D$156,1))</f>
        <v/>
      </c>
      <c r="P30" s="39">
        <f>IF(G30=0,"",COUNTIF('공수2'!$D$7:$D$156,2))</f>
        <v/>
      </c>
      <c r="Q30" s="39">
        <f>IF(G30=0,"",COUNTIF('공수2'!$D$7:$D$156,3))</f>
        <v/>
      </c>
      <c r="R30" s="39">
        <f>IF(G30=0,"",COUNTIF('공수2'!$D$7:$D$156,4))</f>
        <v/>
      </c>
      <c r="S30" s="39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1">
        <f>IF(OR(F31="",G31=0),"",H31/G31)</f>
        <v/>
      </c>
      <c r="J31" s="42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2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2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3">
        <f>IF(OR(J31="",L31=""),"",J31-L31)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IF(G31=0,"",COUNTIF('공수2'!$E$7:$E$156,1))</f>
        <v/>
      </c>
      <c r="P31" s="39">
        <f>IF(G31=0,"",COUNTIF('공수2'!$E$7:$E$156,2))</f>
        <v/>
      </c>
      <c r="Q31" s="39">
        <f>IF(G31=0,"",COUNTIF('공수2'!$E$7:$E$156,3))</f>
        <v/>
      </c>
      <c r="R31" s="39">
        <f>IF(G31=0,"",COUNTIF('공수2'!$E$7:$E$156,4))</f>
        <v/>
      </c>
      <c r="S31" s="39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1">
        <f>IF(OR(F32="",G32=0),"",H32/G32)</f>
        <v/>
      </c>
      <c r="J32" s="42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2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2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3">
        <f>IF(OR(J32="",L32=""),"",J32-L32)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IF(G32=0,"",COUNTIF('공수2'!$F$7:$F$156,1))</f>
        <v/>
      </c>
      <c r="P32" s="39">
        <f>IF(G32=0,"",COUNTIF('공수2'!$F$7:$F$156,2))</f>
        <v/>
      </c>
      <c r="Q32" s="39">
        <f>IF(G32=0,"",COUNTIF('공수2'!$F$7:$F$156,3))</f>
        <v/>
      </c>
      <c r="R32" s="39">
        <f>IF(G32=0,"",COUNTIF('공수2'!$F$7:$F$156,4))</f>
        <v/>
      </c>
      <c r="S32" s="39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1">
        <f>IF(OR(F33="",G33=0),"",H33/G33)</f>
        <v/>
      </c>
      <c r="J33" s="42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2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2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3">
        <f>IF(OR(J33="",L33=""),"",J33-L33)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IF(G33=0,"",COUNTIF('공수2'!$G$7:$G$156,1))</f>
        <v/>
      </c>
      <c r="P33" s="39">
        <f>IF(G33=0,"",COUNTIF('공수2'!$G$7:$G$156,2))</f>
        <v/>
      </c>
      <c r="Q33" s="39">
        <f>IF(G33=0,"",COUNTIF('공수2'!$G$7:$G$156,3))</f>
        <v/>
      </c>
      <c r="R33" s="39">
        <f>IF(G33=0,"",COUNTIF('공수2'!$G$7:$G$156,4))</f>
        <v/>
      </c>
      <c r="S33" s="39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1">
        <f>IF(OR(F34="",G34=0),"",H34/G34)</f>
        <v/>
      </c>
      <c r="J34" s="42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2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2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3">
        <f>IF(OR(J34="",L34=""),"",J34-L34)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IF(G34=0,"",COUNTIF('공수2'!$H$7:$H$156,1))</f>
        <v/>
      </c>
      <c r="P34" s="39">
        <f>IF(G34=0,"",COUNTIF('공수2'!$H$7:$H$156,2))</f>
        <v/>
      </c>
      <c r="Q34" s="39">
        <f>IF(G34=0,"",COUNTIF('공수2'!$H$7:$H$156,3))</f>
        <v/>
      </c>
      <c r="R34" s="39">
        <f>IF(G34=0,"",COUNTIF('공수2'!$H$7:$H$156,4))</f>
        <v/>
      </c>
      <c r="S34" s="39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1">
        <f>IF(OR(F35="",G35=0),"",H35/G35)</f>
        <v/>
      </c>
      <c r="J35" s="42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2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2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3">
        <f>IF(OR(J35="",L35=""),"",J35-L35)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IF(G35=0,"",COUNTIF('공수2'!$I$7:$I$156,1))</f>
        <v/>
      </c>
      <c r="P35" s="39">
        <f>IF(G35=0,"",COUNTIF('공수2'!$I$7:$I$156,2))</f>
        <v/>
      </c>
      <c r="Q35" s="39">
        <f>IF(G35=0,"",COUNTIF('공수2'!$I$7:$I$156,3))</f>
        <v/>
      </c>
      <c r="R35" s="39">
        <f>IF(G35=0,"",COUNTIF('공수2'!$I$7:$I$156,4))</f>
        <v/>
      </c>
      <c r="S35" s="39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1">
        <f>IF(OR(F36="",G36=0),"",H36/G36)</f>
        <v/>
      </c>
      <c r="J36" s="42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2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2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3">
        <f>IF(OR(J36="",L36=""),"",J36-L36)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IF(G36=0,"",COUNTIF('공수2'!$J$7:$J$156,1))</f>
        <v/>
      </c>
      <c r="P36" s="39">
        <f>IF(G36=0,"",COUNTIF('공수2'!$J$7:$J$156,2))</f>
        <v/>
      </c>
      <c r="Q36" s="39">
        <f>IF(G36=0,"",COUNTIF('공수2'!$J$7:$J$156,3))</f>
        <v/>
      </c>
      <c r="R36" s="39">
        <f>IF(G36=0,"",COUNTIF('공수2'!$J$7:$J$156,4))</f>
        <v/>
      </c>
      <c r="S36" s="39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1">
        <f>IF(OR(F37="",G37=0),"",H37/G37)</f>
        <v/>
      </c>
      <c r="J37" s="42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2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2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3">
        <f>IF(OR(J37="",L37=""),"",J37-L37)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IF(G37=0,"",COUNTIF('공수2'!$K$7:$K$156,1))</f>
        <v/>
      </c>
      <c r="P37" s="39">
        <f>IF(G37=0,"",COUNTIF('공수2'!$K$7:$K$156,2))</f>
        <v/>
      </c>
      <c r="Q37" s="39">
        <f>IF(G37=0,"",COUNTIF('공수2'!$K$7:$K$156,3))</f>
        <v/>
      </c>
      <c r="R37" s="39">
        <f>IF(G37=0,"",COUNTIF('공수2'!$K$7:$K$156,4))</f>
        <v/>
      </c>
      <c r="S37" s="39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1">
        <f>IF(OR(F38="",G38=0),"",H38/G38)</f>
        <v/>
      </c>
      <c r="J38" s="42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2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2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3">
        <f>IF(OR(J38="",L38=""),"",J38-L38)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IF(G38=0,"",COUNTIF('공수2'!$L$7:$L$156,1))</f>
        <v/>
      </c>
      <c r="P38" s="39">
        <f>IF(G38=0,"",COUNTIF('공수2'!$L$7:$L$156,2))</f>
        <v/>
      </c>
      <c r="Q38" s="39">
        <f>IF(G38=0,"",COUNTIF('공수2'!$L$7:$L$156,3))</f>
        <v/>
      </c>
      <c r="R38" s="39">
        <f>IF(G38=0,"",COUNTIF('공수2'!$L$7:$L$156,4))</f>
        <v/>
      </c>
      <c r="S38" s="39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1">
        <f>IF(OR(F39="",G39=0),"",H39/G39)</f>
        <v/>
      </c>
      <c r="J39" s="42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2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2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3">
        <f>IF(OR(J39="",L39=""),"",J39-L39)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IF(G39=0,"",COUNTIF('공수2'!$M$7:$M$156,1))</f>
        <v/>
      </c>
      <c r="P39" s="39">
        <f>IF(G39=0,"",COUNTIF('공수2'!$M$7:$M$156,2))</f>
        <v/>
      </c>
      <c r="Q39" s="39">
        <f>IF(G39=0,"",COUNTIF('공수2'!$M$7:$M$156,3))</f>
        <v/>
      </c>
      <c r="R39" s="39">
        <f>IF(G39=0,"",COUNTIF('공수2'!$M$7:$M$156,4))</f>
        <v/>
      </c>
      <c r="S39" s="39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1">
        <f>IF(OR(F40="",G40=0),"",H40/G40)</f>
        <v/>
      </c>
      <c r="J40" s="42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2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2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3">
        <f>IF(OR(J40="",L40=""),"",J40-L40)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IF(G40=0,"",COUNTIF('공수2'!$N$7:$N$156,1))</f>
        <v/>
      </c>
      <c r="P40" s="39">
        <f>IF(G40=0,"",COUNTIF('공수2'!$N$7:$N$156,2))</f>
        <v/>
      </c>
      <c r="Q40" s="39">
        <f>IF(G40=0,"",COUNTIF('공수2'!$N$7:$N$156,3))</f>
        <v/>
      </c>
      <c r="R40" s="39">
        <f>IF(G40=0,"",COUNTIF('공수2'!$N$7:$N$156,4))</f>
        <v/>
      </c>
      <c r="S40" s="39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1">
        <f>IF(OR(F41="",G41=0),"",H41/G41)</f>
        <v/>
      </c>
      <c r="J41" s="42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2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2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3">
        <f>IF(OR(J41="",L41=""),"",J41-L41)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IF(G41=0,"",COUNTIF('공수2'!$O$7:$O$156,1))</f>
        <v/>
      </c>
      <c r="P41" s="39">
        <f>IF(G41=0,"",COUNTIF('공수2'!$O$7:$O$156,2))</f>
        <v/>
      </c>
      <c r="Q41" s="39">
        <f>IF(G41=0,"",COUNTIF('공수2'!$O$7:$O$156,3))</f>
        <v/>
      </c>
      <c r="R41" s="39">
        <f>IF(G41=0,"",COUNTIF('공수2'!$O$7:$O$156,4))</f>
        <v/>
      </c>
      <c r="S41" s="39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1">
        <f>IF(OR(F42="",G42=0),"",H42/G42)</f>
        <v/>
      </c>
      <c r="J42" s="42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2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2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3">
        <f>IF(OR(J42="",L42=""),"",J42-L42)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IF(G42=0,"",COUNTIF('공수2'!$P$7:$P$156,1))</f>
        <v/>
      </c>
      <c r="P42" s="39">
        <f>IF(G42=0,"",COUNTIF('공수2'!$P$7:$P$156,2))</f>
        <v/>
      </c>
      <c r="Q42" s="39">
        <f>IF(G42=0,"",COUNTIF('공수2'!$P$7:$P$156,3))</f>
        <v/>
      </c>
      <c r="R42" s="39">
        <f>IF(G42=0,"",COUNTIF('공수2'!$P$7:$P$156,4))</f>
        <v/>
      </c>
      <c r="S42" s="39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1">
        <f>IF(OR(F43="",G43=0),"",H43/G43)</f>
        <v/>
      </c>
      <c r="J43" s="42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2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2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3">
        <f>IF(OR(J43="",L43=""),"",J43-L43)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IF(G43=0,"",COUNTIF('공수2'!$Q$7:$Q$156,1))</f>
        <v/>
      </c>
      <c r="P43" s="39">
        <f>IF(G43=0,"",COUNTIF('공수2'!$Q$7:$Q$156,2))</f>
        <v/>
      </c>
      <c r="Q43" s="39">
        <f>IF(G43=0,"",COUNTIF('공수2'!$Q$7:$Q$156,3))</f>
        <v/>
      </c>
      <c r="R43" s="39">
        <f>IF(G43=0,"",COUNTIF('공수2'!$Q$7:$Q$156,4))</f>
        <v/>
      </c>
      <c r="S43" s="39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1">
        <f>IF(OR(F44="",G44=0),"",H44/G44)</f>
        <v/>
      </c>
      <c r="J44" s="42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2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2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3">
        <f>IF(OR(J44="",L44=""),"",J44-L44)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1">
        <f>IF(OR(F45="",G45=0),"",H45/G45)</f>
        <v/>
      </c>
      <c r="J45" s="42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2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2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3">
        <f>IF(OR(J45="",L45=""),"",J45-L45)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1">
        <f>IF(OR(F46="",G46=0),"",H46/G46)</f>
        <v/>
      </c>
      <c r="J46" s="42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2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2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3">
        <f>IF(OR(J46="",L46=""),"",J46-L46)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1">
        <f>IF(OR(F47="",G47=0),"",H47/G47)</f>
        <v/>
      </c>
      <c r="J47" s="42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2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2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3">
        <f>IF(OR(J47="",L47=""),"",J47-L47)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1">
        <f>IF(OR(F48="",G48=0),"",H48/G48)</f>
        <v/>
      </c>
      <c r="J48" s="42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2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2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3">
        <f>IF(OR(J48="",L48=""),"",J48-L48)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1">
        <f>IF(OR(F49="",G49=0),"",H49/G49)</f>
        <v/>
      </c>
      <c r="J49" s="42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2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2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3">
        <f>IF(OR(J49="",L49=""),"",J49-L49)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2026-10-18T03:06:16Z</dcterms:created>
  <dcterms:modified xmlns:dcterms="http://purl.org/dc/terms/" xmlns:xsi="http://www.w3.org/2001/XMLSchema-instance" xsi:type="dcterms:W3CDTF">2026-10-18T03:06:17Z</dcterms:modified>
</cp:coreProperties>
</file>