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학생명단" sheetId="2" state="visible" r:id="rId2"/>
    <sheet xmlns:r="http://schemas.openxmlformats.org/officeDocument/2006/relationships" name="공수1" sheetId="3" state="visible" r:id="rId3"/>
    <sheet xmlns:r="http://schemas.openxmlformats.org/officeDocument/2006/relationships" name="공수2" sheetId="4" state="visible" r:id="rId4"/>
    <sheet xmlns:r="http://schemas.openxmlformats.org/officeDocument/2006/relationships" name="반배정" sheetId="5" state="visible" r:id="rId5"/>
    <sheet xmlns:r="http://schemas.openxmlformats.org/officeDocument/2006/relationships" name="석차순" sheetId="6" state="visible" r:id="rId6"/>
    <sheet xmlns:r="http://schemas.openxmlformats.org/officeDocument/2006/relationships" name="문항분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"/>
    <numFmt numFmtId="165" formatCode="0.0"/>
  </numFmts>
  <fonts count="1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color rgb="001F3864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color rgb="00C00000"/>
      <sz val="9"/>
    </font>
    <font>
      <name val="맑은 고딕"/>
      <b val="1"/>
      <color rgb="00C00000"/>
      <sz val="10"/>
    </font>
    <font>
      <name val="맑은 고딕"/>
      <color rgb="00000000"/>
      <sz val="8"/>
    </font>
    <font>
      <name val="맑은 고딕"/>
      <b val="1"/>
      <color rgb="00FFFFFF"/>
      <sz val="9"/>
    </font>
    <font>
      <name val="맑은 고딕"/>
      <color rgb="00595959"/>
      <sz val="8"/>
    </font>
    <font>
      <name val="맑은 고딕"/>
      <b val="1"/>
      <color rgb="00000000"/>
      <sz val="9"/>
    </font>
    <font>
      <name val="맑은 고딕"/>
      <b val="1"/>
      <color rgb="00C55A11"/>
      <sz val="10"/>
    </font>
    <font>
      <name val="맑은 고딕"/>
      <color rgb="00A6A6A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7030A0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b val="1"/>
        <color rgb="00C00000"/>
      </font>
      <fill>
        <patternFill patternType="solid">
          <fgColor rgb="00F8CBAD"/>
        </patternFill>
      </fill>
    </dxf>
    <dxf>
      <fill>
        <patternFill patternType="solid">
          <fgColor rgb="00FF9999"/>
        </patternFill>
      </fill>
    </dxf>
    <dxf>
      <fill>
        <patternFill patternType="solid">
          <fgColor rgb="00FBE5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ont>
        <b val="1"/>
      </font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44" customWidth="1" min="5" max="5"/>
    <col width="34" customWidth="1" min="6" max="6"/>
  </cols>
  <sheetData>
    <row r="1" ht="26" customHeight="1">
      <c r="A1" s="1" t="inlineStr">
        <is>
          <t>예비고1 반편성고사 — 설정</t>
        </is>
      </c>
    </row>
    <row r="2" ht="30" customHeight="1">
      <c r="A2" s="2" t="inlineStr">
        <is>
          <t>노란 칸만 입력하세요. 반 이름·정원·반영비율·단원명을 바꾸면 모든 시트에 자동 반영됩니다. 정답·배점·단원·난이도는 '공수1', '공수2' 시트 위쪽(2~5행)에서 입력합니다.</t>
        </is>
      </c>
    </row>
    <row r="4">
      <c r="A4" s="3" t="inlineStr">
        <is>
          <t>① 반 배정 기준 (절대평가)</t>
        </is>
      </c>
    </row>
    <row r="5">
      <c r="A5" s="4" t="inlineStr">
        <is>
          <t>순서</t>
        </is>
      </c>
      <c r="B5" s="4" t="inlineStr">
        <is>
          <t>반 이름</t>
        </is>
      </c>
      <c r="C5" s="4" t="inlineStr">
        <is>
          <t>공수1 이상</t>
        </is>
      </c>
      <c r="D5" s="4" t="inlineStr">
        <is>
          <t>합계 이상</t>
        </is>
      </c>
      <c r="E5" s="4" t="inlineStr">
        <is>
          <t>한 과목 이하</t>
        </is>
      </c>
      <c r="F5" s="4" t="inlineStr">
        <is>
          <t>합계 이하</t>
        </is>
      </c>
      <c r="H5" s="2" t="inlineStr">
        <is>
          <t>· 점수(100점 만점)로 판정. 한 줄 안의 조건은 '하나라도' 맞으면 그 반(또는)
· 위 순위부터 차례로 확인해 처음 맞는 반에 배정, 조건이 모두 빈 줄은 '나머지'
· 합계 = 공수1 + 공수2, 한 과목 이하 = 공수1·공수2 중 하나라도 그 점수 이하
· 예) TF1반: 공수1 51점 이상 또는 합계 120점 이상</t>
        </is>
      </c>
    </row>
    <row r="6">
      <c r="A6" s="5" t="inlineStr">
        <is>
          <t>1순위</t>
        </is>
      </c>
      <c r="B6" s="6" t="inlineStr">
        <is>
          <t>TF1반</t>
        </is>
      </c>
      <c r="C6" s="7" t="n">
        <v>51</v>
      </c>
      <c r="D6" s="7" t="n">
        <v>120</v>
      </c>
      <c r="E6" s="7" t="n"/>
      <c r="F6" s="7" t="n"/>
    </row>
    <row r="7">
      <c r="A7" s="5" t="inlineStr">
        <is>
          <t>2순위</t>
        </is>
      </c>
      <c r="B7" s="6" t="inlineStr">
        <is>
          <t>HF반</t>
        </is>
      </c>
      <c r="C7" s="7" t="n"/>
      <c r="D7" s="7" t="n"/>
      <c r="E7" s="7" t="n">
        <v>20</v>
      </c>
      <c r="F7" s="7" t="n">
        <v>60</v>
      </c>
    </row>
    <row r="8">
      <c r="A8" s="5" t="inlineStr">
        <is>
          <t>3순위</t>
        </is>
      </c>
      <c r="B8" s="6" t="inlineStr">
        <is>
          <t>TF2반</t>
        </is>
      </c>
      <c r="C8" s="7" t="n"/>
      <c r="D8" s="7" t="n"/>
      <c r="E8" s="7" t="n"/>
      <c r="F8" s="7" t="n"/>
    </row>
    <row r="9">
      <c r="A9" s="8" t="inlineStr">
        <is>
          <t>그 외</t>
        </is>
      </c>
      <c r="B9" s="6" t="inlineStr">
        <is>
          <t>보류</t>
        </is>
      </c>
      <c r="C9" s="9" t="inlineStr">
        <is>
          <t>미응시 과목이 있어 위 기준으로 정할 수 없으면 보류 → 상담 후 수동 배정</t>
        </is>
      </c>
    </row>
    <row r="11">
      <c r="A11" s="3" t="inlineStr">
        <is>
          <t>② 점수 반영</t>
        </is>
      </c>
    </row>
    <row r="12">
      <c r="B12" s="4" t="inlineStr">
        <is>
          <t>항목</t>
        </is>
      </c>
      <c r="C12" s="4" t="inlineStr">
        <is>
          <t>값</t>
        </is>
      </c>
    </row>
    <row r="13">
      <c r="B13" s="5" t="inlineStr">
        <is>
          <t>공통수학1 반영비율</t>
        </is>
      </c>
      <c r="C13" s="7" t="n">
        <v>1</v>
      </c>
      <c r="E13" s="2" t="inlineStr">
        <is>
          <t>환산총점(석차·참고용) = 공수1 점수×비율 + 공수2 점수×비율</t>
        </is>
      </c>
    </row>
    <row r="14">
      <c r="B14" s="5" t="inlineStr">
        <is>
          <t>공통수학2 반영비율</t>
        </is>
      </c>
      <c r="C14" s="7" t="n">
        <v>1</v>
      </c>
      <c r="E14" s="2" t="inlineStr">
        <is>
          <t>반 배정은 ①의 기준(과목 점수·합계)으로만 결정</t>
        </is>
      </c>
    </row>
    <row r="15">
      <c r="B15" s="5" t="inlineStr">
        <is>
          <t>경계 범위(점)</t>
        </is>
      </c>
      <c r="C15" s="7" t="n">
        <v>3</v>
      </c>
      <c r="E15" s="2" t="inlineStr">
        <is>
          <t>과목 점수나 합계가 ①의 기준 점수와 이 값 이내로 차이 나면 '경계'로 표시 → 상담·재검토 대상</t>
        </is>
      </c>
    </row>
    <row r="17">
      <c r="A17" s="3" t="inlineStr">
        <is>
          <t>③ 단원 목록 · 출제 설계 확인</t>
        </is>
      </c>
    </row>
    <row r="18">
      <c r="A18" s="4" t="inlineStr">
        <is>
          <t>과목</t>
        </is>
      </c>
      <c r="B18" s="4" t="inlineStr">
        <is>
          <t>단원</t>
        </is>
      </c>
      <c r="C18" s="4" t="inlineStr">
        <is>
          <t>문항 수</t>
        </is>
      </c>
      <c r="D18" s="4" t="inlineStr">
        <is>
          <t>배점 합</t>
        </is>
      </c>
      <c r="E18" s="4" t="inlineStr">
        <is>
          <t>포함 내용(2022 개정)</t>
        </is>
      </c>
    </row>
    <row r="19">
      <c r="A19" s="5" t="inlineStr">
        <is>
          <t>공통수학1</t>
        </is>
      </c>
      <c r="B19" s="7" t="inlineStr">
        <is>
          <t>다항식</t>
        </is>
      </c>
      <c r="C19" s="10">
        <f>COUNTIF('공수1'!$D$4:$W$4,B19)</f>
        <v/>
      </c>
      <c r="D19" s="10">
        <f>SUMIF('공수1'!$D$4:$W$4,B19,'공수1'!$D$3:$W$3)</f>
        <v/>
      </c>
      <c r="E19" s="11" t="inlineStr">
        <is>
          <t>다항식의 연산, 나머지정리, 인수분해</t>
        </is>
      </c>
    </row>
    <row r="20">
      <c r="A20" s="5" t="inlineStr">
        <is>
          <t>공통수학1</t>
        </is>
      </c>
      <c r="B20" s="7" t="inlineStr">
        <is>
          <t>방정식과 부등식</t>
        </is>
      </c>
      <c r="C20" s="10">
        <f>COUNTIF('공수1'!$D$4:$W$4,B20)</f>
        <v/>
      </c>
      <c r="D20" s="10">
        <f>SUMIF('공수1'!$D$4:$W$4,B20,'공수1'!$D$3:$W$3)</f>
        <v/>
      </c>
      <c r="E20" s="11" t="inlineStr">
        <is>
          <t>복소수, 이차방정식, 이차함수, 여러 가지 방정식·부등식</t>
        </is>
      </c>
    </row>
    <row r="21">
      <c r="A21" s="5" t="inlineStr">
        <is>
          <t>공통수학1</t>
        </is>
      </c>
      <c r="B21" s="7" t="inlineStr">
        <is>
          <t>경우의 수</t>
        </is>
      </c>
      <c r="C21" s="10">
        <f>COUNTIF('공수1'!$D$4:$W$4,B21)</f>
        <v/>
      </c>
      <c r="D21" s="10">
        <f>SUMIF('공수1'!$D$4:$W$4,B21,'공수1'!$D$3:$W$3)</f>
        <v/>
      </c>
      <c r="E21" s="11" t="inlineStr">
        <is>
          <t>합·곱의 법칙, 순열, 조합</t>
        </is>
      </c>
    </row>
    <row r="22">
      <c r="A22" s="5" t="inlineStr">
        <is>
          <t>공통수학1</t>
        </is>
      </c>
      <c r="B22" s="7" t="inlineStr">
        <is>
          <t>행렬</t>
        </is>
      </c>
      <c r="C22" s="10">
        <f>COUNTIF('공수1'!$D$4:$W$4,B22)</f>
        <v/>
      </c>
      <c r="D22" s="10">
        <f>SUMIF('공수1'!$D$4:$W$4,B22,'공수1'!$D$3:$W$3)</f>
        <v/>
      </c>
      <c r="E22" s="11" t="inlineStr">
        <is>
          <t>행렬과 그 연산</t>
        </is>
      </c>
    </row>
    <row r="23">
      <c r="A23" s="8" t="inlineStr">
        <is>
          <t>공통수학1</t>
        </is>
      </c>
      <c r="B23" s="8" t="inlineStr">
        <is>
          <t>합계</t>
        </is>
      </c>
      <c r="C23" s="8">
        <f>SUM(C19:C22)</f>
        <v/>
      </c>
      <c r="D23" s="8">
        <f>SUM(D19:D22)</f>
        <v/>
      </c>
      <c r="E23" s="12" t="inlineStr">
        <is>
          <t>← 문항 수 20, 배점 합 100인지 확인</t>
        </is>
      </c>
    </row>
    <row r="24">
      <c r="A24" s="5" t="inlineStr">
        <is>
          <t>공통수학2</t>
        </is>
      </c>
      <c r="B24" s="7" t="inlineStr">
        <is>
          <t>도형의 방정식</t>
        </is>
      </c>
      <c r="C24" s="10">
        <f>COUNTIF('공수2'!$D$4:$W$4,B24)</f>
        <v/>
      </c>
      <c r="D24" s="10">
        <f>SUMIF('공수2'!$D$4:$W$4,B24,'공수2'!$D$3:$W$3)</f>
        <v/>
      </c>
      <c r="E24" s="11" t="inlineStr">
        <is>
          <t>평면좌표, 직선·원의 방정식, 도형의 이동</t>
        </is>
      </c>
    </row>
    <row r="25">
      <c r="A25" s="5" t="inlineStr">
        <is>
          <t>공통수학2</t>
        </is>
      </c>
      <c r="B25" s="7" t="inlineStr">
        <is>
          <t>집합과 명제</t>
        </is>
      </c>
      <c r="C25" s="10">
        <f>COUNTIF('공수2'!$D$4:$W$4,B25)</f>
        <v/>
      </c>
      <c r="D25" s="10">
        <f>SUMIF('공수2'!$D$4:$W$4,B25,'공수2'!$D$3:$W$3)</f>
        <v/>
      </c>
      <c r="E25" s="11" t="inlineStr">
        <is>
          <t>집합, 명제</t>
        </is>
      </c>
    </row>
    <row r="26">
      <c r="A26" s="5" t="inlineStr">
        <is>
          <t>공통수학2</t>
        </is>
      </c>
      <c r="B26" s="7" t="inlineStr">
        <is>
          <t>함수와 그래프</t>
        </is>
      </c>
      <c r="C26" s="10">
        <f>COUNTIF('공수2'!$D$4:$W$4,B26)</f>
        <v/>
      </c>
      <c r="D26" s="10">
        <f>SUMIF('공수2'!$D$4:$W$4,B26,'공수2'!$D$3:$W$3)</f>
        <v/>
      </c>
      <c r="E26" s="11" t="inlineStr">
        <is>
          <t>함수, 합성·역함수, 유리·무리함수</t>
        </is>
      </c>
    </row>
    <row r="27">
      <c r="A27" s="8" t="inlineStr">
        <is>
          <t>공통수학2</t>
        </is>
      </c>
      <c r="B27" s="8" t="inlineStr">
        <is>
          <t>합계</t>
        </is>
      </c>
      <c r="C27" s="8">
        <f>SUM(C24:C26)</f>
        <v/>
      </c>
      <c r="D27" s="8">
        <f>SUM(D24:D26)</f>
        <v/>
      </c>
      <c r="E27" s="12" t="inlineStr">
        <is>
          <t>← 문항 수 20, 배점 합 100인지 확인</t>
        </is>
      </c>
    </row>
    <row r="30">
      <c r="A30" s="3" t="inlineStr">
        <is>
          <t>④ 학부모 보고서 설정</t>
        </is>
      </c>
    </row>
    <row r="31">
      <c r="A31" s="4" t="inlineStr">
        <is>
          <t>항목</t>
        </is>
      </c>
      <c r="B31" s="4" t="inlineStr">
        <is>
          <t>값</t>
        </is>
      </c>
      <c r="C31" s="13" t="n"/>
      <c r="D31" s="13" t="n"/>
      <c r="E31" s="14" t="n"/>
    </row>
    <row r="32">
      <c r="A32" s="15" t="inlineStr">
        <is>
          <t>학원명</t>
        </is>
      </c>
      <c r="B32" s="16" t="inlineStr">
        <is>
          <t>OO수학학원</t>
        </is>
      </c>
    </row>
    <row r="33">
      <c r="A33" s="15" t="inlineStr">
        <is>
          <t>보고서 제목</t>
        </is>
      </c>
      <c r="B33" s="16" t="inlineStr">
        <is>
          <t>예비고1 진단평가 결과 보고서</t>
        </is>
      </c>
    </row>
    <row r="34">
      <c r="A34" s="15" t="inlineStr">
        <is>
          <t>시험일</t>
        </is>
      </c>
      <c r="B34" s="16" t="inlineStr">
        <is>
          <t>2026년 12월 00일</t>
        </is>
      </c>
    </row>
    <row r="35">
      <c r="A35" s="15" t="inlineStr">
        <is>
          <t>전체 평균 표시</t>
        </is>
      </c>
      <c r="B35" s="16" t="inlineStr">
        <is>
          <t>표시</t>
        </is>
      </c>
      <c r="F35" s="2" t="inlineStr">
        <is>
          <t>'숨김'이면 보고서에 평균을 싣지 않음</t>
        </is>
      </c>
    </row>
    <row r="36">
      <c r="A36" s="15" t="inlineStr">
        <is>
          <t>'매우 우수' 기준(득점률 %)</t>
        </is>
      </c>
      <c r="B36" s="16" t="n">
        <v>85</v>
      </c>
    </row>
    <row r="37">
      <c r="A37" s="15" t="inlineStr">
        <is>
          <t>'우수' 기준(득점률 %)</t>
        </is>
      </c>
      <c r="B37" s="16" t="n">
        <v>70</v>
      </c>
    </row>
    <row r="38">
      <c r="A38" s="15" t="inlineStr">
        <is>
          <t>'양호' 기준(득점률 %)</t>
        </is>
      </c>
      <c r="B38" s="16" t="n">
        <v>50</v>
      </c>
      <c r="F38" s="2" t="inlineStr">
        <is>
          <t>득점률이 '양호' 기준 미만이면 '보완 필요'</t>
        </is>
      </c>
    </row>
    <row r="39" ht="30" customHeight="1">
      <c r="A39" s="15" t="inlineStr">
        <is>
          <t>상담 안내 문구</t>
        </is>
      </c>
      <c r="B39" s="16" t="inlineStr">
        <is>
          <t>보고서를 받아보신 뒤 개별 상담을 진행합니다. 상담 일정은 담당 선생님께서 개별적으로 연락드리겠습니다.</t>
        </is>
      </c>
    </row>
    <row r="40">
      <c r="A40" s="15" t="inlineStr">
        <is>
          <t>학원 연락처</t>
        </is>
      </c>
      <c r="B40" s="16" t="inlineStr">
        <is>
          <t>02-000-0000</t>
        </is>
      </c>
    </row>
    <row r="43">
      <c r="A43" s="3" t="inlineStr">
        <is>
          <t>⑤ 단원별 학습 제언 (보완이 필요한 단원에 자동 기재)</t>
        </is>
      </c>
    </row>
    <row r="44">
      <c r="A44" s="4" t="inlineStr">
        <is>
          <t>단원</t>
        </is>
      </c>
      <c r="B44" s="4" t="inlineStr">
        <is>
          <t>학습 제언 문구</t>
        </is>
      </c>
      <c r="C44" s="13" t="n"/>
      <c r="D44" s="13" t="n"/>
      <c r="E44" s="14" t="n"/>
    </row>
    <row r="45" ht="30" customHeight="1">
      <c r="A45" s="17">
        <f>B19</f>
        <v/>
      </c>
      <c r="B45" s="16" t="inlineStr">
        <is>
          <t>다항식의 연산과 나머지정리, 인수분해 공식을 정확하고 빠르게 적용하는 연습이 필요합니다.</t>
        </is>
      </c>
    </row>
    <row r="46" ht="30" customHeight="1">
      <c r="A46" s="17">
        <f>B20</f>
        <v/>
      </c>
      <c r="B46" s="16" t="inlineStr">
        <is>
          <t>복소수 계산과 이차방정식·이차함수의 관계를 그래프와 연결해 이해하는 학습이 필요합니다.</t>
        </is>
      </c>
    </row>
    <row r="47" ht="30" customHeight="1">
      <c r="A47" s="17">
        <f>B21</f>
        <v/>
      </c>
      <c r="B47" s="16" t="inlineStr">
        <is>
          <t>합·곱의 법칙과 순열·조합을 구분하는 기준을 정리하고, 빠짐없이 중복 없이 세는 연습이 필요합니다.</t>
        </is>
      </c>
    </row>
    <row r="48" ht="30" customHeight="1">
      <c r="A48" s="17">
        <f>B22</f>
        <v/>
      </c>
      <c r="B48" s="16" t="inlineStr">
        <is>
          <t>행렬의 연산 규칙을 정확히 익히고, 계산 과정에서의 실수를 줄이는 연습이 필요합니다.</t>
        </is>
      </c>
    </row>
    <row r="49" ht="30" customHeight="1">
      <c r="A49" s="17">
        <f>B24</f>
        <v/>
      </c>
      <c r="B49" s="16" t="inlineStr">
        <is>
          <t>좌표와 식을 연결하는 연습, 특히 직선·원의 방정식과 도형의 이동을 그림과 함께 해석하는 훈련이 필요합니다.</t>
        </is>
      </c>
    </row>
    <row r="50" ht="30" customHeight="1">
      <c r="A50" s="17">
        <f>B25</f>
        <v/>
      </c>
      <c r="B50" s="16" t="inlineStr">
        <is>
          <t>용어와 기호의 정확한 의미를 정리하고, 명제의 참·거짓을 논리적으로 판단하는 연습이 필요합니다.</t>
        </is>
      </c>
    </row>
    <row r="51" ht="30" customHeight="1">
      <c r="A51" s="17">
        <f>B26</f>
        <v/>
      </c>
      <c r="B51" s="16" t="inlineStr">
        <is>
          <t>함수의 정의와 합성함수·역함수 개념을 정리하고, 유리·무리함수의 그래프를 직접 그려 보는 학습이 필요합니다.</t>
        </is>
      </c>
    </row>
    <row r="53">
      <c r="A53" s="3" t="inlineStr">
        <is>
          <t>⑥ 공통수학반 소개 (공통수학 시험 결과로 배정 · 학부모 보고서 문구 · 선택 목록)</t>
        </is>
      </c>
    </row>
    <row r="54">
      <c r="A54" s="4" t="inlineStr">
        <is>
          <t>공통수학반 이름</t>
        </is>
      </c>
      <c r="B54" s="4" t="inlineStr">
        <is>
          <t>소개 문구</t>
        </is>
      </c>
      <c r="C54" s="13" t="n"/>
      <c r="D54" s="13" t="n"/>
      <c r="E54" s="14" t="n"/>
    </row>
    <row r="55" ht="30" customHeight="1">
      <c r="A55" s="8">
        <f>B6</f>
        <v/>
      </c>
      <c r="B55" s="16" t="inlineStr">
        <is>
          <t>공통수학1·2의 탄탄한 기초를 바탕으로 개념 심화와 고난도 문항 해결력, 고1 내신 상위권 대비까지 진행하는 반입니다.</t>
        </is>
      </c>
    </row>
    <row r="56" ht="30" customHeight="1">
      <c r="A56" s="8">
        <f>B7</f>
        <v/>
      </c>
      <c r="B56" s="16" t="inlineStr">
        <is>
          <t>중등 연계 개념부터 차근차근 점검하며, 공통수학1·2의 핵심 개념과 기본 유형을 확실히 다지는 반입니다.</t>
        </is>
      </c>
    </row>
    <row r="57" ht="30" customHeight="1">
      <c r="A57" s="8">
        <f>B8</f>
        <v/>
      </c>
      <c r="B57" s="16" t="inlineStr">
        <is>
          <t>공통수학1·2의 개념을 체계적으로 정리하고 유형별 문제 해결력을 키워, 두 과목의 균형을 맞추는 반입니다.</t>
        </is>
      </c>
    </row>
    <row r="58" ht="30" customHeight="1">
      <c r="A58" s="6" t="n"/>
      <c r="B58" s="16" t="n"/>
      <c r="F58" s="2" t="inlineStr">
        <is>
          <t>← 공통수학반이 더 있으면 반 이름과 소개를 추가</t>
        </is>
      </c>
    </row>
    <row r="59" ht="30" customHeight="1">
      <c r="A59" s="6" t="n"/>
      <c r="B59" s="16" t="n"/>
    </row>
    <row r="60" ht="30" customHeight="1">
      <c r="A60" s="6" t="n"/>
      <c r="B60" s="16" t="n"/>
    </row>
    <row r="62">
      <c r="A62" s="3" t="inlineStr">
        <is>
          <t>⑦ 선행 과목반 소개 (학습 진도에 따라 1과목 선택 · 학부모 보고서 문구 · 선택 목록)</t>
        </is>
      </c>
    </row>
    <row r="63">
      <c r="A63" s="4" t="inlineStr">
        <is>
          <t>선행 과목반 이름</t>
        </is>
      </c>
      <c r="B63" s="4" t="inlineStr">
        <is>
          <t>소개 문구</t>
        </is>
      </c>
      <c r="C63" s="13" t="n"/>
      <c r="D63" s="13" t="n"/>
      <c r="E63" s="14" t="n"/>
    </row>
    <row r="64" ht="30" customHeight="1">
      <c r="A64" s="6" t="n"/>
      <c r="B64" s="16" t="n"/>
      <c r="F64" s="2" t="inlineStr">
        <is>
          <t>← 선행 과목반 이름·소개가 정해지면 입력(예: 대수반). 비어 있어도 보고서는 '상담을 통해 안내'로 표시</t>
        </is>
      </c>
    </row>
    <row r="65" ht="30" customHeight="1">
      <c r="A65" s="6" t="n"/>
      <c r="B65" s="16" t="n"/>
    </row>
    <row r="66" ht="30" customHeight="1">
      <c r="A66" s="6" t="n"/>
      <c r="B66" s="16" t="n"/>
    </row>
    <row r="67" ht="30" customHeight="1">
      <c r="A67" s="6" t="n"/>
      <c r="B67" s="16" t="n"/>
    </row>
    <row r="68" ht="30" customHeight="1">
      <c r="A68" s="6" t="n"/>
      <c r="B68" s="16" t="n"/>
    </row>
    <row r="69" ht="30" customHeight="1">
      <c r="A69" s="6" t="n"/>
      <c r="B69" s="16" t="n"/>
    </row>
  </sheetData>
  <mergeCells count="36">
    <mergeCell ref="B40:E40"/>
    <mergeCell ref="B49:E49"/>
    <mergeCell ref="B65:E65"/>
    <mergeCell ref="B68:E68"/>
    <mergeCell ref="B64:E64"/>
    <mergeCell ref="B33:E33"/>
    <mergeCell ref="B55:E55"/>
    <mergeCell ref="B51:E51"/>
    <mergeCell ref="B36:E36"/>
    <mergeCell ref="B32:E32"/>
    <mergeCell ref="A2:F2"/>
    <mergeCell ref="B45:E45"/>
    <mergeCell ref="B63:E63"/>
    <mergeCell ref="H5:L9"/>
    <mergeCell ref="B35:E35"/>
    <mergeCell ref="B50:E50"/>
    <mergeCell ref="B54:E54"/>
    <mergeCell ref="B47:E47"/>
    <mergeCell ref="B59:E59"/>
    <mergeCell ref="B46:E46"/>
    <mergeCell ref="B66:E66"/>
    <mergeCell ref="B31:E31"/>
    <mergeCell ref="B56:E56"/>
    <mergeCell ref="B58:E58"/>
    <mergeCell ref="B48:E48"/>
    <mergeCell ref="B39:E39"/>
    <mergeCell ref="B60:E60"/>
    <mergeCell ref="B67:E67"/>
    <mergeCell ref="C9:F9"/>
    <mergeCell ref="B57:E57"/>
    <mergeCell ref="A1:F1"/>
    <mergeCell ref="B69:E69"/>
    <mergeCell ref="B38:E38"/>
    <mergeCell ref="B44:E44"/>
    <mergeCell ref="B37:E37"/>
    <mergeCell ref="B34:E34"/>
  </mergeCells>
  <dataValidations count="1">
    <dataValidation sqref="B35" showDropDown="0" showInputMessage="0" showErrorMessage="0" allowBlank="0" type="list">
      <formula1>"표시,숨김"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8" customWidth="1" min="4" max="4"/>
    <col width="10" customWidth="1" min="5" max="5"/>
    <col width="2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26" customHeight="1">
      <c r="A1" s="1" t="inlineStr">
        <is>
          <t>학생 명단</t>
        </is>
      </c>
    </row>
    <row r="2" ht="30" customHeight="1">
      <c r="A2" s="2" t="inlineStr">
        <is>
          <t>노란 칸에 학생 정보를 입력하세요. 여기 입력한 순서(행)가 공수1·공수2·반배정 시트의 행과 그대로 연결됩니다. 7행은 예시이니 지우고 사용하세요. 기존 반명: 재원생은 현재 반, 신규 학생은 '신규'.</t>
        </is>
      </c>
    </row>
    <row r="6">
      <c r="A6" s="4" t="inlineStr">
        <is>
          <t>No</t>
        </is>
      </c>
      <c r="B6" s="4" t="inlineStr">
        <is>
          <t>이름</t>
        </is>
      </c>
      <c r="C6" s="4" t="inlineStr">
        <is>
          <t>학교</t>
        </is>
      </c>
      <c r="D6" s="4" t="inlineStr">
        <is>
          <t>구분</t>
        </is>
      </c>
      <c r="E6" s="4" t="inlineStr">
        <is>
          <t>기존 반명</t>
        </is>
      </c>
      <c r="F6" s="4" t="inlineStr">
        <is>
          <t>학습 진도</t>
        </is>
      </c>
      <c r="G6" s="4" t="inlineStr">
        <is>
          <t>현재 등원 요일</t>
        </is>
      </c>
      <c r="H6" s="4" t="inlineStr">
        <is>
          <t>성취도</t>
        </is>
      </c>
      <c r="I6" s="4" t="inlineStr">
        <is>
          <t>공통수학1</t>
        </is>
      </c>
      <c r="J6" s="4" t="inlineStr">
        <is>
          <t>공통수학2</t>
        </is>
      </c>
      <c r="K6" s="4" t="inlineStr">
        <is>
          <t>자사/일반</t>
        </is>
      </c>
    </row>
    <row r="7">
      <c r="A7" s="5" t="n">
        <v>1</v>
      </c>
      <c r="B7" s="7" t="inlineStr">
        <is>
          <t>홍길동(예시)</t>
        </is>
      </c>
      <c r="C7" s="7" t="inlineStr">
        <is>
          <t>OO중</t>
        </is>
      </c>
      <c r="D7" s="7" t="inlineStr">
        <is>
          <t>외부</t>
        </is>
      </c>
      <c r="E7" s="7" t="inlineStr">
        <is>
          <t>신규</t>
        </is>
      </c>
      <c r="F7" s="16" t="inlineStr">
        <is>
          <t>공통수학까지</t>
        </is>
      </c>
      <c r="G7" s="7" t="inlineStr">
        <is>
          <t>월수금</t>
        </is>
      </c>
      <c r="H7" s="7" t="n"/>
      <c r="I7" s="8">
        <f>IF('공수1'!Y7="","",'공수1'!Y7)</f>
        <v/>
      </c>
      <c r="J7" s="8">
        <f>IF('공수2'!Y7="","",'공수2'!Y7)</f>
        <v/>
      </c>
      <c r="K7" s="7" t="n"/>
    </row>
    <row r="8">
      <c r="A8" s="5" t="n">
        <v>2</v>
      </c>
      <c r="B8" s="7" t="n"/>
      <c r="C8" s="7" t="n"/>
      <c r="D8" s="7" t="n"/>
      <c r="E8" s="7" t="n"/>
      <c r="F8" s="16" t="n"/>
      <c r="G8" s="7" t="n"/>
      <c r="H8" s="7" t="n"/>
      <c r="I8" s="8">
        <f>IF('공수1'!Y8="","",'공수1'!Y8)</f>
        <v/>
      </c>
      <c r="J8" s="8">
        <f>IF('공수2'!Y8="","",'공수2'!Y8)</f>
        <v/>
      </c>
      <c r="K8" s="7" t="n"/>
    </row>
    <row r="9">
      <c r="A9" s="5" t="n">
        <v>3</v>
      </c>
      <c r="B9" s="7" t="n"/>
      <c r="C9" s="7" t="n"/>
      <c r="D9" s="7" t="n"/>
      <c r="E9" s="7" t="n"/>
      <c r="F9" s="16" t="n"/>
      <c r="G9" s="7" t="n"/>
      <c r="H9" s="7" t="n"/>
      <c r="I9" s="8">
        <f>IF('공수1'!Y9="","",'공수1'!Y9)</f>
        <v/>
      </c>
      <c r="J9" s="8">
        <f>IF('공수2'!Y9="","",'공수2'!Y9)</f>
        <v/>
      </c>
      <c r="K9" s="7" t="n"/>
    </row>
    <row r="10">
      <c r="A10" s="5" t="n">
        <v>4</v>
      </c>
      <c r="B10" s="7" t="n"/>
      <c r="C10" s="7" t="n"/>
      <c r="D10" s="7" t="n"/>
      <c r="E10" s="7" t="n"/>
      <c r="F10" s="16" t="n"/>
      <c r="G10" s="7" t="n"/>
      <c r="H10" s="7" t="n"/>
      <c r="I10" s="8">
        <f>IF('공수1'!Y10="","",'공수1'!Y10)</f>
        <v/>
      </c>
      <c r="J10" s="8">
        <f>IF('공수2'!Y10="","",'공수2'!Y10)</f>
        <v/>
      </c>
      <c r="K10" s="7" t="n"/>
    </row>
    <row r="11">
      <c r="A11" s="5" t="n">
        <v>5</v>
      </c>
      <c r="B11" s="7" t="n"/>
      <c r="C11" s="7" t="n"/>
      <c r="D11" s="7" t="n"/>
      <c r="E11" s="7" t="n"/>
      <c r="F11" s="16" t="n"/>
      <c r="G11" s="7" t="n"/>
      <c r="H11" s="7" t="n"/>
      <c r="I11" s="8">
        <f>IF('공수1'!Y11="","",'공수1'!Y11)</f>
        <v/>
      </c>
      <c r="J11" s="8">
        <f>IF('공수2'!Y11="","",'공수2'!Y11)</f>
        <v/>
      </c>
      <c r="K11" s="7" t="n"/>
    </row>
    <row r="12">
      <c r="A12" s="5" t="n">
        <v>6</v>
      </c>
      <c r="B12" s="7" t="n"/>
      <c r="C12" s="7" t="n"/>
      <c r="D12" s="7" t="n"/>
      <c r="E12" s="7" t="n"/>
      <c r="F12" s="16" t="n"/>
      <c r="G12" s="7" t="n"/>
      <c r="H12" s="7" t="n"/>
      <c r="I12" s="8">
        <f>IF('공수1'!Y12="","",'공수1'!Y12)</f>
        <v/>
      </c>
      <c r="J12" s="8">
        <f>IF('공수2'!Y12="","",'공수2'!Y12)</f>
        <v/>
      </c>
      <c r="K12" s="7" t="n"/>
    </row>
    <row r="13">
      <c r="A13" s="5" t="n">
        <v>7</v>
      </c>
      <c r="B13" s="7" t="n"/>
      <c r="C13" s="7" t="n"/>
      <c r="D13" s="7" t="n"/>
      <c r="E13" s="7" t="n"/>
      <c r="F13" s="16" t="n"/>
      <c r="G13" s="7" t="n"/>
      <c r="H13" s="7" t="n"/>
      <c r="I13" s="8">
        <f>IF('공수1'!Y13="","",'공수1'!Y13)</f>
        <v/>
      </c>
      <c r="J13" s="8">
        <f>IF('공수2'!Y13="","",'공수2'!Y13)</f>
        <v/>
      </c>
      <c r="K13" s="7" t="n"/>
    </row>
    <row r="14">
      <c r="A14" s="5" t="n">
        <v>8</v>
      </c>
      <c r="B14" s="7" t="n"/>
      <c r="C14" s="7" t="n"/>
      <c r="D14" s="7" t="n"/>
      <c r="E14" s="7" t="n"/>
      <c r="F14" s="16" t="n"/>
      <c r="G14" s="7" t="n"/>
      <c r="H14" s="7" t="n"/>
      <c r="I14" s="8">
        <f>IF('공수1'!Y14="","",'공수1'!Y14)</f>
        <v/>
      </c>
      <c r="J14" s="8">
        <f>IF('공수2'!Y14="","",'공수2'!Y14)</f>
        <v/>
      </c>
      <c r="K14" s="7" t="n"/>
    </row>
    <row r="15">
      <c r="A15" s="5" t="n">
        <v>9</v>
      </c>
      <c r="B15" s="7" t="n"/>
      <c r="C15" s="7" t="n"/>
      <c r="D15" s="7" t="n"/>
      <c r="E15" s="7" t="n"/>
      <c r="F15" s="16" t="n"/>
      <c r="G15" s="7" t="n"/>
      <c r="H15" s="7" t="n"/>
      <c r="I15" s="8">
        <f>IF('공수1'!Y15="","",'공수1'!Y15)</f>
        <v/>
      </c>
      <c r="J15" s="8">
        <f>IF('공수2'!Y15="","",'공수2'!Y15)</f>
        <v/>
      </c>
      <c r="K15" s="7" t="n"/>
    </row>
    <row r="16">
      <c r="A16" s="5" t="n">
        <v>10</v>
      </c>
      <c r="B16" s="7" t="n"/>
      <c r="C16" s="7" t="n"/>
      <c r="D16" s="7" t="n"/>
      <c r="E16" s="7" t="n"/>
      <c r="F16" s="16" t="n"/>
      <c r="G16" s="7" t="n"/>
      <c r="H16" s="7" t="n"/>
      <c r="I16" s="8">
        <f>IF('공수1'!Y16="","",'공수1'!Y16)</f>
        <v/>
      </c>
      <c r="J16" s="8">
        <f>IF('공수2'!Y16="","",'공수2'!Y16)</f>
        <v/>
      </c>
      <c r="K16" s="7" t="n"/>
    </row>
    <row r="17">
      <c r="A17" s="5" t="n">
        <v>11</v>
      </c>
      <c r="B17" s="7" t="n"/>
      <c r="C17" s="7" t="n"/>
      <c r="D17" s="7" t="n"/>
      <c r="E17" s="7" t="n"/>
      <c r="F17" s="16" t="n"/>
      <c r="G17" s="7" t="n"/>
      <c r="H17" s="7" t="n"/>
      <c r="I17" s="8">
        <f>IF('공수1'!Y17="","",'공수1'!Y17)</f>
        <v/>
      </c>
      <c r="J17" s="8">
        <f>IF('공수2'!Y17="","",'공수2'!Y17)</f>
        <v/>
      </c>
      <c r="K17" s="7" t="n"/>
    </row>
    <row r="18">
      <c r="A18" s="5" t="n">
        <v>12</v>
      </c>
      <c r="B18" s="7" t="n"/>
      <c r="C18" s="7" t="n"/>
      <c r="D18" s="7" t="n"/>
      <c r="E18" s="7" t="n"/>
      <c r="F18" s="16" t="n"/>
      <c r="G18" s="7" t="n"/>
      <c r="H18" s="7" t="n"/>
      <c r="I18" s="8">
        <f>IF('공수1'!Y18="","",'공수1'!Y18)</f>
        <v/>
      </c>
      <c r="J18" s="8">
        <f>IF('공수2'!Y18="","",'공수2'!Y18)</f>
        <v/>
      </c>
      <c r="K18" s="7" t="n"/>
    </row>
    <row r="19">
      <c r="A19" s="5" t="n">
        <v>13</v>
      </c>
      <c r="B19" s="7" t="n"/>
      <c r="C19" s="7" t="n"/>
      <c r="D19" s="7" t="n"/>
      <c r="E19" s="7" t="n"/>
      <c r="F19" s="16" t="n"/>
      <c r="G19" s="7" t="n"/>
      <c r="H19" s="7" t="n"/>
      <c r="I19" s="8">
        <f>IF('공수1'!Y19="","",'공수1'!Y19)</f>
        <v/>
      </c>
      <c r="J19" s="8">
        <f>IF('공수2'!Y19="","",'공수2'!Y19)</f>
        <v/>
      </c>
      <c r="K19" s="7" t="n"/>
    </row>
    <row r="20">
      <c r="A20" s="5" t="n">
        <v>14</v>
      </c>
      <c r="B20" s="7" t="n"/>
      <c r="C20" s="7" t="n"/>
      <c r="D20" s="7" t="n"/>
      <c r="E20" s="7" t="n"/>
      <c r="F20" s="16" t="n"/>
      <c r="G20" s="7" t="n"/>
      <c r="H20" s="7" t="n"/>
      <c r="I20" s="8">
        <f>IF('공수1'!Y20="","",'공수1'!Y20)</f>
        <v/>
      </c>
      <c r="J20" s="8">
        <f>IF('공수2'!Y20="","",'공수2'!Y20)</f>
        <v/>
      </c>
      <c r="K20" s="7" t="n"/>
    </row>
    <row r="21">
      <c r="A21" s="5" t="n">
        <v>15</v>
      </c>
      <c r="B21" s="7" t="n"/>
      <c r="C21" s="7" t="n"/>
      <c r="D21" s="7" t="n"/>
      <c r="E21" s="7" t="n"/>
      <c r="F21" s="16" t="n"/>
      <c r="G21" s="7" t="n"/>
      <c r="H21" s="7" t="n"/>
      <c r="I21" s="8">
        <f>IF('공수1'!Y21="","",'공수1'!Y21)</f>
        <v/>
      </c>
      <c r="J21" s="8">
        <f>IF('공수2'!Y21="","",'공수2'!Y21)</f>
        <v/>
      </c>
      <c r="K21" s="7" t="n"/>
    </row>
    <row r="22">
      <c r="A22" s="5" t="n">
        <v>16</v>
      </c>
      <c r="B22" s="7" t="n"/>
      <c r="C22" s="7" t="n"/>
      <c r="D22" s="7" t="n"/>
      <c r="E22" s="7" t="n"/>
      <c r="F22" s="16" t="n"/>
      <c r="G22" s="7" t="n"/>
      <c r="H22" s="7" t="n"/>
      <c r="I22" s="8">
        <f>IF('공수1'!Y22="","",'공수1'!Y22)</f>
        <v/>
      </c>
      <c r="J22" s="8">
        <f>IF('공수2'!Y22="","",'공수2'!Y22)</f>
        <v/>
      </c>
      <c r="K22" s="7" t="n"/>
    </row>
    <row r="23">
      <c r="A23" s="5" t="n">
        <v>17</v>
      </c>
      <c r="B23" s="7" t="n"/>
      <c r="C23" s="7" t="n"/>
      <c r="D23" s="7" t="n"/>
      <c r="E23" s="7" t="n"/>
      <c r="F23" s="16" t="n"/>
      <c r="G23" s="7" t="n"/>
      <c r="H23" s="7" t="n"/>
      <c r="I23" s="8">
        <f>IF('공수1'!Y23="","",'공수1'!Y23)</f>
        <v/>
      </c>
      <c r="J23" s="8">
        <f>IF('공수2'!Y23="","",'공수2'!Y23)</f>
        <v/>
      </c>
      <c r="K23" s="7" t="n"/>
    </row>
    <row r="24">
      <c r="A24" s="5" t="n">
        <v>18</v>
      </c>
      <c r="B24" s="7" t="n"/>
      <c r="C24" s="7" t="n"/>
      <c r="D24" s="7" t="n"/>
      <c r="E24" s="7" t="n"/>
      <c r="F24" s="16" t="n"/>
      <c r="G24" s="7" t="n"/>
      <c r="H24" s="7" t="n"/>
      <c r="I24" s="8">
        <f>IF('공수1'!Y24="","",'공수1'!Y24)</f>
        <v/>
      </c>
      <c r="J24" s="8">
        <f>IF('공수2'!Y24="","",'공수2'!Y24)</f>
        <v/>
      </c>
      <c r="K24" s="7" t="n"/>
    </row>
    <row r="25">
      <c r="A25" s="5" t="n">
        <v>19</v>
      </c>
      <c r="B25" s="7" t="n"/>
      <c r="C25" s="7" t="n"/>
      <c r="D25" s="7" t="n"/>
      <c r="E25" s="7" t="n"/>
      <c r="F25" s="16" t="n"/>
      <c r="G25" s="7" t="n"/>
      <c r="H25" s="7" t="n"/>
      <c r="I25" s="8">
        <f>IF('공수1'!Y25="","",'공수1'!Y25)</f>
        <v/>
      </c>
      <c r="J25" s="8">
        <f>IF('공수2'!Y25="","",'공수2'!Y25)</f>
        <v/>
      </c>
      <c r="K25" s="7" t="n"/>
    </row>
    <row r="26">
      <c r="A26" s="5" t="n">
        <v>20</v>
      </c>
      <c r="B26" s="7" t="n"/>
      <c r="C26" s="7" t="n"/>
      <c r="D26" s="7" t="n"/>
      <c r="E26" s="7" t="n"/>
      <c r="F26" s="16" t="n"/>
      <c r="G26" s="7" t="n"/>
      <c r="H26" s="7" t="n"/>
      <c r="I26" s="8">
        <f>IF('공수1'!Y26="","",'공수1'!Y26)</f>
        <v/>
      </c>
      <c r="J26" s="8">
        <f>IF('공수2'!Y26="","",'공수2'!Y26)</f>
        <v/>
      </c>
      <c r="K26" s="7" t="n"/>
    </row>
    <row r="27">
      <c r="A27" s="5" t="n">
        <v>21</v>
      </c>
      <c r="B27" s="7" t="n"/>
      <c r="C27" s="7" t="n"/>
      <c r="D27" s="7" t="n"/>
      <c r="E27" s="7" t="n"/>
      <c r="F27" s="16" t="n"/>
      <c r="G27" s="7" t="n"/>
      <c r="H27" s="7" t="n"/>
      <c r="I27" s="8">
        <f>IF('공수1'!Y27="","",'공수1'!Y27)</f>
        <v/>
      </c>
      <c r="J27" s="8">
        <f>IF('공수2'!Y27="","",'공수2'!Y27)</f>
        <v/>
      </c>
      <c r="K27" s="7" t="n"/>
    </row>
    <row r="28">
      <c r="A28" s="5" t="n">
        <v>22</v>
      </c>
      <c r="B28" s="7" t="n"/>
      <c r="C28" s="7" t="n"/>
      <c r="D28" s="7" t="n"/>
      <c r="E28" s="7" t="n"/>
      <c r="F28" s="16" t="n"/>
      <c r="G28" s="7" t="n"/>
      <c r="H28" s="7" t="n"/>
      <c r="I28" s="8">
        <f>IF('공수1'!Y28="","",'공수1'!Y28)</f>
        <v/>
      </c>
      <c r="J28" s="8">
        <f>IF('공수2'!Y28="","",'공수2'!Y28)</f>
        <v/>
      </c>
      <c r="K28" s="7" t="n"/>
    </row>
    <row r="29">
      <c r="A29" s="5" t="n">
        <v>23</v>
      </c>
      <c r="B29" s="7" t="n"/>
      <c r="C29" s="7" t="n"/>
      <c r="D29" s="7" t="n"/>
      <c r="E29" s="7" t="n"/>
      <c r="F29" s="16" t="n"/>
      <c r="G29" s="7" t="n"/>
      <c r="H29" s="7" t="n"/>
      <c r="I29" s="8">
        <f>IF('공수1'!Y29="","",'공수1'!Y29)</f>
        <v/>
      </c>
      <c r="J29" s="8">
        <f>IF('공수2'!Y29="","",'공수2'!Y29)</f>
        <v/>
      </c>
      <c r="K29" s="7" t="n"/>
    </row>
    <row r="30">
      <c r="A30" s="5" t="n">
        <v>24</v>
      </c>
      <c r="B30" s="7" t="n"/>
      <c r="C30" s="7" t="n"/>
      <c r="D30" s="7" t="n"/>
      <c r="E30" s="7" t="n"/>
      <c r="F30" s="16" t="n"/>
      <c r="G30" s="7" t="n"/>
      <c r="H30" s="7" t="n"/>
      <c r="I30" s="8">
        <f>IF('공수1'!Y30="","",'공수1'!Y30)</f>
        <v/>
      </c>
      <c r="J30" s="8">
        <f>IF('공수2'!Y30="","",'공수2'!Y30)</f>
        <v/>
      </c>
      <c r="K30" s="7" t="n"/>
    </row>
    <row r="31">
      <c r="A31" s="5" t="n">
        <v>25</v>
      </c>
      <c r="B31" s="7" t="n"/>
      <c r="C31" s="7" t="n"/>
      <c r="D31" s="7" t="n"/>
      <c r="E31" s="7" t="n"/>
      <c r="F31" s="16" t="n"/>
      <c r="G31" s="7" t="n"/>
      <c r="H31" s="7" t="n"/>
      <c r="I31" s="8">
        <f>IF('공수1'!Y31="","",'공수1'!Y31)</f>
        <v/>
      </c>
      <c r="J31" s="8">
        <f>IF('공수2'!Y31="","",'공수2'!Y31)</f>
        <v/>
      </c>
      <c r="K31" s="7" t="n"/>
    </row>
    <row r="32">
      <c r="A32" s="5" t="n">
        <v>26</v>
      </c>
      <c r="B32" s="7" t="n"/>
      <c r="C32" s="7" t="n"/>
      <c r="D32" s="7" t="n"/>
      <c r="E32" s="7" t="n"/>
      <c r="F32" s="16" t="n"/>
      <c r="G32" s="7" t="n"/>
      <c r="H32" s="7" t="n"/>
      <c r="I32" s="8">
        <f>IF('공수1'!Y32="","",'공수1'!Y32)</f>
        <v/>
      </c>
      <c r="J32" s="8">
        <f>IF('공수2'!Y32="","",'공수2'!Y32)</f>
        <v/>
      </c>
      <c r="K32" s="7" t="n"/>
    </row>
    <row r="33">
      <c r="A33" s="5" t="n">
        <v>27</v>
      </c>
      <c r="B33" s="7" t="n"/>
      <c r="C33" s="7" t="n"/>
      <c r="D33" s="7" t="n"/>
      <c r="E33" s="7" t="n"/>
      <c r="F33" s="16" t="n"/>
      <c r="G33" s="7" t="n"/>
      <c r="H33" s="7" t="n"/>
      <c r="I33" s="8">
        <f>IF('공수1'!Y33="","",'공수1'!Y33)</f>
        <v/>
      </c>
      <c r="J33" s="8">
        <f>IF('공수2'!Y33="","",'공수2'!Y33)</f>
        <v/>
      </c>
      <c r="K33" s="7" t="n"/>
    </row>
    <row r="34">
      <c r="A34" s="5" t="n">
        <v>28</v>
      </c>
      <c r="B34" s="7" t="n"/>
      <c r="C34" s="7" t="n"/>
      <c r="D34" s="7" t="n"/>
      <c r="E34" s="7" t="n"/>
      <c r="F34" s="16" t="n"/>
      <c r="G34" s="7" t="n"/>
      <c r="H34" s="7" t="n"/>
      <c r="I34" s="8">
        <f>IF('공수1'!Y34="","",'공수1'!Y34)</f>
        <v/>
      </c>
      <c r="J34" s="8">
        <f>IF('공수2'!Y34="","",'공수2'!Y34)</f>
        <v/>
      </c>
      <c r="K34" s="7" t="n"/>
    </row>
    <row r="35">
      <c r="A35" s="5" t="n">
        <v>29</v>
      </c>
      <c r="B35" s="7" t="n"/>
      <c r="C35" s="7" t="n"/>
      <c r="D35" s="7" t="n"/>
      <c r="E35" s="7" t="n"/>
      <c r="F35" s="16" t="n"/>
      <c r="G35" s="7" t="n"/>
      <c r="H35" s="7" t="n"/>
      <c r="I35" s="8">
        <f>IF('공수1'!Y35="","",'공수1'!Y35)</f>
        <v/>
      </c>
      <c r="J35" s="8">
        <f>IF('공수2'!Y35="","",'공수2'!Y35)</f>
        <v/>
      </c>
      <c r="K35" s="7" t="n"/>
    </row>
    <row r="36">
      <c r="A36" s="5" t="n">
        <v>30</v>
      </c>
      <c r="B36" s="7" t="n"/>
      <c r="C36" s="7" t="n"/>
      <c r="D36" s="7" t="n"/>
      <c r="E36" s="7" t="n"/>
      <c r="F36" s="16" t="n"/>
      <c r="G36" s="7" t="n"/>
      <c r="H36" s="7" t="n"/>
      <c r="I36" s="8">
        <f>IF('공수1'!Y36="","",'공수1'!Y36)</f>
        <v/>
      </c>
      <c r="J36" s="8">
        <f>IF('공수2'!Y36="","",'공수2'!Y36)</f>
        <v/>
      </c>
      <c r="K36" s="7" t="n"/>
    </row>
    <row r="37">
      <c r="A37" s="5" t="n">
        <v>31</v>
      </c>
      <c r="B37" s="7" t="n"/>
      <c r="C37" s="7" t="n"/>
      <c r="D37" s="7" t="n"/>
      <c r="E37" s="7" t="n"/>
      <c r="F37" s="16" t="n"/>
      <c r="G37" s="7" t="n"/>
      <c r="H37" s="7" t="n"/>
      <c r="I37" s="8">
        <f>IF('공수1'!Y37="","",'공수1'!Y37)</f>
        <v/>
      </c>
      <c r="J37" s="8">
        <f>IF('공수2'!Y37="","",'공수2'!Y37)</f>
        <v/>
      </c>
      <c r="K37" s="7" t="n"/>
    </row>
    <row r="38">
      <c r="A38" s="5" t="n">
        <v>32</v>
      </c>
      <c r="B38" s="7" t="n"/>
      <c r="C38" s="7" t="n"/>
      <c r="D38" s="7" t="n"/>
      <c r="E38" s="7" t="n"/>
      <c r="F38" s="16" t="n"/>
      <c r="G38" s="7" t="n"/>
      <c r="H38" s="7" t="n"/>
      <c r="I38" s="8">
        <f>IF('공수1'!Y38="","",'공수1'!Y38)</f>
        <v/>
      </c>
      <c r="J38" s="8">
        <f>IF('공수2'!Y38="","",'공수2'!Y38)</f>
        <v/>
      </c>
      <c r="K38" s="7" t="n"/>
    </row>
    <row r="39">
      <c r="A39" s="5" t="n">
        <v>33</v>
      </c>
      <c r="B39" s="7" t="n"/>
      <c r="C39" s="7" t="n"/>
      <c r="D39" s="7" t="n"/>
      <c r="E39" s="7" t="n"/>
      <c r="F39" s="16" t="n"/>
      <c r="G39" s="7" t="n"/>
      <c r="H39" s="7" t="n"/>
      <c r="I39" s="8">
        <f>IF('공수1'!Y39="","",'공수1'!Y39)</f>
        <v/>
      </c>
      <c r="J39" s="8">
        <f>IF('공수2'!Y39="","",'공수2'!Y39)</f>
        <v/>
      </c>
      <c r="K39" s="7" t="n"/>
    </row>
    <row r="40">
      <c r="A40" s="5" t="n">
        <v>34</v>
      </c>
      <c r="B40" s="7" t="n"/>
      <c r="C40" s="7" t="n"/>
      <c r="D40" s="7" t="n"/>
      <c r="E40" s="7" t="n"/>
      <c r="F40" s="16" t="n"/>
      <c r="G40" s="7" t="n"/>
      <c r="H40" s="7" t="n"/>
      <c r="I40" s="8">
        <f>IF('공수1'!Y40="","",'공수1'!Y40)</f>
        <v/>
      </c>
      <c r="J40" s="8">
        <f>IF('공수2'!Y40="","",'공수2'!Y40)</f>
        <v/>
      </c>
      <c r="K40" s="7" t="n"/>
    </row>
    <row r="41">
      <c r="A41" s="5" t="n">
        <v>35</v>
      </c>
      <c r="B41" s="7" t="n"/>
      <c r="C41" s="7" t="n"/>
      <c r="D41" s="7" t="n"/>
      <c r="E41" s="7" t="n"/>
      <c r="F41" s="16" t="n"/>
      <c r="G41" s="7" t="n"/>
      <c r="H41" s="7" t="n"/>
      <c r="I41" s="8">
        <f>IF('공수1'!Y41="","",'공수1'!Y41)</f>
        <v/>
      </c>
      <c r="J41" s="8">
        <f>IF('공수2'!Y41="","",'공수2'!Y41)</f>
        <v/>
      </c>
      <c r="K41" s="7" t="n"/>
    </row>
    <row r="42">
      <c r="A42" s="5" t="n">
        <v>36</v>
      </c>
      <c r="B42" s="7" t="n"/>
      <c r="C42" s="7" t="n"/>
      <c r="D42" s="7" t="n"/>
      <c r="E42" s="7" t="n"/>
      <c r="F42" s="16" t="n"/>
      <c r="G42" s="7" t="n"/>
      <c r="H42" s="7" t="n"/>
      <c r="I42" s="8">
        <f>IF('공수1'!Y42="","",'공수1'!Y42)</f>
        <v/>
      </c>
      <c r="J42" s="8">
        <f>IF('공수2'!Y42="","",'공수2'!Y42)</f>
        <v/>
      </c>
      <c r="K42" s="7" t="n"/>
    </row>
    <row r="43">
      <c r="A43" s="5" t="n">
        <v>37</v>
      </c>
      <c r="B43" s="7" t="n"/>
      <c r="C43" s="7" t="n"/>
      <c r="D43" s="7" t="n"/>
      <c r="E43" s="7" t="n"/>
      <c r="F43" s="16" t="n"/>
      <c r="G43" s="7" t="n"/>
      <c r="H43" s="7" t="n"/>
      <c r="I43" s="8">
        <f>IF('공수1'!Y43="","",'공수1'!Y43)</f>
        <v/>
      </c>
      <c r="J43" s="8">
        <f>IF('공수2'!Y43="","",'공수2'!Y43)</f>
        <v/>
      </c>
      <c r="K43" s="7" t="n"/>
    </row>
    <row r="44">
      <c r="A44" s="5" t="n">
        <v>38</v>
      </c>
      <c r="B44" s="7" t="n"/>
      <c r="C44" s="7" t="n"/>
      <c r="D44" s="7" t="n"/>
      <c r="E44" s="7" t="n"/>
      <c r="F44" s="16" t="n"/>
      <c r="G44" s="7" t="n"/>
      <c r="H44" s="7" t="n"/>
      <c r="I44" s="8">
        <f>IF('공수1'!Y44="","",'공수1'!Y44)</f>
        <v/>
      </c>
      <c r="J44" s="8">
        <f>IF('공수2'!Y44="","",'공수2'!Y44)</f>
        <v/>
      </c>
      <c r="K44" s="7" t="n"/>
    </row>
    <row r="45">
      <c r="A45" s="5" t="n">
        <v>39</v>
      </c>
      <c r="B45" s="7" t="n"/>
      <c r="C45" s="7" t="n"/>
      <c r="D45" s="7" t="n"/>
      <c r="E45" s="7" t="n"/>
      <c r="F45" s="16" t="n"/>
      <c r="G45" s="7" t="n"/>
      <c r="H45" s="7" t="n"/>
      <c r="I45" s="8">
        <f>IF('공수1'!Y45="","",'공수1'!Y45)</f>
        <v/>
      </c>
      <c r="J45" s="8">
        <f>IF('공수2'!Y45="","",'공수2'!Y45)</f>
        <v/>
      </c>
      <c r="K45" s="7" t="n"/>
    </row>
    <row r="46">
      <c r="A46" s="5" t="n">
        <v>40</v>
      </c>
      <c r="B46" s="7" t="n"/>
      <c r="C46" s="7" t="n"/>
      <c r="D46" s="7" t="n"/>
      <c r="E46" s="7" t="n"/>
      <c r="F46" s="16" t="n"/>
      <c r="G46" s="7" t="n"/>
      <c r="H46" s="7" t="n"/>
      <c r="I46" s="8">
        <f>IF('공수1'!Y46="","",'공수1'!Y46)</f>
        <v/>
      </c>
      <c r="J46" s="8">
        <f>IF('공수2'!Y46="","",'공수2'!Y46)</f>
        <v/>
      </c>
      <c r="K46" s="7" t="n"/>
    </row>
    <row r="47">
      <c r="A47" s="5" t="n">
        <v>41</v>
      </c>
      <c r="B47" s="7" t="n"/>
      <c r="C47" s="7" t="n"/>
      <c r="D47" s="7" t="n"/>
      <c r="E47" s="7" t="n"/>
      <c r="F47" s="16" t="n"/>
      <c r="G47" s="7" t="n"/>
      <c r="H47" s="7" t="n"/>
      <c r="I47" s="8">
        <f>IF('공수1'!Y47="","",'공수1'!Y47)</f>
        <v/>
      </c>
      <c r="J47" s="8">
        <f>IF('공수2'!Y47="","",'공수2'!Y47)</f>
        <v/>
      </c>
      <c r="K47" s="7" t="n"/>
    </row>
    <row r="48">
      <c r="A48" s="5" t="n">
        <v>42</v>
      </c>
      <c r="B48" s="7" t="n"/>
      <c r="C48" s="7" t="n"/>
      <c r="D48" s="7" t="n"/>
      <c r="E48" s="7" t="n"/>
      <c r="F48" s="16" t="n"/>
      <c r="G48" s="7" t="n"/>
      <c r="H48" s="7" t="n"/>
      <c r="I48" s="8">
        <f>IF('공수1'!Y48="","",'공수1'!Y48)</f>
        <v/>
      </c>
      <c r="J48" s="8">
        <f>IF('공수2'!Y48="","",'공수2'!Y48)</f>
        <v/>
      </c>
      <c r="K48" s="7" t="n"/>
    </row>
    <row r="49">
      <c r="A49" s="5" t="n">
        <v>43</v>
      </c>
      <c r="B49" s="7" t="n"/>
      <c r="C49" s="7" t="n"/>
      <c r="D49" s="7" t="n"/>
      <c r="E49" s="7" t="n"/>
      <c r="F49" s="16" t="n"/>
      <c r="G49" s="7" t="n"/>
      <c r="H49" s="7" t="n"/>
      <c r="I49" s="8">
        <f>IF('공수1'!Y49="","",'공수1'!Y49)</f>
        <v/>
      </c>
      <c r="J49" s="8">
        <f>IF('공수2'!Y49="","",'공수2'!Y49)</f>
        <v/>
      </c>
      <c r="K49" s="7" t="n"/>
    </row>
    <row r="50">
      <c r="A50" s="5" t="n">
        <v>44</v>
      </c>
      <c r="B50" s="7" t="n"/>
      <c r="C50" s="7" t="n"/>
      <c r="D50" s="7" t="n"/>
      <c r="E50" s="7" t="n"/>
      <c r="F50" s="16" t="n"/>
      <c r="G50" s="7" t="n"/>
      <c r="H50" s="7" t="n"/>
      <c r="I50" s="8">
        <f>IF('공수1'!Y50="","",'공수1'!Y50)</f>
        <v/>
      </c>
      <c r="J50" s="8">
        <f>IF('공수2'!Y50="","",'공수2'!Y50)</f>
        <v/>
      </c>
      <c r="K50" s="7" t="n"/>
    </row>
    <row r="51">
      <c r="A51" s="5" t="n">
        <v>45</v>
      </c>
      <c r="B51" s="7" t="n"/>
      <c r="C51" s="7" t="n"/>
      <c r="D51" s="7" t="n"/>
      <c r="E51" s="7" t="n"/>
      <c r="F51" s="16" t="n"/>
      <c r="G51" s="7" t="n"/>
      <c r="H51" s="7" t="n"/>
      <c r="I51" s="8">
        <f>IF('공수1'!Y51="","",'공수1'!Y51)</f>
        <v/>
      </c>
      <c r="J51" s="8">
        <f>IF('공수2'!Y51="","",'공수2'!Y51)</f>
        <v/>
      </c>
      <c r="K51" s="7" t="n"/>
    </row>
    <row r="52">
      <c r="A52" s="5" t="n">
        <v>46</v>
      </c>
      <c r="B52" s="7" t="n"/>
      <c r="C52" s="7" t="n"/>
      <c r="D52" s="7" t="n"/>
      <c r="E52" s="7" t="n"/>
      <c r="F52" s="16" t="n"/>
      <c r="G52" s="7" t="n"/>
      <c r="H52" s="7" t="n"/>
      <c r="I52" s="8">
        <f>IF('공수1'!Y52="","",'공수1'!Y52)</f>
        <v/>
      </c>
      <c r="J52" s="8">
        <f>IF('공수2'!Y52="","",'공수2'!Y52)</f>
        <v/>
      </c>
      <c r="K52" s="7" t="n"/>
    </row>
    <row r="53">
      <c r="A53" s="5" t="n">
        <v>47</v>
      </c>
      <c r="B53" s="7" t="n"/>
      <c r="C53" s="7" t="n"/>
      <c r="D53" s="7" t="n"/>
      <c r="E53" s="7" t="n"/>
      <c r="F53" s="16" t="n"/>
      <c r="G53" s="7" t="n"/>
      <c r="H53" s="7" t="n"/>
      <c r="I53" s="8">
        <f>IF('공수1'!Y53="","",'공수1'!Y53)</f>
        <v/>
      </c>
      <c r="J53" s="8">
        <f>IF('공수2'!Y53="","",'공수2'!Y53)</f>
        <v/>
      </c>
      <c r="K53" s="7" t="n"/>
    </row>
    <row r="54">
      <c r="A54" s="5" t="n">
        <v>48</v>
      </c>
      <c r="B54" s="7" t="n"/>
      <c r="C54" s="7" t="n"/>
      <c r="D54" s="7" t="n"/>
      <c r="E54" s="7" t="n"/>
      <c r="F54" s="16" t="n"/>
      <c r="G54" s="7" t="n"/>
      <c r="H54" s="7" t="n"/>
      <c r="I54" s="8">
        <f>IF('공수1'!Y54="","",'공수1'!Y54)</f>
        <v/>
      </c>
      <c r="J54" s="8">
        <f>IF('공수2'!Y54="","",'공수2'!Y54)</f>
        <v/>
      </c>
      <c r="K54" s="7" t="n"/>
    </row>
    <row r="55">
      <c r="A55" s="5" t="n">
        <v>49</v>
      </c>
      <c r="B55" s="7" t="n"/>
      <c r="C55" s="7" t="n"/>
      <c r="D55" s="7" t="n"/>
      <c r="E55" s="7" t="n"/>
      <c r="F55" s="16" t="n"/>
      <c r="G55" s="7" t="n"/>
      <c r="H55" s="7" t="n"/>
      <c r="I55" s="8">
        <f>IF('공수1'!Y55="","",'공수1'!Y55)</f>
        <v/>
      </c>
      <c r="J55" s="8">
        <f>IF('공수2'!Y55="","",'공수2'!Y55)</f>
        <v/>
      </c>
      <c r="K55" s="7" t="n"/>
    </row>
    <row r="56">
      <c r="A56" s="5" t="n">
        <v>50</v>
      </c>
      <c r="B56" s="7" t="n"/>
      <c r="C56" s="7" t="n"/>
      <c r="D56" s="7" t="n"/>
      <c r="E56" s="7" t="n"/>
      <c r="F56" s="16" t="n"/>
      <c r="G56" s="7" t="n"/>
      <c r="H56" s="7" t="n"/>
      <c r="I56" s="8">
        <f>IF('공수1'!Y56="","",'공수1'!Y56)</f>
        <v/>
      </c>
      <c r="J56" s="8">
        <f>IF('공수2'!Y56="","",'공수2'!Y56)</f>
        <v/>
      </c>
      <c r="K56" s="7" t="n"/>
    </row>
    <row r="57">
      <c r="A57" s="5" t="n">
        <v>51</v>
      </c>
      <c r="B57" s="7" t="n"/>
      <c r="C57" s="7" t="n"/>
      <c r="D57" s="7" t="n"/>
      <c r="E57" s="7" t="n"/>
      <c r="F57" s="16" t="n"/>
      <c r="G57" s="7" t="n"/>
      <c r="H57" s="7" t="n"/>
      <c r="I57" s="8">
        <f>IF('공수1'!Y57="","",'공수1'!Y57)</f>
        <v/>
      </c>
      <c r="J57" s="8">
        <f>IF('공수2'!Y57="","",'공수2'!Y57)</f>
        <v/>
      </c>
      <c r="K57" s="7" t="n"/>
    </row>
    <row r="58">
      <c r="A58" s="5" t="n">
        <v>52</v>
      </c>
      <c r="B58" s="7" t="n"/>
      <c r="C58" s="7" t="n"/>
      <c r="D58" s="7" t="n"/>
      <c r="E58" s="7" t="n"/>
      <c r="F58" s="16" t="n"/>
      <c r="G58" s="7" t="n"/>
      <c r="H58" s="7" t="n"/>
      <c r="I58" s="8">
        <f>IF('공수1'!Y58="","",'공수1'!Y58)</f>
        <v/>
      </c>
      <c r="J58" s="8">
        <f>IF('공수2'!Y58="","",'공수2'!Y58)</f>
        <v/>
      </c>
      <c r="K58" s="7" t="n"/>
    </row>
    <row r="59">
      <c r="A59" s="5" t="n">
        <v>53</v>
      </c>
      <c r="B59" s="7" t="n"/>
      <c r="C59" s="7" t="n"/>
      <c r="D59" s="7" t="n"/>
      <c r="E59" s="7" t="n"/>
      <c r="F59" s="16" t="n"/>
      <c r="G59" s="7" t="n"/>
      <c r="H59" s="7" t="n"/>
      <c r="I59" s="8">
        <f>IF('공수1'!Y59="","",'공수1'!Y59)</f>
        <v/>
      </c>
      <c r="J59" s="8">
        <f>IF('공수2'!Y59="","",'공수2'!Y59)</f>
        <v/>
      </c>
      <c r="K59" s="7" t="n"/>
    </row>
    <row r="60">
      <c r="A60" s="5" t="n">
        <v>54</v>
      </c>
      <c r="B60" s="7" t="n"/>
      <c r="C60" s="7" t="n"/>
      <c r="D60" s="7" t="n"/>
      <c r="E60" s="7" t="n"/>
      <c r="F60" s="16" t="n"/>
      <c r="G60" s="7" t="n"/>
      <c r="H60" s="7" t="n"/>
      <c r="I60" s="8">
        <f>IF('공수1'!Y60="","",'공수1'!Y60)</f>
        <v/>
      </c>
      <c r="J60" s="8">
        <f>IF('공수2'!Y60="","",'공수2'!Y60)</f>
        <v/>
      </c>
      <c r="K60" s="7" t="n"/>
    </row>
    <row r="61">
      <c r="A61" s="5" t="n">
        <v>55</v>
      </c>
      <c r="B61" s="7" t="n"/>
      <c r="C61" s="7" t="n"/>
      <c r="D61" s="7" t="n"/>
      <c r="E61" s="7" t="n"/>
      <c r="F61" s="16" t="n"/>
      <c r="G61" s="7" t="n"/>
      <c r="H61" s="7" t="n"/>
      <c r="I61" s="8">
        <f>IF('공수1'!Y61="","",'공수1'!Y61)</f>
        <v/>
      </c>
      <c r="J61" s="8">
        <f>IF('공수2'!Y61="","",'공수2'!Y61)</f>
        <v/>
      </c>
      <c r="K61" s="7" t="n"/>
    </row>
    <row r="62">
      <c r="A62" s="5" t="n">
        <v>56</v>
      </c>
      <c r="B62" s="7" t="n"/>
      <c r="C62" s="7" t="n"/>
      <c r="D62" s="7" t="n"/>
      <c r="E62" s="7" t="n"/>
      <c r="F62" s="16" t="n"/>
      <c r="G62" s="7" t="n"/>
      <c r="H62" s="7" t="n"/>
      <c r="I62" s="8">
        <f>IF('공수1'!Y62="","",'공수1'!Y62)</f>
        <v/>
      </c>
      <c r="J62" s="8">
        <f>IF('공수2'!Y62="","",'공수2'!Y62)</f>
        <v/>
      </c>
      <c r="K62" s="7" t="n"/>
    </row>
    <row r="63">
      <c r="A63" s="5" t="n">
        <v>57</v>
      </c>
      <c r="B63" s="7" t="n"/>
      <c r="C63" s="7" t="n"/>
      <c r="D63" s="7" t="n"/>
      <c r="E63" s="7" t="n"/>
      <c r="F63" s="16" t="n"/>
      <c r="G63" s="7" t="n"/>
      <c r="H63" s="7" t="n"/>
      <c r="I63" s="8">
        <f>IF('공수1'!Y63="","",'공수1'!Y63)</f>
        <v/>
      </c>
      <c r="J63" s="8">
        <f>IF('공수2'!Y63="","",'공수2'!Y63)</f>
        <v/>
      </c>
      <c r="K63" s="7" t="n"/>
    </row>
    <row r="64">
      <c r="A64" s="5" t="n">
        <v>58</v>
      </c>
      <c r="B64" s="7" t="n"/>
      <c r="C64" s="7" t="n"/>
      <c r="D64" s="7" t="n"/>
      <c r="E64" s="7" t="n"/>
      <c r="F64" s="16" t="n"/>
      <c r="G64" s="7" t="n"/>
      <c r="H64" s="7" t="n"/>
      <c r="I64" s="8">
        <f>IF('공수1'!Y64="","",'공수1'!Y64)</f>
        <v/>
      </c>
      <c r="J64" s="8">
        <f>IF('공수2'!Y64="","",'공수2'!Y64)</f>
        <v/>
      </c>
      <c r="K64" s="7" t="n"/>
    </row>
    <row r="65">
      <c r="A65" s="5" t="n">
        <v>59</v>
      </c>
      <c r="B65" s="7" t="n"/>
      <c r="C65" s="7" t="n"/>
      <c r="D65" s="7" t="n"/>
      <c r="E65" s="7" t="n"/>
      <c r="F65" s="16" t="n"/>
      <c r="G65" s="7" t="n"/>
      <c r="H65" s="7" t="n"/>
      <c r="I65" s="8">
        <f>IF('공수1'!Y65="","",'공수1'!Y65)</f>
        <v/>
      </c>
      <c r="J65" s="8">
        <f>IF('공수2'!Y65="","",'공수2'!Y65)</f>
        <v/>
      </c>
      <c r="K65" s="7" t="n"/>
    </row>
    <row r="66">
      <c r="A66" s="5" t="n">
        <v>60</v>
      </c>
      <c r="B66" s="7" t="n"/>
      <c r="C66" s="7" t="n"/>
      <c r="D66" s="7" t="n"/>
      <c r="E66" s="7" t="n"/>
      <c r="F66" s="16" t="n"/>
      <c r="G66" s="7" t="n"/>
      <c r="H66" s="7" t="n"/>
      <c r="I66" s="8">
        <f>IF('공수1'!Y66="","",'공수1'!Y66)</f>
        <v/>
      </c>
      <c r="J66" s="8">
        <f>IF('공수2'!Y66="","",'공수2'!Y66)</f>
        <v/>
      </c>
      <c r="K66" s="7" t="n"/>
    </row>
    <row r="67">
      <c r="A67" s="5" t="n">
        <v>61</v>
      </c>
      <c r="B67" s="7" t="n"/>
      <c r="C67" s="7" t="n"/>
      <c r="D67" s="7" t="n"/>
      <c r="E67" s="7" t="n"/>
      <c r="F67" s="16" t="n"/>
      <c r="G67" s="7" t="n"/>
      <c r="H67" s="7" t="n"/>
      <c r="I67" s="8">
        <f>IF('공수1'!Y67="","",'공수1'!Y67)</f>
        <v/>
      </c>
      <c r="J67" s="8">
        <f>IF('공수2'!Y67="","",'공수2'!Y67)</f>
        <v/>
      </c>
      <c r="K67" s="7" t="n"/>
    </row>
    <row r="68">
      <c r="A68" s="5" t="n">
        <v>62</v>
      </c>
      <c r="B68" s="7" t="n"/>
      <c r="C68" s="7" t="n"/>
      <c r="D68" s="7" t="n"/>
      <c r="E68" s="7" t="n"/>
      <c r="F68" s="16" t="n"/>
      <c r="G68" s="7" t="n"/>
      <c r="H68" s="7" t="n"/>
      <c r="I68" s="8">
        <f>IF('공수1'!Y68="","",'공수1'!Y68)</f>
        <v/>
      </c>
      <c r="J68" s="8">
        <f>IF('공수2'!Y68="","",'공수2'!Y68)</f>
        <v/>
      </c>
      <c r="K68" s="7" t="n"/>
    </row>
    <row r="69">
      <c r="A69" s="5" t="n">
        <v>63</v>
      </c>
      <c r="B69" s="7" t="n"/>
      <c r="C69" s="7" t="n"/>
      <c r="D69" s="7" t="n"/>
      <c r="E69" s="7" t="n"/>
      <c r="F69" s="16" t="n"/>
      <c r="G69" s="7" t="n"/>
      <c r="H69" s="7" t="n"/>
      <c r="I69" s="8">
        <f>IF('공수1'!Y69="","",'공수1'!Y69)</f>
        <v/>
      </c>
      <c r="J69" s="8">
        <f>IF('공수2'!Y69="","",'공수2'!Y69)</f>
        <v/>
      </c>
      <c r="K69" s="7" t="n"/>
    </row>
    <row r="70">
      <c r="A70" s="5" t="n">
        <v>64</v>
      </c>
      <c r="B70" s="7" t="n"/>
      <c r="C70" s="7" t="n"/>
      <c r="D70" s="7" t="n"/>
      <c r="E70" s="7" t="n"/>
      <c r="F70" s="16" t="n"/>
      <c r="G70" s="7" t="n"/>
      <c r="H70" s="7" t="n"/>
      <c r="I70" s="8">
        <f>IF('공수1'!Y70="","",'공수1'!Y70)</f>
        <v/>
      </c>
      <c r="J70" s="8">
        <f>IF('공수2'!Y70="","",'공수2'!Y70)</f>
        <v/>
      </c>
      <c r="K70" s="7" t="n"/>
    </row>
    <row r="71">
      <c r="A71" s="5" t="n">
        <v>65</v>
      </c>
      <c r="B71" s="7" t="n"/>
      <c r="C71" s="7" t="n"/>
      <c r="D71" s="7" t="n"/>
      <c r="E71" s="7" t="n"/>
      <c r="F71" s="16" t="n"/>
      <c r="G71" s="7" t="n"/>
      <c r="H71" s="7" t="n"/>
      <c r="I71" s="8">
        <f>IF('공수1'!Y71="","",'공수1'!Y71)</f>
        <v/>
      </c>
      <c r="J71" s="8">
        <f>IF('공수2'!Y71="","",'공수2'!Y71)</f>
        <v/>
      </c>
      <c r="K71" s="7" t="n"/>
    </row>
    <row r="72">
      <c r="A72" s="5" t="n">
        <v>66</v>
      </c>
      <c r="B72" s="7" t="n"/>
      <c r="C72" s="7" t="n"/>
      <c r="D72" s="7" t="n"/>
      <c r="E72" s="7" t="n"/>
      <c r="F72" s="16" t="n"/>
      <c r="G72" s="7" t="n"/>
      <c r="H72" s="7" t="n"/>
      <c r="I72" s="8">
        <f>IF('공수1'!Y72="","",'공수1'!Y72)</f>
        <v/>
      </c>
      <c r="J72" s="8">
        <f>IF('공수2'!Y72="","",'공수2'!Y72)</f>
        <v/>
      </c>
      <c r="K72" s="7" t="n"/>
    </row>
    <row r="73">
      <c r="A73" s="5" t="n">
        <v>67</v>
      </c>
      <c r="B73" s="7" t="n"/>
      <c r="C73" s="7" t="n"/>
      <c r="D73" s="7" t="n"/>
      <c r="E73" s="7" t="n"/>
      <c r="F73" s="16" t="n"/>
      <c r="G73" s="7" t="n"/>
      <c r="H73" s="7" t="n"/>
      <c r="I73" s="8">
        <f>IF('공수1'!Y73="","",'공수1'!Y73)</f>
        <v/>
      </c>
      <c r="J73" s="8">
        <f>IF('공수2'!Y73="","",'공수2'!Y73)</f>
        <v/>
      </c>
      <c r="K73" s="7" t="n"/>
    </row>
    <row r="74">
      <c r="A74" s="5" t="n">
        <v>68</v>
      </c>
      <c r="B74" s="7" t="n"/>
      <c r="C74" s="7" t="n"/>
      <c r="D74" s="7" t="n"/>
      <c r="E74" s="7" t="n"/>
      <c r="F74" s="16" t="n"/>
      <c r="G74" s="7" t="n"/>
      <c r="H74" s="7" t="n"/>
      <c r="I74" s="8">
        <f>IF('공수1'!Y74="","",'공수1'!Y74)</f>
        <v/>
      </c>
      <c r="J74" s="8">
        <f>IF('공수2'!Y74="","",'공수2'!Y74)</f>
        <v/>
      </c>
      <c r="K74" s="7" t="n"/>
    </row>
    <row r="75">
      <c r="A75" s="5" t="n">
        <v>69</v>
      </c>
      <c r="B75" s="7" t="n"/>
      <c r="C75" s="7" t="n"/>
      <c r="D75" s="7" t="n"/>
      <c r="E75" s="7" t="n"/>
      <c r="F75" s="16" t="n"/>
      <c r="G75" s="7" t="n"/>
      <c r="H75" s="7" t="n"/>
      <c r="I75" s="8">
        <f>IF('공수1'!Y75="","",'공수1'!Y75)</f>
        <v/>
      </c>
      <c r="J75" s="8">
        <f>IF('공수2'!Y75="","",'공수2'!Y75)</f>
        <v/>
      </c>
      <c r="K75" s="7" t="n"/>
    </row>
    <row r="76">
      <c r="A76" s="5" t="n">
        <v>70</v>
      </c>
      <c r="B76" s="7" t="n"/>
      <c r="C76" s="7" t="n"/>
      <c r="D76" s="7" t="n"/>
      <c r="E76" s="7" t="n"/>
      <c r="F76" s="16" t="n"/>
      <c r="G76" s="7" t="n"/>
      <c r="H76" s="7" t="n"/>
      <c r="I76" s="8">
        <f>IF('공수1'!Y76="","",'공수1'!Y76)</f>
        <v/>
      </c>
      <c r="J76" s="8">
        <f>IF('공수2'!Y76="","",'공수2'!Y76)</f>
        <v/>
      </c>
      <c r="K76" s="7" t="n"/>
    </row>
    <row r="77">
      <c r="A77" s="5" t="n">
        <v>71</v>
      </c>
      <c r="B77" s="7" t="n"/>
      <c r="C77" s="7" t="n"/>
      <c r="D77" s="7" t="n"/>
      <c r="E77" s="7" t="n"/>
      <c r="F77" s="16" t="n"/>
      <c r="G77" s="7" t="n"/>
      <c r="H77" s="7" t="n"/>
      <c r="I77" s="8">
        <f>IF('공수1'!Y77="","",'공수1'!Y77)</f>
        <v/>
      </c>
      <c r="J77" s="8">
        <f>IF('공수2'!Y77="","",'공수2'!Y77)</f>
        <v/>
      </c>
      <c r="K77" s="7" t="n"/>
    </row>
    <row r="78">
      <c r="A78" s="5" t="n">
        <v>72</v>
      </c>
      <c r="B78" s="7" t="n"/>
      <c r="C78" s="7" t="n"/>
      <c r="D78" s="7" t="n"/>
      <c r="E78" s="7" t="n"/>
      <c r="F78" s="16" t="n"/>
      <c r="G78" s="7" t="n"/>
      <c r="H78" s="7" t="n"/>
      <c r="I78" s="8">
        <f>IF('공수1'!Y78="","",'공수1'!Y78)</f>
        <v/>
      </c>
      <c r="J78" s="8">
        <f>IF('공수2'!Y78="","",'공수2'!Y78)</f>
        <v/>
      </c>
      <c r="K78" s="7" t="n"/>
    </row>
    <row r="79">
      <c r="A79" s="5" t="n">
        <v>73</v>
      </c>
      <c r="B79" s="7" t="n"/>
      <c r="C79" s="7" t="n"/>
      <c r="D79" s="7" t="n"/>
      <c r="E79" s="7" t="n"/>
      <c r="F79" s="16" t="n"/>
      <c r="G79" s="7" t="n"/>
      <c r="H79" s="7" t="n"/>
      <c r="I79" s="8">
        <f>IF('공수1'!Y79="","",'공수1'!Y79)</f>
        <v/>
      </c>
      <c r="J79" s="8">
        <f>IF('공수2'!Y79="","",'공수2'!Y79)</f>
        <v/>
      </c>
      <c r="K79" s="7" t="n"/>
    </row>
    <row r="80">
      <c r="A80" s="5" t="n">
        <v>74</v>
      </c>
      <c r="B80" s="7" t="n"/>
      <c r="C80" s="7" t="n"/>
      <c r="D80" s="7" t="n"/>
      <c r="E80" s="7" t="n"/>
      <c r="F80" s="16" t="n"/>
      <c r="G80" s="7" t="n"/>
      <c r="H80" s="7" t="n"/>
      <c r="I80" s="8">
        <f>IF('공수1'!Y80="","",'공수1'!Y80)</f>
        <v/>
      </c>
      <c r="J80" s="8">
        <f>IF('공수2'!Y80="","",'공수2'!Y80)</f>
        <v/>
      </c>
      <c r="K80" s="7" t="n"/>
    </row>
    <row r="81">
      <c r="A81" s="5" t="n">
        <v>75</v>
      </c>
      <c r="B81" s="7" t="n"/>
      <c r="C81" s="7" t="n"/>
      <c r="D81" s="7" t="n"/>
      <c r="E81" s="7" t="n"/>
      <c r="F81" s="16" t="n"/>
      <c r="G81" s="7" t="n"/>
      <c r="H81" s="7" t="n"/>
      <c r="I81" s="8">
        <f>IF('공수1'!Y81="","",'공수1'!Y81)</f>
        <v/>
      </c>
      <c r="J81" s="8">
        <f>IF('공수2'!Y81="","",'공수2'!Y81)</f>
        <v/>
      </c>
      <c r="K81" s="7" t="n"/>
    </row>
    <row r="82">
      <c r="A82" s="5" t="n">
        <v>76</v>
      </c>
      <c r="B82" s="7" t="n"/>
      <c r="C82" s="7" t="n"/>
      <c r="D82" s="7" t="n"/>
      <c r="E82" s="7" t="n"/>
      <c r="F82" s="16" t="n"/>
      <c r="G82" s="7" t="n"/>
      <c r="H82" s="7" t="n"/>
      <c r="I82" s="8">
        <f>IF('공수1'!Y82="","",'공수1'!Y82)</f>
        <v/>
      </c>
      <c r="J82" s="8">
        <f>IF('공수2'!Y82="","",'공수2'!Y82)</f>
        <v/>
      </c>
      <c r="K82" s="7" t="n"/>
    </row>
    <row r="83">
      <c r="A83" s="5" t="n">
        <v>77</v>
      </c>
      <c r="B83" s="7" t="n"/>
      <c r="C83" s="7" t="n"/>
      <c r="D83" s="7" t="n"/>
      <c r="E83" s="7" t="n"/>
      <c r="F83" s="16" t="n"/>
      <c r="G83" s="7" t="n"/>
      <c r="H83" s="7" t="n"/>
      <c r="I83" s="8">
        <f>IF('공수1'!Y83="","",'공수1'!Y83)</f>
        <v/>
      </c>
      <c r="J83" s="8">
        <f>IF('공수2'!Y83="","",'공수2'!Y83)</f>
        <v/>
      </c>
      <c r="K83" s="7" t="n"/>
    </row>
    <row r="84">
      <c r="A84" s="5" t="n">
        <v>78</v>
      </c>
      <c r="B84" s="7" t="n"/>
      <c r="C84" s="7" t="n"/>
      <c r="D84" s="7" t="n"/>
      <c r="E84" s="7" t="n"/>
      <c r="F84" s="16" t="n"/>
      <c r="G84" s="7" t="n"/>
      <c r="H84" s="7" t="n"/>
      <c r="I84" s="8">
        <f>IF('공수1'!Y84="","",'공수1'!Y84)</f>
        <v/>
      </c>
      <c r="J84" s="8">
        <f>IF('공수2'!Y84="","",'공수2'!Y84)</f>
        <v/>
      </c>
      <c r="K84" s="7" t="n"/>
    </row>
    <row r="85">
      <c r="A85" s="5" t="n">
        <v>79</v>
      </c>
      <c r="B85" s="7" t="n"/>
      <c r="C85" s="7" t="n"/>
      <c r="D85" s="7" t="n"/>
      <c r="E85" s="7" t="n"/>
      <c r="F85" s="16" t="n"/>
      <c r="G85" s="7" t="n"/>
      <c r="H85" s="7" t="n"/>
      <c r="I85" s="8">
        <f>IF('공수1'!Y85="","",'공수1'!Y85)</f>
        <v/>
      </c>
      <c r="J85" s="8">
        <f>IF('공수2'!Y85="","",'공수2'!Y85)</f>
        <v/>
      </c>
      <c r="K85" s="7" t="n"/>
    </row>
    <row r="86">
      <c r="A86" s="5" t="n">
        <v>80</v>
      </c>
      <c r="B86" s="7" t="n"/>
      <c r="C86" s="7" t="n"/>
      <c r="D86" s="7" t="n"/>
      <c r="E86" s="7" t="n"/>
      <c r="F86" s="16" t="n"/>
      <c r="G86" s="7" t="n"/>
      <c r="H86" s="7" t="n"/>
      <c r="I86" s="8">
        <f>IF('공수1'!Y86="","",'공수1'!Y86)</f>
        <v/>
      </c>
      <c r="J86" s="8">
        <f>IF('공수2'!Y86="","",'공수2'!Y86)</f>
        <v/>
      </c>
      <c r="K86" s="7" t="n"/>
    </row>
    <row r="87">
      <c r="A87" s="5" t="n">
        <v>81</v>
      </c>
      <c r="B87" s="7" t="n"/>
      <c r="C87" s="7" t="n"/>
      <c r="D87" s="7" t="n"/>
      <c r="E87" s="7" t="n"/>
      <c r="F87" s="16" t="n"/>
      <c r="G87" s="7" t="n"/>
      <c r="H87" s="7" t="n"/>
      <c r="I87" s="8">
        <f>IF('공수1'!Y87="","",'공수1'!Y87)</f>
        <v/>
      </c>
      <c r="J87" s="8">
        <f>IF('공수2'!Y87="","",'공수2'!Y87)</f>
        <v/>
      </c>
      <c r="K87" s="7" t="n"/>
    </row>
    <row r="88">
      <c r="A88" s="5" t="n">
        <v>82</v>
      </c>
      <c r="B88" s="7" t="n"/>
      <c r="C88" s="7" t="n"/>
      <c r="D88" s="7" t="n"/>
      <c r="E88" s="7" t="n"/>
      <c r="F88" s="16" t="n"/>
      <c r="G88" s="7" t="n"/>
      <c r="H88" s="7" t="n"/>
      <c r="I88" s="8">
        <f>IF('공수1'!Y88="","",'공수1'!Y88)</f>
        <v/>
      </c>
      <c r="J88" s="8">
        <f>IF('공수2'!Y88="","",'공수2'!Y88)</f>
        <v/>
      </c>
      <c r="K88" s="7" t="n"/>
    </row>
    <row r="89">
      <c r="A89" s="5" t="n">
        <v>83</v>
      </c>
      <c r="B89" s="7" t="n"/>
      <c r="C89" s="7" t="n"/>
      <c r="D89" s="7" t="n"/>
      <c r="E89" s="7" t="n"/>
      <c r="F89" s="16" t="n"/>
      <c r="G89" s="7" t="n"/>
      <c r="H89" s="7" t="n"/>
      <c r="I89" s="8">
        <f>IF('공수1'!Y89="","",'공수1'!Y89)</f>
        <v/>
      </c>
      <c r="J89" s="8">
        <f>IF('공수2'!Y89="","",'공수2'!Y89)</f>
        <v/>
      </c>
      <c r="K89" s="7" t="n"/>
    </row>
    <row r="90">
      <c r="A90" s="5" t="n">
        <v>84</v>
      </c>
      <c r="B90" s="7" t="n"/>
      <c r="C90" s="7" t="n"/>
      <c r="D90" s="7" t="n"/>
      <c r="E90" s="7" t="n"/>
      <c r="F90" s="16" t="n"/>
      <c r="G90" s="7" t="n"/>
      <c r="H90" s="7" t="n"/>
      <c r="I90" s="8">
        <f>IF('공수1'!Y90="","",'공수1'!Y90)</f>
        <v/>
      </c>
      <c r="J90" s="8">
        <f>IF('공수2'!Y90="","",'공수2'!Y90)</f>
        <v/>
      </c>
      <c r="K90" s="7" t="n"/>
    </row>
    <row r="91">
      <c r="A91" s="5" t="n">
        <v>85</v>
      </c>
      <c r="B91" s="7" t="n"/>
      <c r="C91" s="7" t="n"/>
      <c r="D91" s="7" t="n"/>
      <c r="E91" s="7" t="n"/>
      <c r="F91" s="16" t="n"/>
      <c r="G91" s="7" t="n"/>
      <c r="H91" s="7" t="n"/>
      <c r="I91" s="8">
        <f>IF('공수1'!Y91="","",'공수1'!Y91)</f>
        <v/>
      </c>
      <c r="J91" s="8">
        <f>IF('공수2'!Y91="","",'공수2'!Y91)</f>
        <v/>
      </c>
      <c r="K91" s="7" t="n"/>
    </row>
    <row r="92">
      <c r="A92" s="5" t="n">
        <v>86</v>
      </c>
      <c r="B92" s="7" t="n"/>
      <c r="C92" s="7" t="n"/>
      <c r="D92" s="7" t="n"/>
      <c r="E92" s="7" t="n"/>
      <c r="F92" s="16" t="n"/>
      <c r="G92" s="7" t="n"/>
      <c r="H92" s="7" t="n"/>
      <c r="I92" s="8">
        <f>IF('공수1'!Y92="","",'공수1'!Y92)</f>
        <v/>
      </c>
      <c r="J92" s="8">
        <f>IF('공수2'!Y92="","",'공수2'!Y92)</f>
        <v/>
      </c>
      <c r="K92" s="7" t="n"/>
    </row>
    <row r="93">
      <c r="A93" s="5" t="n">
        <v>87</v>
      </c>
      <c r="B93" s="7" t="n"/>
      <c r="C93" s="7" t="n"/>
      <c r="D93" s="7" t="n"/>
      <c r="E93" s="7" t="n"/>
      <c r="F93" s="16" t="n"/>
      <c r="G93" s="7" t="n"/>
      <c r="H93" s="7" t="n"/>
      <c r="I93" s="8">
        <f>IF('공수1'!Y93="","",'공수1'!Y93)</f>
        <v/>
      </c>
      <c r="J93" s="8">
        <f>IF('공수2'!Y93="","",'공수2'!Y93)</f>
        <v/>
      </c>
      <c r="K93" s="7" t="n"/>
    </row>
    <row r="94">
      <c r="A94" s="5" t="n">
        <v>88</v>
      </c>
      <c r="B94" s="7" t="n"/>
      <c r="C94" s="7" t="n"/>
      <c r="D94" s="7" t="n"/>
      <c r="E94" s="7" t="n"/>
      <c r="F94" s="16" t="n"/>
      <c r="G94" s="7" t="n"/>
      <c r="H94" s="7" t="n"/>
      <c r="I94" s="8">
        <f>IF('공수1'!Y94="","",'공수1'!Y94)</f>
        <v/>
      </c>
      <c r="J94" s="8">
        <f>IF('공수2'!Y94="","",'공수2'!Y94)</f>
        <v/>
      </c>
      <c r="K94" s="7" t="n"/>
    </row>
    <row r="95">
      <c r="A95" s="5" t="n">
        <v>89</v>
      </c>
      <c r="B95" s="7" t="n"/>
      <c r="C95" s="7" t="n"/>
      <c r="D95" s="7" t="n"/>
      <c r="E95" s="7" t="n"/>
      <c r="F95" s="16" t="n"/>
      <c r="G95" s="7" t="n"/>
      <c r="H95" s="7" t="n"/>
      <c r="I95" s="8">
        <f>IF('공수1'!Y95="","",'공수1'!Y95)</f>
        <v/>
      </c>
      <c r="J95" s="8">
        <f>IF('공수2'!Y95="","",'공수2'!Y95)</f>
        <v/>
      </c>
      <c r="K95" s="7" t="n"/>
    </row>
    <row r="96">
      <c r="A96" s="5" t="n">
        <v>90</v>
      </c>
      <c r="B96" s="7" t="n"/>
      <c r="C96" s="7" t="n"/>
      <c r="D96" s="7" t="n"/>
      <c r="E96" s="7" t="n"/>
      <c r="F96" s="16" t="n"/>
      <c r="G96" s="7" t="n"/>
      <c r="H96" s="7" t="n"/>
      <c r="I96" s="8">
        <f>IF('공수1'!Y96="","",'공수1'!Y96)</f>
        <v/>
      </c>
      <c r="J96" s="8">
        <f>IF('공수2'!Y96="","",'공수2'!Y96)</f>
        <v/>
      </c>
      <c r="K96" s="7" t="n"/>
    </row>
    <row r="97">
      <c r="A97" s="5" t="n">
        <v>91</v>
      </c>
      <c r="B97" s="7" t="n"/>
      <c r="C97" s="7" t="n"/>
      <c r="D97" s="7" t="n"/>
      <c r="E97" s="7" t="n"/>
      <c r="F97" s="16" t="n"/>
      <c r="G97" s="7" t="n"/>
      <c r="H97" s="7" t="n"/>
      <c r="I97" s="8">
        <f>IF('공수1'!Y97="","",'공수1'!Y97)</f>
        <v/>
      </c>
      <c r="J97" s="8">
        <f>IF('공수2'!Y97="","",'공수2'!Y97)</f>
        <v/>
      </c>
      <c r="K97" s="7" t="n"/>
    </row>
    <row r="98">
      <c r="A98" s="5" t="n">
        <v>92</v>
      </c>
      <c r="B98" s="7" t="n"/>
      <c r="C98" s="7" t="n"/>
      <c r="D98" s="7" t="n"/>
      <c r="E98" s="7" t="n"/>
      <c r="F98" s="16" t="n"/>
      <c r="G98" s="7" t="n"/>
      <c r="H98" s="7" t="n"/>
      <c r="I98" s="8">
        <f>IF('공수1'!Y98="","",'공수1'!Y98)</f>
        <v/>
      </c>
      <c r="J98" s="8">
        <f>IF('공수2'!Y98="","",'공수2'!Y98)</f>
        <v/>
      </c>
      <c r="K98" s="7" t="n"/>
    </row>
    <row r="99">
      <c r="A99" s="5" t="n">
        <v>93</v>
      </c>
      <c r="B99" s="7" t="n"/>
      <c r="C99" s="7" t="n"/>
      <c r="D99" s="7" t="n"/>
      <c r="E99" s="7" t="n"/>
      <c r="F99" s="16" t="n"/>
      <c r="G99" s="7" t="n"/>
      <c r="H99" s="7" t="n"/>
      <c r="I99" s="8">
        <f>IF('공수1'!Y99="","",'공수1'!Y99)</f>
        <v/>
      </c>
      <c r="J99" s="8">
        <f>IF('공수2'!Y99="","",'공수2'!Y99)</f>
        <v/>
      </c>
      <c r="K99" s="7" t="n"/>
    </row>
    <row r="100">
      <c r="A100" s="5" t="n">
        <v>94</v>
      </c>
      <c r="B100" s="7" t="n"/>
      <c r="C100" s="7" t="n"/>
      <c r="D100" s="7" t="n"/>
      <c r="E100" s="7" t="n"/>
      <c r="F100" s="16" t="n"/>
      <c r="G100" s="7" t="n"/>
      <c r="H100" s="7" t="n"/>
      <c r="I100" s="8">
        <f>IF('공수1'!Y100="","",'공수1'!Y100)</f>
        <v/>
      </c>
      <c r="J100" s="8">
        <f>IF('공수2'!Y100="","",'공수2'!Y100)</f>
        <v/>
      </c>
      <c r="K100" s="7" t="n"/>
    </row>
    <row r="101">
      <c r="A101" s="5" t="n">
        <v>95</v>
      </c>
      <c r="B101" s="7" t="n"/>
      <c r="C101" s="7" t="n"/>
      <c r="D101" s="7" t="n"/>
      <c r="E101" s="7" t="n"/>
      <c r="F101" s="16" t="n"/>
      <c r="G101" s="7" t="n"/>
      <c r="H101" s="7" t="n"/>
      <c r="I101" s="8">
        <f>IF('공수1'!Y101="","",'공수1'!Y101)</f>
        <v/>
      </c>
      <c r="J101" s="8">
        <f>IF('공수2'!Y101="","",'공수2'!Y101)</f>
        <v/>
      </c>
      <c r="K101" s="7" t="n"/>
    </row>
    <row r="102">
      <c r="A102" s="5" t="n">
        <v>96</v>
      </c>
      <c r="B102" s="7" t="n"/>
      <c r="C102" s="7" t="n"/>
      <c r="D102" s="7" t="n"/>
      <c r="E102" s="7" t="n"/>
      <c r="F102" s="16" t="n"/>
      <c r="G102" s="7" t="n"/>
      <c r="H102" s="7" t="n"/>
      <c r="I102" s="8">
        <f>IF('공수1'!Y102="","",'공수1'!Y102)</f>
        <v/>
      </c>
      <c r="J102" s="8">
        <f>IF('공수2'!Y102="","",'공수2'!Y102)</f>
        <v/>
      </c>
      <c r="K102" s="7" t="n"/>
    </row>
    <row r="103">
      <c r="A103" s="5" t="n">
        <v>97</v>
      </c>
      <c r="B103" s="7" t="n"/>
      <c r="C103" s="7" t="n"/>
      <c r="D103" s="7" t="n"/>
      <c r="E103" s="7" t="n"/>
      <c r="F103" s="16" t="n"/>
      <c r="G103" s="7" t="n"/>
      <c r="H103" s="7" t="n"/>
      <c r="I103" s="8">
        <f>IF('공수1'!Y103="","",'공수1'!Y103)</f>
        <v/>
      </c>
      <c r="J103" s="8">
        <f>IF('공수2'!Y103="","",'공수2'!Y103)</f>
        <v/>
      </c>
      <c r="K103" s="7" t="n"/>
    </row>
    <row r="104">
      <c r="A104" s="5" t="n">
        <v>98</v>
      </c>
      <c r="B104" s="7" t="n"/>
      <c r="C104" s="7" t="n"/>
      <c r="D104" s="7" t="n"/>
      <c r="E104" s="7" t="n"/>
      <c r="F104" s="16" t="n"/>
      <c r="G104" s="7" t="n"/>
      <c r="H104" s="7" t="n"/>
      <c r="I104" s="8">
        <f>IF('공수1'!Y104="","",'공수1'!Y104)</f>
        <v/>
      </c>
      <c r="J104" s="8">
        <f>IF('공수2'!Y104="","",'공수2'!Y104)</f>
        <v/>
      </c>
      <c r="K104" s="7" t="n"/>
    </row>
    <row r="105">
      <c r="A105" s="5" t="n">
        <v>99</v>
      </c>
      <c r="B105" s="7" t="n"/>
      <c r="C105" s="7" t="n"/>
      <c r="D105" s="7" t="n"/>
      <c r="E105" s="7" t="n"/>
      <c r="F105" s="16" t="n"/>
      <c r="G105" s="7" t="n"/>
      <c r="H105" s="7" t="n"/>
      <c r="I105" s="8">
        <f>IF('공수1'!Y105="","",'공수1'!Y105)</f>
        <v/>
      </c>
      <c r="J105" s="8">
        <f>IF('공수2'!Y105="","",'공수2'!Y105)</f>
        <v/>
      </c>
      <c r="K105" s="7" t="n"/>
    </row>
    <row r="106">
      <c r="A106" s="5" t="n">
        <v>100</v>
      </c>
      <c r="B106" s="7" t="n"/>
      <c r="C106" s="7" t="n"/>
      <c r="D106" s="7" t="n"/>
      <c r="E106" s="7" t="n"/>
      <c r="F106" s="16" t="n"/>
      <c r="G106" s="7" t="n"/>
      <c r="H106" s="7" t="n"/>
      <c r="I106" s="8">
        <f>IF('공수1'!Y106="","",'공수1'!Y106)</f>
        <v/>
      </c>
      <c r="J106" s="8">
        <f>IF('공수2'!Y106="","",'공수2'!Y106)</f>
        <v/>
      </c>
      <c r="K106" s="7" t="n"/>
    </row>
    <row r="107">
      <c r="A107" s="5" t="n">
        <v>101</v>
      </c>
      <c r="B107" s="7" t="n"/>
      <c r="C107" s="7" t="n"/>
      <c r="D107" s="7" t="n"/>
      <c r="E107" s="7" t="n"/>
      <c r="F107" s="16" t="n"/>
      <c r="G107" s="7" t="n"/>
      <c r="H107" s="7" t="n"/>
      <c r="I107" s="8">
        <f>IF('공수1'!Y107="","",'공수1'!Y107)</f>
        <v/>
      </c>
      <c r="J107" s="8">
        <f>IF('공수2'!Y107="","",'공수2'!Y107)</f>
        <v/>
      </c>
      <c r="K107" s="7" t="n"/>
    </row>
    <row r="108">
      <c r="A108" s="5" t="n">
        <v>102</v>
      </c>
      <c r="B108" s="7" t="n"/>
      <c r="C108" s="7" t="n"/>
      <c r="D108" s="7" t="n"/>
      <c r="E108" s="7" t="n"/>
      <c r="F108" s="16" t="n"/>
      <c r="G108" s="7" t="n"/>
      <c r="H108" s="7" t="n"/>
      <c r="I108" s="8">
        <f>IF('공수1'!Y108="","",'공수1'!Y108)</f>
        <v/>
      </c>
      <c r="J108" s="8">
        <f>IF('공수2'!Y108="","",'공수2'!Y108)</f>
        <v/>
      </c>
      <c r="K108" s="7" t="n"/>
    </row>
    <row r="109">
      <c r="A109" s="5" t="n">
        <v>103</v>
      </c>
      <c r="B109" s="7" t="n"/>
      <c r="C109" s="7" t="n"/>
      <c r="D109" s="7" t="n"/>
      <c r="E109" s="7" t="n"/>
      <c r="F109" s="16" t="n"/>
      <c r="G109" s="7" t="n"/>
      <c r="H109" s="7" t="n"/>
      <c r="I109" s="8">
        <f>IF('공수1'!Y109="","",'공수1'!Y109)</f>
        <v/>
      </c>
      <c r="J109" s="8">
        <f>IF('공수2'!Y109="","",'공수2'!Y109)</f>
        <v/>
      </c>
      <c r="K109" s="7" t="n"/>
    </row>
    <row r="110">
      <c r="A110" s="5" t="n">
        <v>104</v>
      </c>
      <c r="B110" s="7" t="n"/>
      <c r="C110" s="7" t="n"/>
      <c r="D110" s="7" t="n"/>
      <c r="E110" s="7" t="n"/>
      <c r="F110" s="16" t="n"/>
      <c r="G110" s="7" t="n"/>
      <c r="H110" s="7" t="n"/>
      <c r="I110" s="8">
        <f>IF('공수1'!Y110="","",'공수1'!Y110)</f>
        <v/>
      </c>
      <c r="J110" s="8">
        <f>IF('공수2'!Y110="","",'공수2'!Y110)</f>
        <v/>
      </c>
      <c r="K110" s="7" t="n"/>
    </row>
    <row r="111">
      <c r="A111" s="5" t="n">
        <v>105</v>
      </c>
      <c r="B111" s="7" t="n"/>
      <c r="C111" s="7" t="n"/>
      <c r="D111" s="7" t="n"/>
      <c r="E111" s="7" t="n"/>
      <c r="F111" s="16" t="n"/>
      <c r="G111" s="7" t="n"/>
      <c r="H111" s="7" t="n"/>
      <c r="I111" s="8">
        <f>IF('공수1'!Y111="","",'공수1'!Y111)</f>
        <v/>
      </c>
      <c r="J111" s="8">
        <f>IF('공수2'!Y111="","",'공수2'!Y111)</f>
        <v/>
      </c>
      <c r="K111" s="7" t="n"/>
    </row>
    <row r="112">
      <c r="A112" s="5" t="n">
        <v>106</v>
      </c>
      <c r="B112" s="7" t="n"/>
      <c r="C112" s="7" t="n"/>
      <c r="D112" s="7" t="n"/>
      <c r="E112" s="7" t="n"/>
      <c r="F112" s="16" t="n"/>
      <c r="G112" s="7" t="n"/>
      <c r="H112" s="7" t="n"/>
      <c r="I112" s="8">
        <f>IF('공수1'!Y112="","",'공수1'!Y112)</f>
        <v/>
      </c>
      <c r="J112" s="8">
        <f>IF('공수2'!Y112="","",'공수2'!Y112)</f>
        <v/>
      </c>
      <c r="K112" s="7" t="n"/>
    </row>
    <row r="113">
      <c r="A113" s="5" t="n">
        <v>107</v>
      </c>
      <c r="B113" s="7" t="n"/>
      <c r="C113" s="7" t="n"/>
      <c r="D113" s="7" t="n"/>
      <c r="E113" s="7" t="n"/>
      <c r="F113" s="16" t="n"/>
      <c r="G113" s="7" t="n"/>
      <c r="H113" s="7" t="n"/>
      <c r="I113" s="8">
        <f>IF('공수1'!Y113="","",'공수1'!Y113)</f>
        <v/>
      </c>
      <c r="J113" s="8">
        <f>IF('공수2'!Y113="","",'공수2'!Y113)</f>
        <v/>
      </c>
      <c r="K113" s="7" t="n"/>
    </row>
    <row r="114">
      <c r="A114" s="5" t="n">
        <v>108</v>
      </c>
      <c r="B114" s="7" t="n"/>
      <c r="C114" s="7" t="n"/>
      <c r="D114" s="7" t="n"/>
      <c r="E114" s="7" t="n"/>
      <c r="F114" s="16" t="n"/>
      <c r="G114" s="7" t="n"/>
      <c r="H114" s="7" t="n"/>
      <c r="I114" s="8">
        <f>IF('공수1'!Y114="","",'공수1'!Y114)</f>
        <v/>
      </c>
      <c r="J114" s="8">
        <f>IF('공수2'!Y114="","",'공수2'!Y114)</f>
        <v/>
      </c>
      <c r="K114" s="7" t="n"/>
    </row>
    <row r="115">
      <c r="A115" s="5" t="n">
        <v>109</v>
      </c>
      <c r="B115" s="7" t="n"/>
      <c r="C115" s="7" t="n"/>
      <c r="D115" s="7" t="n"/>
      <c r="E115" s="7" t="n"/>
      <c r="F115" s="16" t="n"/>
      <c r="G115" s="7" t="n"/>
      <c r="H115" s="7" t="n"/>
      <c r="I115" s="8">
        <f>IF('공수1'!Y115="","",'공수1'!Y115)</f>
        <v/>
      </c>
      <c r="J115" s="8">
        <f>IF('공수2'!Y115="","",'공수2'!Y115)</f>
        <v/>
      </c>
      <c r="K115" s="7" t="n"/>
    </row>
    <row r="116">
      <c r="A116" s="5" t="n">
        <v>110</v>
      </c>
      <c r="B116" s="7" t="n"/>
      <c r="C116" s="7" t="n"/>
      <c r="D116" s="7" t="n"/>
      <c r="E116" s="7" t="n"/>
      <c r="F116" s="16" t="n"/>
      <c r="G116" s="7" t="n"/>
      <c r="H116" s="7" t="n"/>
      <c r="I116" s="8">
        <f>IF('공수1'!Y116="","",'공수1'!Y116)</f>
        <v/>
      </c>
      <c r="J116" s="8">
        <f>IF('공수2'!Y116="","",'공수2'!Y116)</f>
        <v/>
      </c>
      <c r="K116" s="7" t="n"/>
    </row>
    <row r="117">
      <c r="A117" s="5" t="n">
        <v>111</v>
      </c>
      <c r="B117" s="7" t="n"/>
      <c r="C117" s="7" t="n"/>
      <c r="D117" s="7" t="n"/>
      <c r="E117" s="7" t="n"/>
      <c r="F117" s="16" t="n"/>
      <c r="G117" s="7" t="n"/>
      <c r="H117" s="7" t="n"/>
      <c r="I117" s="8">
        <f>IF('공수1'!Y117="","",'공수1'!Y117)</f>
        <v/>
      </c>
      <c r="J117" s="8">
        <f>IF('공수2'!Y117="","",'공수2'!Y117)</f>
        <v/>
      </c>
      <c r="K117" s="7" t="n"/>
    </row>
    <row r="118">
      <c r="A118" s="5" t="n">
        <v>112</v>
      </c>
      <c r="B118" s="7" t="n"/>
      <c r="C118" s="7" t="n"/>
      <c r="D118" s="7" t="n"/>
      <c r="E118" s="7" t="n"/>
      <c r="F118" s="16" t="n"/>
      <c r="G118" s="7" t="n"/>
      <c r="H118" s="7" t="n"/>
      <c r="I118" s="8">
        <f>IF('공수1'!Y118="","",'공수1'!Y118)</f>
        <v/>
      </c>
      <c r="J118" s="8">
        <f>IF('공수2'!Y118="","",'공수2'!Y118)</f>
        <v/>
      </c>
      <c r="K118" s="7" t="n"/>
    </row>
    <row r="119">
      <c r="A119" s="5" t="n">
        <v>113</v>
      </c>
      <c r="B119" s="7" t="n"/>
      <c r="C119" s="7" t="n"/>
      <c r="D119" s="7" t="n"/>
      <c r="E119" s="7" t="n"/>
      <c r="F119" s="16" t="n"/>
      <c r="G119" s="7" t="n"/>
      <c r="H119" s="7" t="n"/>
      <c r="I119" s="8">
        <f>IF('공수1'!Y119="","",'공수1'!Y119)</f>
        <v/>
      </c>
      <c r="J119" s="8">
        <f>IF('공수2'!Y119="","",'공수2'!Y119)</f>
        <v/>
      </c>
      <c r="K119" s="7" t="n"/>
    </row>
    <row r="120">
      <c r="A120" s="5" t="n">
        <v>114</v>
      </c>
      <c r="B120" s="7" t="n"/>
      <c r="C120" s="7" t="n"/>
      <c r="D120" s="7" t="n"/>
      <c r="E120" s="7" t="n"/>
      <c r="F120" s="16" t="n"/>
      <c r="G120" s="7" t="n"/>
      <c r="H120" s="7" t="n"/>
      <c r="I120" s="8">
        <f>IF('공수1'!Y120="","",'공수1'!Y120)</f>
        <v/>
      </c>
      <c r="J120" s="8">
        <f>IF('공수2'!Y120="","",'공수2'!Y120)</f>
        <v/>
      </c>
      <c r="K120" s="7" t="n"/>
    </row>
    <row r="121">
      <c r="A121" s="5" t="n">
        <v>115</v>
      </c>
      <c r="B121" s="7" t="n"/>
      <c r="C121" s="7" t="n"/>
      <c r="D121" s="7" t="n"/>
      <c r="E121" s="7" t="n"/>
      <c r="F121" s="16" t="n"/>
      <c r="G121" s="7" t="n"/>
      <c r="H121" s="7" t="n"/>
      <c r="I121" s="8">
        <f>IF('공수1'!Y121="","",'공수1'!Y121)</f>
        <v/>
      </c>
      <c r="J121" s="8">
        <f>IF('공수2'!Y121="","",'공수2'!Y121)</f>
        <v/>
      </c>
      <c r="K121" s="7" t="n"/>
    </row>
    <row r="122">
      <c r="A122" s="5" t="n">
        <v>116</v>
      </c>
      <c r="B122" s="7" t="n"/>
      <c r="C122" s="7" t="n"/>
      <c r="D122" s="7" t="n"/>
      <c r="E122" s="7" t="n"/>
      <c r="F122" s="16" t="n"/>
      <c r="G122" s="7" t="n"/>
      <c r="H122" s="7" t="n"/>
      <c r="I122" s="8">
        <f>IF('공수1'!Y122="","",'공수1'!Y122)</f>
        <v/>
      </c>
      <c r="J122" s="8">
        <f>IF('공수2'!Y122="","",'공수2'!Y122)</f>
        <v/>
      </c>
      <c r="K122" s="7" t="n"/>
    </row>
    <row r="123">
      <c r="A123" s="5" t="n">
        <v>117</v>
      </c>
      <c r="B123" s="7" t="n"/>
      <c r="C123" s="7" t="n"/>
      <c r="D123" s="7" t="n"/>
      <c r="E123" s="7" t="n"/>
      <c r="F123" s="16" t="n"/>
      <c r="G123" s="7" t="n"/>
      <c r="H123" s="7" t="n"/>
      <c r="I123" s="8">
        <f>IF('공수1'!Y123="","",'공수1'!Y123)</f>
        <v/>
      </c>
      <c r="J123" s="8">
        <f>IF('공수2'!Y123="","",'공수2'!Y123)</f>
        <v/>
      </c>
      <c r="K123" s="7" t="n"/>
    </row>
    <row r="124">
      <c r="A124" s="5" t="n">
        <v>118</v>
      </c>
      <c r="B124" s="7" t="n"/>
      <c r="C124" s="7" t="n"/>
      <c r="D124" s="7" t="n"/>
      <c r="E124" s="7" t="n"/>
      <c r="F124" s="16" t="n"/>
      <c r="G124" s="7" t="n"/>
      <c r="H124" s="7" t="n"/>
      <c r="I124" s="8">
        <f>IF('공수1'!Y124="","",'공수1'!Y124)</f>
        <v/>
      </c>
      <c r="J124" s="8">
        <f>IF('공수2'!Y124="","",'공수2'!Y124)</f>
        <v/>
      </c>
      <c r="K124" s="7" t="n"/>
    </row>
    <row r="125">
      <c r="A125" s="5" t="n">
        <v>119</v>
      </c>
      <c r="B125" s="7" t="n"/>
      <c r="C125" s="7" t="n"/>
      <c r="D125" s="7" t="n"/>
      <c r="E125" s="7" t="n"/>
      <c r="F125" s="16" t="n"/>
      <c r="G125" s="7" t="n"/>
      <c r="H125" s="7" t="n"/>
      <c r="I125" s="8">
        <f>IF('공수1'!Y125="","",'공수1'!Y125)</f>
        <v/>
      </c>
      <c r="J125" s="8">
        <f>IF('공수2'!Y125="","",'공수2'!Y125)</f>
        <v/>
      </c>
      <c r="K125" s="7" t="n"/>
    </row>
    <row r="126">
      <c r="A126" s="5" t="n">
        <v>120</v>
      </c>
      <c r="B126" s="7" t="n"/>
      <c r="C126" s="7" t="n"/>
      <c r="D126" s="7" t="n"/>
      <c r="E126" s="7" t="n"/>
      <c r="F126" s="16" t="n"/>
      <c r="G126" s="7" t="n"/>
      <c r="H126" s="7" t="n"/>
      <c r="I126" s="8">
        <f>IF('공수1'!Y126="","",'공수1'!Y126)</f>
        <v/>
      </c>
      <c r="J126" s="8">
        <f>IF('공수2'!Y126="","",'공수2'!Y126)</f>
        <v/>
      </c>
      <c r="K126" s="7" t="n"/>
    </row>
    <row r="127">
      <c r="A127" s="5" t="n">
        <v>121</v>
      </c>
      <c r="B127" s="7" t="n"/>
      <c r="C127" s="7" t="n"/>
      <c r="D127" s="7" t="n"/>
      <c r="E127" s="7" t="n"/>
      <c r="F127" s="16" t="n"/>
      <c r="G127" s="7" t="n"/>
      <c r="H127" s="7" t="n"/>
      <c r="I127" s="8">
        <f>IF('공수1'!Y127="","",'공수1'!Y127)</f>
        <v/>
      </c>
      <c r="J127" s="8">
        <f>IF('공수2'!Y127="","",'공수2'!Y127)</f>
        <v/>
      </c>
      <c r="K127" s="7" t="n"/>
    </row>
    <row r="128">
      <c r="A128" s="5" t="n">
        <v>122</v>
      </c>
      <c r="B128" s="7" t="n"/>
      <c r="C128" s="7" t="n"/>
      <c r="D128" s="7" t="n"/>
      <c r="E128" s="7" t="n"/>
      <c r="F128" s="16" t="n"/>
      <c r="G128" s="7" t="n"/>
      <c r="H128" s="7" t="n"/>
      <c r="I128" s="8">
        <f>IF('공수1'!Y128="","",'공수1'!Y128)</f>
        <v/>
      </c>
      <c r="J128" s="8">
        <f>IF('공수2'!Y128="","",'공수2'!Y128)</f>
        <v/>
      </c>
      <c r="K128" s="7" t="n"/>
    </row>
    <row r="129">
      <c r="A129" s="5" t="n">
        <v>123</v>
      </c>
      <c r="B129" s="7" t="n"/>
      <c r="C129" s="7" t="n"/>
      <c r="D129" s="7" t="n"/>
      <c r="E129" s="7" t="n"/>
      <c r="F129" s="16" t="n"/>
      <c r="G129" s="7" t="n"/>
      <c r="H129" s="7" t="n"/>
      <c r="I129" s="8">
        <f>IF('공수1'!Y129="","",'공수1'!Y129)</f>
        <v/>
      </c>
      <c r="J129" s="8">
        <f>IF('공수2'!Y129="","",'공수2'!Y129)</f>
        <v/>
      </c>
      <c r="K129" s="7" t="n"/>
    </row>
    <row r="130">
      <c r="A130" s="5" t="n">
        <v>124</v>
      </c>
      <c r="B130" s="7" t="n"/>
      <c r="C130" s="7" t="n"/>
      <c r="D130" s="7" t="n"/>
      <c r="E130" s="7" t="n"/>
      <c r="F130" s="16" t="n"/>
      <c r="G130" s="7" t="n"/>
      <c r="H130" s="7" t="n"/>
      <c r="I130" s="8">
        <f>IF('공수1'!Y130="","",'공수1'!Y130)</f>
        <v/>
      </c>
      <c r="J130" s="8">
        <f>IF('공수2'!Y130="","",'공수2'!Y130)</f>
        <v/>
      </c>
      <c r="K130" s="7" t="n"/>
    </row>
    <row r="131">
      <c r="A131" s="5" t="n">
        <v>125</v>
      </c>
      <c r="B131" s="7" t="n"/>
      <c r="C131" s="7" t="n"/>
      <c r="D131" s="7" t="n"/>
      <c r="E131" s="7" t="n"/>
      <c r="F131" s="16" t="n"/>
      <c r="G131" s="7" t="n"/>
      <c r="H131" s="7" t="n"/>
      <c r="I131" s="8">
        <f>IF('공수1'!Y131="","",'공수1'!Y131)</f>
        <v/>
      </c>
      <c r="J131" s="8">
        <f>IF('공수2'!Y131="","",'공수2'!Y131)</f>
        <v/>
      </c>
      <c r="K131" s="7" t="n"/>
    </row>
    <row r="132">
      <c r="A132" s="5" t="n">
        <v>126</v>
      </c>
      <c r="B132" s="7" t="n"/>
      <c r="C132" s="7" t="n"/>
      <c r="D132" s="7" t="n"/>
      <c r="E132" s="7" t="n"/>
      <c r="F132" s="16" t="n"/>
      <c r="G132" s="7" t="n"/>
      <c r="H132" s="7" t="n"/>
      <c r="I132" s="8">
        <f>IF('공수1'!Y132="","",'공수1'!Y132)</f>
        <v/>
      </c>
      <c r="J132" s="8">
        <f>IF('공수2'!Y132="","",'공수2'!Y132)</f>
        <v/>
      </c>
      <c r="K132" s="7" t="n"/>
    </row>
    <row r="133">
      <c r="A133" s="5" t="n">
        <v>127</v>
      </c>
      <c r="B133" s="7" t="n"/>
      <c r="C133" s="7" t="n"/>
      <c r="D133" s="7" t="n"/>
      <c r="E133" s="7" t="n"/>
      <c r="F133" s="16" t="n"/>
      <c r="G133" s="7" t="n"/>
      <c r="H133" s="7" t="n"/>
      <c r="I133" s="8">
        <f>IF('공수1'!Y133="","",'공수1'!Y133)</f>
        <v/>
      </c>
      <c r="J133" s="8">
        <f>IF('공수2'!Y133="","",'공수2'!Y133)</f>
        <v/>
      </c>
      <c r="K133" s="7" t="n"/>
    </row>
    <row r="134">
      <c r="A134" s="5" t="n">
        <v>128</v>
      </c>
      <c r="B134" s="7" t="n"/>
      <c r="C134" s="7" t="n"/>
      <c r="D134" s="7" t="n"/>
      <c r="E134" s="7" t="n"/>
      <c r="F134" s="16" t="n"/>
      <c r="G134" s="7" t="n"/>
      <c r="H134" s="7" t="n"/>
      <c r="I134" s="8">
        <f>IF('공수1'!Y134="","",'공수1'!Y134)</f>
        <v/>
      </c>
      <c r="J134" s="8">
        <f>IF('공수2'!Y134="","",'공수2'!Y134)</f>
        <v/>
      </c>
      <c r="K134" s="7" t="n"/>
    </row>
    <row r="135">
      <c r="A135" s="5" t="n">
        <v>129</v>
      </c>
      <c r="B135" s="7" t="n"/>
      <c r="C135" s="7" t="n"/>
      <c r="D135" s="7" t="n"/>
      <c r="E135" s="7" t="n"/>
      <c r="F135" s="16" t="n"/>
      <c r="G135" s="7" t="n"/>
      <c r="H135" s="7" t="n"/>
      <c r="I135" s="8">
        <f>IF('공수1'!Y135="","",'공수1'!Y135)</f>
        <v/>
      </c>
      <c r="J135" s="8">
        <f>IF('공수2'!Y135="","",'공수2'!Y135)</f>
        <v/>
      </c>
      <c r="K135" s="7" t="n"/>
    </row>
    <row r="136">
      <c r="A136" s="5" t="n">
        <v>130</v>
      </c>
      <c r="B136" s="7" t="n"/>
      <c r="C136" s="7" t="n"/>
      <c r="D136" s="7" t="n"/>
      <c r="E136" s="7" t="n"/>
      <c r="F136" s="16" t="n"/>
      <c r="G136" s="7" t="n"/>
      <c r="H136" s="7" t="n"/>
      <c r="I136" s="8">
        <f>IF('공수1'!Y136="","",'공수1'!Y136)</f>
        <v/>
      </c>
      <c r="J136" s="8">
        <f>IF('공수2'!Y136="","",'공수2'!Y136)</f>
        <v/>
      </c>
      <c r="K136" s="7" t="n"/>
    </row>
    <row r="137">
      <c r="A137" s="5" t="n">
        <v>131</v>
      </c>
      <c r="B137" s="7" t="n"/>
      <c r="C137" s="7" t="n"/>
      <c r="D137" s="7" t="n"/>
      <c r="E137" s="7" t="n"/>
      <c r="F137" s="16" t="n"/>
      <c r="G137" s="7" t="n"/>
      <c r="H137" s="7" t="n"/>
      <c r="I137" s="8">
        <f>IF('공수1'!Y137="","",'공수1'!Y137)</f>
        <v/>
      </c>
      <c r="J137" s="8">
        <f>IF('공수2'!Y137="","",'공수2'!Y137)</f>
        <v/>
      </c>
      <c r="K137" s="7" t="n"/>
    </row>
    <row r="138">
      <c r="A138" s="5" t="n">
        <v>132</v>
      </c>
      <c r="B138" s="7" t="n"/>
      <c r="C138" s="7" t="n"/>
      <c r="D138" s="7" t="n"/>
      <c r="E138" s="7" t="n"/>
      <c r="F138" s="16" t="n"/>
      <c r="G138" s="7" t="n"/>
      <c r="H138" s="7" t="n"/>
      <c r="I138" s="8">
        <f>IF('공수1'!Y138="","",'공수1'!Y138)</f>
        <v/>
      </c>
      <c r="J138" s="8">
        <f>IF('공수2'!Y138="","",'공수2'!Y138)</f>
        <v/>
      </c>
      <c r="K138" s="7" t="n"/>
    </row>
    <row r="139">
      <c r="A139" s="5" t="n">
        <v>133</v>
      </c>
      <c r="B139" s="7" t="n"/>
      <c r="C139" s="7" t="n"/>
      <c r="D139" s="7" t="n"/>
      <c r="E139" s="7" t="n"/>
      <c r="F139" s="16" t="n"/>
      <c r="G139" s="7" t="n"/>
      <c r="H139" s="7" t="n"/>
      <c r="I139" s="8">
        <f>IF('공수1'!Y139="","",'공수1'!Y139)</f>
        <v/>
      </c>
      <c r="J139" s="8">
        <f>IF('공수2'!Y139="","",'공수2'!Y139)</f>
        <v/>
      </c>
      <c r="K139" s="7" t="n"/>
    </row>
    <row r="140">
      <c r="A140" s="5" t="n">
        <v>134</v>
      </c>
      <c r="B140" s="7" t="n"/>
      <c r="C140" s="7" t="n"/>
      <c r="D140" s="7" t="n"/>
      <c r="E140" s="7" t="n"/>
      <c r="F140" s="16" t="n"/>
      <c r="G140" s="7" t="n"/>
      <c r="H140" s="7" t="n"/>
      <c r="I140" s="8">
        <f>IF('공수1'!Y140="","",'공수1'!Y140)</f>
        <v/>
      </c>
      <c r="J140" s="8">
        <f>IF('공수2'!Y140="","",'공수2'!Y140)</f>
        <v/>
      </c>
      <c r="K140" s="7" t="n"/>
    </row>
    <row r="141">
      <c r="A141" s="5" t="n">
        <v>135</v>
      </c>
      <c r="B141" s="7" t="n"/>
      <c r="C141" s="7" t="n"/>
      <c r="D141" s="7" t="n"/>
      <c r="E141" s="7" t="n"/>
      <c r="F141" s="16" t="n"/>
      <c r="G141" s="7" t="n"/>
      <c r="H141" s="7" t="n"/>
      <c r="I141" s="8">
        <f>IF('공수1'!Y141="","",'공수1'!Y141)</f>
        <v/>
      </c>
      <c r="J141" s="8">
        <f>IF('공수2'!Y141="","",'공수2'!Y141)</f>
        <v/>
      </c>
      <c r="K141" s="7" t="n"/>
    </row>
    <row r="142">
      <c r="A142" s="5" t="n">
        <v>136</v>
      </c>
      <c r="B142" s="7" t="n"/>
      <c r="C142" s="7" t="n"/>
      <c r="D142" s="7" t="n"/>
      <c r="E142" s="7" t="n"/>
      <c r="F142" s="16" t="n"/>
      <c r="G142" s="7" t="n"/>
      <c r="H142" s="7" t="n"/>
      <c r="I142" s="8">
        <f>IF('공수1'!Y142="","",'공수1'!Y142)</f>
        <v/>
      </c>
      <c r="J142" s="8">
        <f>IF('공수2'!Y142="","",'공수2'!Y142)</f>
        <v/>
      </c>
      <c r="K142" s="7" t="n"/>
    </row>
    <row r="143">
      <c r="A143" s="5" t="n">
        <v>137</v>
      </c>
      <c r="B143" s="7" t="n"/>
      <c r="C143" s="7" t="n"/>
      <c r="D143" s="7" t="n"/>
      <c r="E143" s="7" t="n"/>
      <c r="F143" s="16" t="n"/>
      <c r="G143" s="7" t="n"/>
      <c r="H143" s="7" t="n"/>
      <c r="I143" s="8">
        <f>IF('공수1'!Y143="","",'공수1'!Y143)</f>
        <v/>
      </c>
      <c r="J143" s="8">
        <f>IF('공수2'!Y143="","",'공수2'!Y143)</f>
        <v/>
      </c>
      <c r="K143" s="7" t="n"/>
    </row>
    <row r="144">
      <c r="A144" s="5" t="n">
        <v>138</v>
      </c>
      <c r="B144" s="7" t="n"/>
      <c r="C144" s="7" t="n"/>
      <c r="D144" s="7" t="n"/>
      <c r="E144" s="7" t="n"/>
      <c r="F144" s="16" t="n"/>
      <c r="G144" s="7" t="n"/>
      <c r="H144" s="7" t="n"/>
      <c r="I144" s="8">
        <f>IF('공수1'!Y144="","",'공수1'!Y144)</f>
        <v/>
      </c>
      <c r="J144" s="8">
        <f>IF('공수2'!Y144="","",'공수2'!Y144)</f>
        <v/>
      </c>
      <c r="K144" s="7" t="n"/>
    </row>
    <row r="145">
      <c r="A145" s="5" t="n">
        <v>139</v>
      </c>
      <c r="B145" s="7" t="n"/>
      <c r="C145" s="7" t="n"/>
      <c r="D145" s="7" t="n"/>
      <c r="E145" s="7" t="n"/>
      <c r="F145" s="16" t="n"/>
      <c r="G145" s="7" t="n"/>
      <c r="H145" s="7" t="n"/>
      <c r="I145" s="8">
        <f>IF('공수1'!Y145="","",'공수1'!Y145)</f>
        <v/>
      </c>
      <c r="J145" s="8">
        <f>IF('공수2'!Y145="","",'공수2'!Y145)</f>
        <v/>
      </c>
      <c r="K145" s="7" t="n"/>
    </row>
    <row r="146">
      <c r="A146" s="5" t="n">
        <v>140</v>
      </c>
      <c r="B146" s="7" t="n"/>
      <c r="C146" s="7" t="n"/>
      <c r="D146" s="7" t="n"/>
      <c r="E146" s="7" t="n"/>
      <c r="F146" s="16" t="n"/>
      <c r="G146" s="7" t="n"/>
      <c r="H146" s="7" t="n"/>
      <c r="I146" s="8">
        <f>IF('공수1'!Y146="","",'공수1'!Y146)</f>
        <v/>
      </c>
      <c r="J146" s="8">
        <f>IF('공수2'!Y146="","",'공수2'!Y146)</f>
        <v/>
      </c>
      <c r="K146" s="7" t="n"/>
    </row>
    <row r="147">
      <c r="A147" s="5" t="n">
        <v>141</v>
      </c>
      <c r="B147" s="7" t="n"/>
      <c r="C147" s="7" t="n"/>
      <c r="D147" s="7" t="n"/>
      <c r="E147" s="7" t="n"/>
      <c r="F147" s="16" t="n"/>
      <c r="G147" s="7" t="n"/>
      <c r="H147" s="7" t="n"/>
      <c r="I147" s="8">
        <f>IF('공수1'!Y147="","",'공수1'!Y147)</f>
        <v/>
      </c>
      <c r="J147" s="8">
        <f>IF('공수2'!Y147="","",'공수2'!Y147)</f>
        <v/>
      </c>
      <c r="K147" s="7" t="n"/>
    </row>
    <row r="148">
      <c r="A148" s="5" t="n">
        <v>142</v>
      </c>
      <c r="B148" s="7" t="n"/>
      <c r="C148" s="7" t="n"/>
      <c r="D148" s="7" t="n"/>
      <c r="E148" s="7" t="n"/>
      <c r="F148" s="16" t="n"/>
      <c r="G148" s="7" t="n"/>
      <c r="H148" s="7" t="n"/>
      <c r="I148" s="8">
        <f>IF('공수1'!Y148="","",'공수1'!Y148)</f>
        <v/>
      </c>
      <c r="J148" s="8">
        <f>IF('공수2'!Y148="","",'공수2'!Y148)</f>
        <v/>
      </c>
      <c r="K148" s="7" t="n"/>
    </row>
    <row r="149">
      <c r="A149" s="5" t="n">
        <v>143</v>
      </c>
      <c r="B149" s="7" t="n"/>
      <c r="C149" s="7" t="n"/>
      <c r="D149" s="7" t="n"/>
      <c r="E149" s="7" t="n"/>
      <c r="F149" s="16" t="n"/>
      <c r="G149" s="7" t="n"/>
      <c r="H149" s="7" t="n"/>
      <c r="I149" s="8">
        <f>IF('공수1'!Y149="","",'공수1'!Y149)</f>
        <v/>
      </c>
      <c r="J149" s="8">
        <f>IF('공수2'!Y149="","",'공수2'!Y149)</f>
        <v/>
      </c>
      <c r="K149" s="7" t="n"/>
    </row>
    <row r="150">
      <c r="A150" s="5" t="n">
        <v>144</v>
      </c>
      <c r="B150" s="7" t="n"/>
      <c r="C150" s="7" t="n"/>
      <c r="D150" s="7" t="n"/>
      <c r="E150" s="7" t="n"/>
      <c r="F150" s="16" t="n"/>
      <c r="G150" s="7" t="n"/>
      <c r="H150" s="7" t="n"/>
      <c r="I150" s="8">
        <f>IF('공수1'!Y150="","",'공수1'!Y150)</f>
        <v/>
      </c>
      <c r="J150" s="8">
        <f>IF('공수2'!Y150="","",'공수2'!Y150)</f>
        <v/>
      </c>
      <c r="K150" s="7" t="n"/>
    </row>
    <row r="151">
      <c r="A151" s="5" t="n">
        <v>145</v>
      </c>
      <c r="B151" s="7" t="n"/>
      <c r="C151" s="7" t="n"/>
      <c r="D151" s="7" t="n"/>
      <c r="E151" s="7" t="n"/>
      <c r="F151" s="16" t="n"/>
      <c r="G151" s="7" t="n"/>
      <c r="H151" s="7" t="n"/>
      <c r="I151" s="8">
        <f>IF('공수1'!Y151="","",'공수1'!Y151)</f>
        <v/>
      </c>
      <c r="J151" s="8">
        <f>IF('공수2'!Y151="","",'공수2'!Y151)</f>
        <v/>
      </c>
      <c r="K151" s="7" t="n"/>
    </row>
    <row r="152">
      <c r="A152" s="5" t="n">
        <v>146</v>
      </c>
      <c r="B152" s="7" t="n"/>
      <c r="C152" s="7" t="n"/>
      <c r="D152" s="7" t="n"/>
      <c r="E152" s="7" t="n"/>
      <c r="F152" s="16" t="n"/>
      <c r="G152" s="7" t="n"/>
      <c r="H152" s="7" t="n"/>
      <c r="I152" s="8">
        <f>IF('공수1'!Y152="","",'공수1'!Y152)</f>
        <v/>
      </c>
      <c r="J152" s="8">
        <f>IF('공수2'!Y152="","",'공수2'!Y152)</f>
        <v/>
      </c>
      <c r="K152" s="7" t="n"/>
    </row>
    <row r="153">
      <c r="A153" s="5" t="n">
        <v>147</v>
      </c>
      <c r="B153" s="7" t="n"/>
      <c r="C153" s="7" t="n"/>
      <c r="D153" s="7" t="n"/>
      <c r="E153" s="7" t="n"/>
      <c r="F153" s="16" t="n"/>
      <c r="G153" s="7" t="n"/>
      <c r="H153" s="7" t="n"/>
      <c r="I153" s="8">
        <f>IF('공수1'!Y153="","",'공수1'!Y153)</f>
        <v/>
      </c>
      <c r="J153" s="8">
        <f>IF('공수2'!Y153="","",'공수2'!Y153)</f>
        <v/>
      </c>
      <c r="K153" s="7" t="n"/>
    </row>
    <row r="154">
      <c r="A154" s="5" t="n">
        <v>148</v>
      </c>
      <c r="B154" s="7" t="n"/>
      <c r="C154" s="7" t="n"/>
      <c r="D154" s="7" t="n"/>
      <c r="E154" s="7" t="n"/>
      <c r="F154" s="16" t="n"/>
      <c r="G154" s="7" t="n"/>
      <c r="H154" s="7" t="n"/>
      <c r="I154" s="8">
        <f>IF('공수1'!Y154="","",'공수1'!Y154)</f>
        <v/>
      </c>
      <c r="J154" s="8">
        <f>IF('공수2'!Y154="","",'공수2'!Y154)</f>
        <v/>
      </c>
      <c r="K154" s="7" t="n"/>
    </row>
    <row r="155">
      <c r="A155" s="5" t="n">
        <v>149</v>
      </c>
      <c r="B155" s="7" t="n"/>
      <c r="C155" s="7" t="n"/>
      <c r="D155" s="7" t="n"/>
      <c r="E155" s="7" t="n"/>
      <c r="F155" s="16" t="n"/>
      <c r="G155" s="7" t="n"/>
      <c r="H155" s="7" t="n"/>
      <c r="I155" s="8">
        <f>IF('공수1'!Y155="","",'공수1'!Y155)</f>
        <v/>
      </c>
      <c r="J155" s="8">
        <f>IF('공수2'!Y155="","",'공수2'!Y155)</f>
        <v/>
      </c>
      <c r="K155" s="7" t="n"/>
    </row>
    <row r="156">
      <c r="A156" s="5" t="n">
        <v>150</v>
      </c>
      <c r="B156" s="7" t="n"/>
      <c r="C156" s="7" t="n"/>
      <c r="D156" s="7" t="n"/>
      <c r="E156" s="7" t="n"/>
      <c r="F156" s="16" t="n"/>
      <c r="G156" s="7" t="n"/>
      <c r="H156" s="7" t="n"/>
      <c r="I156" s="8">
        <f>IF('공수1'!Y156="","",'공수1'!Y156)</f>
        <v/>
      </c>
      <c r="J156" s="8">
        <f>IF('공수2'!Y156="","",'공수2'!Y156)</f>
        <v/>
      </c>
      <c r="K156" s="7" t="n"/>
    </row>
  </sheetData>
  <mergeCells count="2">
    <mergeCell ref="A2:K2"/>
    <mergeCell ref="A1:K1"/>
  </mergeCells>
  <dataValidations count="1">
    <dataValidation sqref="D7:D156" showDropDown="0" showInputMessage="0" showErrorMessage="0" allowBlank="1" type="list">
      <formula1>"재원,외부"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5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7" customWidth="1" min="24" max="24"/>
    <col width="8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34" customHeight="1">
      <c r="A1" s="1" t="inlineStr">
        <is>
          <t>공통수학1 채점표</t>
        </is>
      </c>
      <c r="D1" s="2" t="inlineStr">
        <is>
          <t>객관식 1~14번: 학생이 고른 번호(1~5, 답안지 스캔으로 자동 입력 가능)  단답형 15~20번: 직접 채점해 맞으면 1, 틀리면 0 → 틀린 칸은 빨간색, 점수 자동 계산. 결시생은 비워두면 미응시 처리.</t>
        </is>
      </c>
    </row>
    <row r="2">
      <c r="A2" s="18" t="inlineStr">
        <is>
          <t>정답 ▶</t>
        </is>
      </c>
      <c r="D2" s="19" t="n">
        <v>4</v>
      </c>
      <c r="E2" s="19" t="n">
        <v>2</v>
      </c>
      <c r="F2" s="19" t="n">
        <v>3</v>
      </c>
      <c r="G2" s="19" t="n">
        <v>5</v>
      </c>
      <c r="H2" s="19" t="n">
        <v>1</v>
      </c>
      <c r="I2" s="19" t="n">
        <v>3</v>
      </c>
      <c r="J2" s="19" t="n">
        <v>4</v>
      </c>
      <c r="K2" s="19" t="n">
        <v>2</v>
      </c>
      <c r="L2" s="19" t="n">
        <v>5</v>
      </c>
      <c r="M2" s="19" t="n">
        <v>1</v>
      </c>
      <c r="N2" s="19" t="n">
        <v>2</v>
      </c>
      <c r="O2" s="19" t="n">
        <v>3</v>
      </c>
      <c r="P2" s="19" t="n">
        <v>4</v>
      </c>
      <c r="Q2" s="19" t="n">
        <v>5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</row>
    <row r="3">
      <c r="A3" s="18" t="inlineStr">
        <is>
          <t>배점 ▶</t>
        </is>
      </c>
      <c r="D3" s="7" t="n">
        <v>3</v>
      </c>
      <c r="E3" s="7" t="n">
        <v>3</v>
      </c>
      <c r="F3" s="7" t="n">
        <v>3</v>
      </c>
      <c r="G3" s="7" t="n">
        <v>4</v>
      </c>
      <c r="H3" s="7" t="n">
        <v>4</v>
      </c>
      <c r="I3" s="7" t="n">
        <v>4</v>
      </c>
      <c r="J3" s="7" t="n">
        <v>5</v>
      </c>
      <c r="K3" s="7" t="n">
        <v>5</v>
      </c>
      <c r="L3" s="7" t="n">
        <v>5</v>
      </c>
      <c r="M3" s="7" t="n">
        <v>6</v>
      </c>
      <c r="N3" s="7" t="n">
        <v>6</v>
      </c>
      <c r="O3" s="7" t="n">
        <v>6</v>
      </c>
      <c r="P3" s="7" t="n">
        <v>6</v>
      </c>
      <c r="Q3" s="7" t="n">
        <v>6</v>
      </c>
      <c r="R3" s="7" t="n">
        <v>5</v>
      </c>
      <c r="S3" s="7" t="n">
        <v>5</v>
      </c>
      <c r="T3" s="7" t="n">
        <v>5</v>
      </c>
      <c r="U3" s="7" t="n">
        <v>6</v>
      </c>
      <c r="V3" s="7" t="n">
        <v>6</v>
      </c>
      <c r="W3" s="7" t="n">
        <v>7</v>
      </c>
      <c r="X3" s="17">
        <f>COUNT(D2:W2)</f>
        <v/>
      </c>
      <c r="Y3" s="21">
        <f>SUM(D3:W3)</f>
        <v/>
      </c>
      <c r="Z3" s="17">
        <f>SUMIF($D$4:$W$4,Z$6,$D$3:$W$3)</f>
        <v/>
      </c>
      <c r="AA3" s="17">
        <f>SUMIF($D$4:$W$4,AA$6,$D$3:$W$3)</f>
        <v/>
      </c>
      <c r="AB3" s="17">
        <f>SUMIF($D$4:$W$4,AB$6,$D$3:$W$3)</f>
        <v/>
      </c>
      <c r="AC3" s="17">
        <f>SUMIF($D$4:$W$4,AC$6,$D$3:$W$3)</f>
        <v/>
      </c>
    </row>
    <row r="4" ht="42" customHeight="1">
      <c r="A4" s="18" t="inlineStr">
        <is>
          <t>단원 ▶</t>
        </is>
      </c>
      <c r="D4" s="22" t="inlineStr">
        <is>
          <t>다항식</t>
        </is>
      </c>
      <c r="E4" s="22" t="inlineStr">
        <is>
          <t>행렬</t>
        </is>
      </c>
      <c r="F4" s="22" t="inlineStr">
        <is>
          <t>방정식과 부등식</t>
        </is>
      </c>
      <c r="G4" s="22" t="inlineStr">
        <is>
          <t>방정식과 부등식</t>
        </is>
      </c>
      <c r="H4" s="22" t="inlineStr">
        <is>
          <t>다항식</t>
        </is>
      </c>
      <c r="I4" s="22" t="inlineStr">
        <is>
          <t>방정식과 부등식</t>
        </is>
      </c>
      <c r="J4" s="22" t="inlineStr">
        <is>
          <t>방정식과 부등식</t>
        </is>
      </c>
      <c r="K4" s="22" t="inlineStr">
        <is>
          <t>경우의 수</t>
        </is>
      </c>
      <c r="L4" s="22" t="inlineStr">
        <is>
          <t>방정식과 부등식</t>
        </is>
      </c>
      <c r="M4" s="22" t="inlineStr">
        <is>
          <t>행렬</t>
        </is>
      </c>
      <c r="N4" s="22" t="inlineStr">
        <is>
          <t>경우의 수</t>
        </is>
      </c>
      <c r="O4" s="22" t="inlineStr">
        <is>
          <t>방정식과 부등식</t>
        </is>
      </c>
      <c r="P4" s="22" t="inlineStr">
        <is>
          <t>다항식</t>
        </is>
      </c>
      <c r="Q4" s="22" t="inlineStr">
        <is>
          <t>방정식과 부등식</t>
        </is>
      </c>
      <c r="R4" s="22" t="inlineStr">
        <is>
          <t>방정식과 부등식</t>
        </is>
      </c>
      <c r="S4" s="22" t="inlineStr">
        <is>
          <t>경우의 수</t>
        </is>
      </c>
      <c r="T4" s="22" t="inlineStr">
        <is>
          <t>다항식</t>
        </is>
      </c>
      <c r="U4" s="22" t="inlineStr">
        <is>
          <t>행렬</t>
        </is>
      </c>
      <c r="V4" s="22" t="inlineStr">
        <is>
          <t>방정식과 부등식</t>
        </is>
      </c>
      <c r="W4" s="22" t="inlineStr">
        <is>
          <t>다항식</t>
        </is>
      </c>
    </row>
    <row r="5">
      <c r="A5" s="18" t="inlineStr">
        <is>
          <t>난이도 ▶</t>
        </is>
      </c>
      <c r="D5" s="7" t="inlineStr">
        <is>
          <t>하</t>
        </is>
      </c>
      <c r="E5" s="7" t="inlineStr">
        <is>
          <t>하</t>
        </is>
      </c>
      <c r="F5" s="7" t="inlineStr">
        <is>
          <t>하</t>
        </is>
      </c>
      <c r="G5" s="7" t="inlineStr">
        <is>
          <t>중하</t>
        </is>
      </c>
      <c r="H5" s="7" t="inlineStr">
        <is>
          <t>중하</t>
        </is>
      </c>
      <c r="I5" s="7" t="inlineStr">
        <is>
          <t>중하</t>
        </is>
      </c>
      <c r="J5" s="7" t="inlineStr">
        <is>
          <t>중상</t>
        </is>
      </c>
      <c r="K5" s="7" t="inlineStr">
        <is>
          <t>중상</t>
        </is>
      </c>
      <c r="L5" s="7" t="inlineStr">
        <is>
          <t>중상</t>
        </is>
      </c>
      <c r="M5" s="7" t="inlineStr">
        <is>
          <t>상</t>
        </is>
      </c>
      <c r="N5" s="7" t="inlineStr">
        <is>
          <t>상</t>
        </is>
      </c>
      <c r="O5" s="7" t="inlineStr">
        <is>
          <t>상</t>
        </is>
      </c>
      <c r="P5" s="7" t="inlineStr">
        <is>
          <t>최상</t>
        </is>
      </c>
      <c r="Q5" s="7" t="inlineStr">
        <is>
          <t>최상</t>
        </is>
      </c>
      <c r="R5" s="7" t="inlineStr">
        <is>
          <t>중상</t>
        </is>
      </c>
      <c r="S5" s="7" t="inlineStr">
        <is>
          <t>중상</t>
        </is>
      </c>
      <c r="T5" s="7" t="inlineStr">
        <is>
          <t>중상</t>
        </is>
      </c>
      <c r="U5" s="7" t="inlineStr">
        <is>
          <t>상</t>
        </is>
      </c>
      <c r="V5" s="7" t="inlineStr">
        <is>
          <t>최상</t>
        </is>
      </c>
      <c r="W5" s="7" t="inlineStr">
        <is>
          <t>최상</t>
        </is>
      </c>
      <c r="X5" s="23" t="inlineStr">
        <is>
          <t>정답입력수▲</t>
        </is>
      </c>
      <c r="Y5" s="23" t="inlineStr">
        <is>
          <t>만점 ▲</t>
        </is>
      </c>
      <c r="Z5" s="23" t="inlineStr">
        <is>
          <t>만점 ▲</t>
        </is>
      </c>
      <c r="AA5" s="23" t="inlineStr">
        <is>
          <t>만점 ▲</t>
        </is>
      </c>
      <c r="AB5" s="23" t="inlineStr">
        <is>
          <t>만점 ▲</t>
        </is>
      </c>
      <c r="AC5" s="23" t="inlineStr">
        <is>
          <t>만점 ▲</t>
        </is>
      </c>
    </row>
    <row r="6" ht="44" customHeight="1">
      <c r="A6" s="4" t="inlineStr">
        <is>
          <t>No</t>
        </is>
      </c>
      <c r="B6" s="4" t="inlineStr">
        <is>
          <t>이름</t>
        </is>
      </c>
      <c r="C6" s="4" t="inlineStr">
        <is>
          <t>학교</t>
        </is>
      </c>
      <c r="D6" s="24" t="inlineStr">
        <is>
          <t>1
객관식</t>
        </is>
      </c>
      <c r="E6" s="24" t="inlineStr">
        <is>
          <t>2
객관식</t>
        </is>
      </c>
      <c r="F6" s="24" t="inlineStr">
        <is>
          <t>3
객관식</t>
        </is>
      </c>
      <c r="G6" s="24" t="inlineStr">
        <is>
          <t>4
객관식</t>
        </is>
      </c>
      <c r="H6" s="24" t="inlineStr">
        <is>
          <t>5
객관식</t>
        </is>
      </c>
      <c r="I6" s="24" t="inlineStr">
        <is>
          <t>6
객관식</t>
        </is>
      </c>
      <c r="J6" s="24" t="inlineStr">
        <is>
          <t>7
객관식</t>
        </is>
      </c>
      <c r="K6" s="24" t="inlineStr">
        <is>
          <t>8
객관식</t>
        </is>
      </c>
      <c r="L6" s="24" t="inlineStr">
        <is>
          <t>9
객관식</t>
        </is>
      </c>
      <c r="M6" s="24" t="inlineStr">
        <is>
          <t>10
객관식</t>
        </is>
      </c>
      <c r="N6" s="24" t="inlineStr">
        <is>
          <t>11
객관식</t>
        </is>
      </c>
      <c r="O6" s="24" t="inlineStr">
        <is>
          <t>12
객관식</t>
        </is>
      </c>
      <c r="P6" s="24" t="inlineStr">
        <is>
          <t>13
객관식</t>
        </is>
      </c>
      <c r="Q6" s="24" t="inlineStr">
        <is>
          <t>14
객관식</t>
        </is>
      </c>
      <c r="R6" s="25" t="inlineStr">
        <is>
          <t>15
단답형
답 24</t>
        </is>
      </c>
      <c r="S6" s="25" t="inlineStr">
        <is>
          <t>16
단답형
답 864</t>
        </is>
      </c>
      <c r="T6" s="25" t="inlineStr">
        <is>
          <t>17
단답형
답 8</t>
        </is>
      </c>
      <c r="U6" s="25" t="inlineStr">
        <is>
          <t>18
단답형
답 76</t>
        </is>
      </c>
      <c r="V6" s="25" t="inlineStr">
        <is>
          <t>19
단답형
답 27</t>
        </is>
      </c>
      <c r="W6" s="25" t="inlineStr">
        <is>
          <t>20
단답형
답 65</t>
        </is>
      </c>
      <c r="X6" s="4" t="inlineStr">
        <is>
          <t>맞힌
개수</t>
        </is>
      </c>
      <c r="Y6" s="4" t="inlineStr">
        <is>
          <t>총점</t>
        </is>
      </c>
      <c r="Z6" s="26">
        <f>'설정'!B19</f>
        <v/>
      </c>
      <c r="AA6" s="26">
        <f>'설정'!B20</f>
        <v/>
      </c>
      <c r="AB6" s="26">
        <f>'설정'!B21</f>
        <v/>
      </c>
      <c r="AC6" s="26">
        <f>'설정'!B22</f>
        <v/>
      </c>
    </row>
    <row r="7">
      <c r="A7" s="5" t="n">
        <v>1</v>
      </c>
      <c r="B7" s="5">
        <f>IF('학생명단'!B7="","",'학생명단'!B7)</f>
        <v/>
      </c>
      <c r="C7" s="17">
        <f>IF('학생명단'!C7="","",'학생명단'!C7)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10">
        <f>IF(COUNTA(D7:W7)=0,"",SUMPRODUCT((D7:W7=$D$2:$W$2)*(D7:W7&lt;&gt;"")))</f>
        <v/>
      </c>
      <c r="Y7" s="27">
        <f>IF(COUNTA(D7:W7)=0,"",SUMPRODUCT((D7:W7=$D$2:$W$2)*(D7:W7&lt;&gt;"")*$D$3:$W$3))</f>
        <v/>
      </c>
      <c r="Z7" s="10">
        <f>IF($Y7="","",SUMPRODUCT(($D7:$W7=$D$2:$W$2)*($D7:$W7&lt;&gt;"")*$D$3:$W$3*($D$4:$W$4=Z$6)))</f>
        <v/>
      </c>
      <c r="AA7" s="10">
        <f>IF($Y7="","",SUMPRODUCT(($D7:$W7=$D$2:$W$2)*($D7:$W7&lt;&gt;"")*$D$3:$W$3*($D$4:$W$4=AA$6)))</f>
        <v/>
      </c>
      <c r="AB7" s="10">
        <f>IF($Y7="","",SUMPRODUCT(($D7:$W7=$D$2:$W$2)*($D7:$W7&lt;&gt;"")*$D$3:$W$3*($D$4:$W$4=AB$6)))</f>
        <v/>
      </c>
      <c r="AC7" s="10">
        <f>IF($Y7="","",SUMPRODUCT(($D7:$W7=$D$2:$W$2)*($D7:$W7&lt;&gt;"")*$D$3:$W$3*($D$4:$W$4=AC$6)))</f>
        <v/>
      </c>
    </row>
    <row r="8">
      <c r="A8" s="5" t="n">
        <v>2</v>
      </c>
      <c r="B8" s="5">
        <f>IF('학생명단'!B8="","",'학생명단'!B8)</f>
        <v/>
      </c>
      <c r="C8" s="17">
        <f>IF('학생명단'!C8="","",'학생명단'!C8)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10">
        <f>IF(COUNTA(D8:W8)=0,"",SUMPRODUCT((D8:W8=$D$2:$W$2)*(D8:W8&lt;&gt;"")))</f>
        <v/>
      </c>
      <c r="Y8" s="27">
        <f>IF(COUNTA(D8:W8)=0,"",SUMPRODUCT((D8:W8=$D$2:$W$2)*(D8:W8&lt;&gt;"")*$D$3:$W$3))</f>
        <v/>
      </c>
      <c r="Z8" s="10">
        <f>IF($Y8="","",SUMPRODUCT(($D8:$W8=$D$2:$W$2)*($D8:$W8&lt;&gt;"")*$D$3:$W$3*($D$4:$W$4=Z$6)))</f>
        <v/>
      </c>
      <c r="AA8" s="10">
        <f>IF($Y8="","",SUMPRODUCT(($D8:$W8=$D$2:$W$2)*($D8:$W8&lt;&gt;"")*$D$3:$W$3*($D$4:$W$4=AA$6)))</f>
        <v/>
      </c>
      <c r="AB8" s="10">
        <f>IF($Y8="","",SUMPRODUCT(($D8:$W8=$D$2:$W$2)*($D8:$W8&lt;&gt;"")*$D$3:$W$3*($D$4:$W$4=AB$6)))</f>
        <v/>
      </c>
      <c r="AC8" s="10">
        <f>IF($Y8="","",SUMPRODUCT(($D8:$W8=$D$2:$W$2)*($D8:$W8&lt;&gt;"")*$D$3:$W$3*($D$4:$W$4=AC$6)))</f>
        <v/>
      </c>
    </row>
    <row r="9">
      <c r="A9" s="5" t="n">
        <v>3</v>
      </c>
      <c r="B9" s="5">
        <f>IF('학생명단'!B9="","",'학생명단'!B9)</f>
        <v/>
      </c>
      <c r="C9" s="17">
        <f>IF('학생명단'!C9="","",'학생명단'!C9)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10">
        <f>IF(COUNTA(D9:W9)=0,"",SUMPRODUCT((D9:W9=$D$2:$W$2)*(D9:W9&lt;&gt;"")))</f>
        <v/>
      </c>
      <c r="Y9" s="27">
        <f>IF(COUNTA(D9:W9)=0,"",SUMPRODUCT((D9:W9=$D$2:$W$2)*(D9:W9&lt;&gt;"")*$D$3:$W$3))</f>
        <v/>
      </c>
      <c r="Z9" s="10">
        <f>IF($Y9="","",SUMPRODUCT(($D9:$W9=$D$2:$W$2)*($D9:$W9&lt;&gt;"")*$D$3:$W$3*($D$4:$W$4=Z$6)))</f>
        <v/>
      </c>
      <c r="AA9" s="10">
        <f>IF($Y9="","",SUMPRODUCT(($D9:$W9=$D$2:$W$2)*($D9:$W9&lt;&gt;"")*$D$3:$W$3*($D$4:$W$4=AA$6)))</f>
        <v/>
      </c>
      <c r="AB9" s="10">
        <f>IF($Y9="","",SUMPRODUCT(($D9:$W9=$D$2:$W$2)*($D9:$W9&lt;&gt;"")*$D$3:$W$3*($D$4:$W$4=AB$6)))</f>
        <v/>
      </c>
      <c r="AC9" s="10">
        <f>IF($Y9="","",SUMPRODUCT(($D9:$W9=$D$2:$W$2)*($D9:$W9&lt;&gt;"")*$D$3:$W$3*($D$4:$W$4=AC$6)))</f>
        <v/>
      </c>
    </row>
    <row r="10">
      <c r="A10" s="5" t="n">
        <v>4</v>
      </c>
      <c r="B10" s="5">
        <f>IF('학생명단'!B10="","",'학생명단'!B10)</f>
        <v/>
      </c>
      <c r="C10" s="17">
        <f>IF('학생명단'!C10="","",'학생명단'!C10)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10">
        <f>IF(COUNTA(D10:W10)=0,"",SUMPRODUCT((D10:W10=$D$2:$W$2)*(D10:W10&lt;&gt;"")))</f>
        <v/>
      </c>
      <c r="Y10" s="27">
        <f>IF(COUNTA(D10:W10)=0,"",SUMPRODUCT((D10:W10=$D$2:$W$2)*(D10:W10&lt;&gt;"")*$D$3:$W$3))</f>
        <v/>
      </c>
      <c r="Z10" s="10">
        <f>IF($Y10="","",SUMPRODUCT(($D10:$W10=$D$2:$W$2)*($D10:$W10&lt;&gt;"")*$D$3:$W$3*($D$4:$W$4=Z$6)))</f>
        <v/>
      </c>
      <c r="AA10" s="10">
        <f>IF($Y10="","",SUMPRODUCT(($D10:$W10=$D$2:$W$2)*($D10:$W10&lt;&gt;"")*$D$3:$W$3*($D$4:$W$4=AA$6)))</f>
        <v/>
      </c>
      <c r="AB10" s="10">
        <f>IF($Y10="","",SUMPRODUCT(($D10:$W10=$D$2:$W$2)*($D10:$W10&lt;&gt;"")*$D$3:$W$3*($D$4:$W$4=AB$6)))</f>
        <v/>
      </c>
      <c r="AC10" s="10">
        <f>IF($Y10="","",SUMPRODUCT(($D10:$W10=$D$2:$W$2)*($D10:$W10&lt;&gt;"")*$D$3:$W$3*($D$4:$W$4=AC$6)))</f>
        <v/>
      </c>
    </row>
    <row r="11">
      <c r="A11" s="5" t="n">
        <v>5</v>
      </c>
      <c r="B11" s="5">
        <f>IF('학생명단'!B11="","",'학생명단'!B11)</f>
        <v/>
      </c>
      <c r="C11" s="17">
        <f>IF('학생명단'!C11="","",'학생명단'!C11)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10">
        <f>IF(COUNTA(D11:W11)=0,"",SUMPRODUCT((D11:W11=$D$2:$W$2)*(D11:W11&lt;&gt;"")))</f>
        <v/>
      </c>
      <c r="Y11" s="27">
        <f>IF(COUNTA(D11:W11)=0,"",SUMPRODUCT((D11:W11=$D$2:$W$2)*(D11:W11&lt;&gt;"")*$D$3:$W$3))</f>
        <v/>
      </c>
      <c r="Z11" s="10">
        <f>IF($Y11="","",SUMPRODUCT(($D11:$W11=$D$2:$W$2)*($D11:$W11&lt;&gt;"")*$D$3:$W$3*($D$4:$W$4=Z$6)))</f>
        <v/>
      </c>
      <c r="AA11" s="10">
        <f>IF($Y11="","",SUMPRODUCT(($D11:$W11=$D$2:$W$2)*($D11:$W11&lt;&gt;"")*$D$3:$W$3*($D$4:$W$4=AA$6)))</f>
        <v/>
      </c>
      <c r="AB11" s="10">
        <f>IF($Y11="","",SUMPRODUCT(($D11:$W11=$D$2:$W$2)*($D11:$W11&lt;&gt;"")*$D$3:$W$3*($D$4:$W$4=AB$6)))</f>
        <v/>
      </c>
      <c r="AC11" s="10">
        <f>IF($Y11="","",SUMPRODUCT(($D11:$W11=$D$2:$W$2)*($D11:$W11&lt;&gt;"")*$D$3:$W$3*($D$4:$W$4=AC$6)))</f>
        <v/>
      </c>
    </row>
    <row r="12">
      <c r="A12" s="5" t="n">
        <v>6</v>
      </c>
      <c r="B12" s="5">
        <f>IF('학생명단'!B12="","",'학생명단'!B12)</f>
        <v/>
      </c>
      <c r="C12" s="17">
        <f>IF('학생명단'!C12="","",'학생명단'!C12)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10">
        <f>IF(COUNTA(D12:W12)=0,"",SUMPRODUCT((D12:W12=$D$2:$W$2)*(D12:W12&lt;&gt;"")))</f>
        <v/>
      </c>
      <c r="Y12" s="27">
        <f>IF(COUNTA(D12:W12)=0,"",SUMPRODUCT((D12:W12=$D$2:$W$2)*(D12:W12&lt;&gt;"")*$D$3:$W$3))</f>
        <v/>
      </c>
      <c r="Z12" s="10">
        <f>IF($Y12="","",SUMPRODUCT(($D12:$W12=$D$2:$W$2)*($D12:$W12&lt;&gt;"")*$D$3:$W$3*($D$4:$W$4=Z$6)))</f>
        <v/>
      </c>
      <c r="AA12" s="10">
        <f>IF($Y12="","",SUMPRODUCT(($D12:$W12=$D$2:$W$2)*($D12:$W12&lt;&gt;"")*$D$3:$W$3*($D$4:$W$4=AA$6)))</f>
        <v/>
      </c>
      <c r="AB12" s="10">
        <f>IF($Y12="","",SUMPRODUCT(($D12:$W12=$D$2:$W$2)*($D12:$W12&lt;&gt;"")*$D$3:$W$3*($D$4:$W$4=AB$6)))</f>
        <v/>
      </c>
      <c r="AC12" s="10">
        <f>IF($Y12="","",SUMPRODUCT(($D12:$W12=$D$2:$W$2)*($D12:$W12&lt;&gt;"")*$D$3:$W$3*($D$4:$W$4=AC$6)))</f>
        <v/>
      </c>
    </row>
    <row r="13">
      <c r="A13" s="5" t="n">
        <v>7</v>
      </c>
      <c r="B13" s="5">
        <f>IF('학생명단'!B13="","",'학생명단'!B13)</f>
        <v/>
      </c>
      <c r="C13" s="17">
        <f>IF('학생명단'!C13="","",'학생명단'!C13)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0">
        <f>IF(COUNTA(D13:W13)=0,"",SUMPRODUCT((D13:W13=$D$2:$W$2)*(D13:W13&lt;&gt;"")))</f>
        <v/>
      </c>
      <c r="Y13" s="27">
        <f>IF(COUNTA(D13:W13)=0,"",SUMPRODUCT((D13:W13=$D$2:$W$2)*(D13:W13&lt;&gt;"")*$D$3:$W$3))</f>
        <v/>
      </c>
      <c r="Z13" s="10">
        <f>IF($Y13="","",SUMPRODUCT(($D13:$W13=$D$2:$W$2)*($D13:$W13&lt;&gt;"")*$D$3:$W$3*($D$4:$W$4=Z$6)))</f>
        <v/>
      </c>
      <c r="AA13" s="10">
        <f>IF($Y13="","",SUMPRODUCT(($D13:$W13=$D$2:$W$2)*($D13:$W13&lt;&gt;"")*$D$3:$W$3*($D$4:$W$4=AA$6)))</f>
        <v/>
      </c>
      <c r="AB13" s="10">
        <f>IF($Y13="","",SUMPRODUCT(($D13:$W13=$D$2:$W$2)*($D13:$W13&lt;&gt;"")*$D$3:$W$3*($D$4:$W$4=AB$6)))</f>
        <v/>
      </c>
      <c r="AC13" s="10">
        <f>IF($Y13="","",SUMPRODUCT(($D13:$W13=$D$2:$W$2)*($D13:$W13&lt;&gt;"")*$D$3:$W$3*($D$4:$W$4=AC$6)))</f>
        <v/>
      </c>
    </row>
    <row r="14">
      <c r="A14" s="5" t="n">
        <v>8</v>
      </c>
      <c r="B14" s="5">
        <f>IF('학생명단'!B14="","",'학생명단'!B14)</f>
        <v/>
      </c>
      <c r="C14" s="17">
        <f>IF('학생명단'!C14="","",'학생명단'!C14)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10">
        <f>IF(COUNTA(D14:W14)=0,"",SUMPRODUCT((D14:W14=$D$2:$W$2)*(D14:W14&lt;&gt;"")))</f>
        <v/>
      </c>
      <c r="Y14" s="27">
        <f>IF(COUNTA(D14:W14)=0,"",SUMPRODUCT((D14:W14=$D$2:$W$2)*(D14:W14&lt;&gt;"")*$D$3:$W$3))</f>
        <v/>
      </c>
      <c r="Z14" s="10">
        <f>IF($Y14="","",SUMPRODUCT(($D14:$W14=$D$2:$W$2)*($D14:$W14&lt;&gt;"")*$D$3:$W$3*($D$4:$W$4=Z$6)))</f>
        <v/>
      </c>
      <c r="AA14" s="10">
        <f>IF($Y14="","",SUMPRODUCT(($D14:$W14=$D$2:$W$2)*($D14:$W14&lt;&gt;"")*$D$3:$W$3*($D$4:$W$4=AA$6)))</f>
        <v/>
      </c>
      <c r="AB14" s="10">
        <f>IF($Y14="","",SUMPRODUCT(($D14:$W14=$D$2:$W$2)*($D14:$W14&lt;&gt;"")*$D$3:$W$3*($D$4:$W$4=AB$6)))</f>
        <v/>
      </c>
      <c r="AC14" s="10">
        <f>IF($Y14="","",SUMPRODUCT(($D14:$W14=$D$2:$W$2)*($D14:$W14&lt;&gt;"")*$D$3:$W$3*($D$4:$W$4=AC$6)))</f>
        <v/>
      </c>
    </row>
    <row r="15">
      <c r="A15" s="5" t="n">
        <v>9</v>
      </c>
      <c r="B15" s="5">
        <f>IF('학생명단'!B15="","",'학생명단'!B15)</f>
        <v/>
      </c>
      <c r="C15" s="17">
        <f>IF('학생명단'!C15="","",'학생명단'!C15)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10">
        <f>IF(COUNTA(D15:W15)=0,"",SUMPRODUCT((D15:W15=$D$2:$W$2)*(D15:W15&lt;&gt;"")))</f>
        <v/>
      </c>
      <c r="Y15" s="27">
        <f>IF(COUNTA(D15:W15)=0,"",SUMPRODUCT((D15:W15=$D$2:$W$2)*(D15:W15&lt;&gt;"")*$D$3:$W$3))</f>
        <v/>
      </c>
      <c r="Z15" s="10">
        <f>IF($Y15="","",SUMPRODUCT(($D15:$W15=$D$2:$W$2)*($D15:$W15&lt;&gt;"")*$D$3:$W$3*($D$4:$W$4=Z$6)))</f>
        <v/>
      </c>
      <c r="AA15" s="10">
        <f>IF($Y15="","",SUMPRODUCT(($D15:$W15=$D$2:$W$2)*($D15:$W15&lt;&gt;"")*$D$3:$W$3*($D$4:$W$4=AA$6)))</f>
        <v/>
      </c>
      <c r="AB15" s="10">
        <f>IF($Y15="","",SUMPRODUCT(($D15:$W15=$D$2:$W$2)*($D15:$W15&lt;&gt;"")*$D$3:$W$3*($D$4:$W$4=AB$6)))</f>
        <v/>
      </c>
      <c r="AC15" s="10">
        <f>IF($Y15="","",SUMPRODUCT(($D15:$W15=$D$2:$W$2)*($D15:$W15&lt;&gt;"")*$D$3:$W$3*($D$4:$W$4=AC$6)))</f>
        <v/>
      </c>
    </row>
    <row r="16">
      <c r="A16" s="5" t="n">
        <v>10</v>
      </c>
      <c r="B16" s="5">
        <f>IF('학생명단'!B16="","",'학생명단'!B16)</f>
        <v/>
      </c>
      <c r="C16" s="17">
        <f>IF('학생명단'!C16="","",'학생명단'!C16)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10">
        <f>IF(COUNTA(D16:W16)=0,"",SUMPRODUCT((D16:W16=$D$2:$W$2)*(D16:W16&lt;&gt;"")))</f>
        <v/>
      </c>
      <c r="Y16" s="27">
        <f>IF(COUNTA(D16:W16)=0,"",SUMPRODUCT((D16:W16=$D$2:$W$2)*(D16:W16&lt;&gt;"")*$D$3:$W$3))</f>
        <v/>
      </c>
      <c r="Z16" s="10">
        <f>IF($Y16="","",SUMPRODUCT(($D16:$W16=$D$2:$W$2)*($D16:$W16&lt;&gt;"")*$D$3:$W$3*($D$4:$W$4=Z$6)))</f>
        <v/>
      </c>
      <c r="AA16" s="10">
        <f>IF($Y16="","",SUMPRODUCT(($D16:$W16=$D$2:$W$2)*($D16:$W16&lt;&gt;"")*$D$3:$W$3*($D$4:$W$4=AA$6)))</f>
        <v/>
      </c>
      <c r="AB16" s="10">
        <f>IF($Y16="","",SUMPRODUCT(($D16:$W16=$D$2:$W$2)*($D16:$W16&lt;&gt;"")*$D$3:$W$3*($D$4:$W$4=AB$6)))</f>
        <v/>
      </c>
      <c r="AC16" s="10">
        <f>IF($Y16="","",SUMPRODUCT(($D16:$W16=$D$2:$W$2)*($D16:$W16&lt;&gt;"")*$D$3:$W$3*($D$4:$W$4=AC$6)))</f>
        <v/>
      </c>
    </row>
    <row r="17">
      <c r="A17" s="5" t="n">
        <v>11</v>
      </c>
      <c r="B17" s="5">
        <f>IF('학생명단'!B17="","",'학생명단'!B17)</f>
        <v/>
      </c>
      <c r="C17" s="17">
        <f>IF('학생명단'!C17="","",'학생명단'!C17)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10">
        <f>IF(COUNTA(D17:W17)=0,"",SUMPRODUCT((D17:W17=$D$2:$W$2)*(D17:W17&lt;&gt;"")))</f>
        <v/>
      </c>
      <c r="Y17" s="27">
        <f>IF(COUNTA(D17:W17)=0,"",SUMPRODUCT((D17:W17=$D$2:$W$2)*(D17:W17&lt;&gt;"")*$D$3:$W$3))</f>
        <v/>
      </c>
      <c r="Z17" s="10">
        <f>IF($Y17="","",SUMPRODUCT(($D17:$W17=$D$2:$W$2)*($D17:$W17&lt;&gt;"")*$D$3:$W$3*($D$4:$W$4=Z$6)))</f>
        <v/>
      </c>
      <c r="AA17" s="10">
        <f>IF($Y17="","",SUMPRODUCT(($D17:$W17=$D$2:$W$2)*($D17:$W17&lt;&gt;"")*$D$3:$W$3*($D$4:$W$4=AA$6)))</f>
        <v/>
      </c>
      <c r="AB17" s="10">
        <f>IF($Y17="","",SUMPRODUCT(($D17:$W17=$D$2:$W$2)*($D17:$W17&lt;&gt;"")*$D$3:$W$3*($D$4:$W$4=AB$6)))</f>
        <v/>
      </c>
      <c r="AC17" s="10">
        <f>IF($Y17="","",SUMPRODUCT(($D17:$W17=$D$2:$W$2)*($D17:$W17&lt;&gt;"")*$D$3:$W$3*($D$4:$W$4=AC$6)))</f>
        <v/>
      </c>
    </row>
    <row r="18">
      <c r="A18" s="5" t="n">
        <v>12</v>
      </c>
      <c r="B18" s="5">
        <f>IF('학생명단'!B18="","",'학생명단'!B18)</f>
        <v/>
      </c>
      <c r="C18" s="17">
        <f>IF('학생명단'!C18="","",'학생명단'!C18)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10">
        <f>IF(COUNTA(D18:W18)=0,"",SUMPRODUCT((D18:W18=$D$2:$W$2)*(D18:W18&lt;&gt;"")))</f>
        <v/>
      </c>
      <c r="Y18" s="27">
        <f>IF(COUNTA(D18:W18)=0,"",SUMPRODUCT((D18:W18=$D$2:$W$2)*(D18:W18&lt;&gt;"")*$D$3:$W$3))</f>
        <v/>
      </c>
      <c r="Z18" s="10">
        <f>IF($Y18="","",SUMPRODUCT(($D18:$W18=$D$2:$W$2)*($D18:$W18&lt;&gt;"")*$D$3:$W$3*($D$4:$W$4=Z$6)))</f>
        <v/>
      </c>
      <c r="AA18" s="10">
        <f>IF($Y18="","",SUMPRODUCT(($D18:$W18=$D$2:$W$2)*($D18:$W18&lt;&gt;"")*$D$3:$W$3*($D$4:$W$4=AA$6)))</f>
        <v/>
      </c>
      <c r="AB18" s="10">
        <f>IF($Y18="","",SUMPRODUCT(($D18:$W18=$D$2:$W$2)*($D18:$W18&lt;&gt;"")*$D$3:$W$3*($D$4:$W$4=AB$6)))</f>
        <v/>
      </c>
      <c r="AC18" s="10">
        <f>IF($Y18="","",SUMPRODUCT(($D18:$W18=$D$2:$W$2)*($D18:$W18&lt;&gt;"")*$D$3:$W$3*($D$4:$W$4=AC$6)))</f>
        <v/>
      </c>
    </row>
    <row r="19">
      <c r="A19" s="5" t="n">
        <v>13</v>
      </c>
      <c r="B19" s="5">
        <f>IF('학생명단'!B19="","",'학생명단'!B19)</f>
        <v/>
      </c>
      <c r="C19" s="17">
        <f>IF('학생명단'!C19="","",'학생명단'!C19)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10">
        <f>IF(COUNTA(D19:W19)=0,"",SUMPRODUCT((D19:W19=$D$2:$W$2)*(D19:W19&lt;&gt;"")))</f>
        <v/>
      </c>
      <c r="Y19" s="27">
        <f>IF(COUNTA(D19:W19)=0,"",SUMPRODUCT((D19:W19=$D$2:$W$2)*(D19:W19&lt;&gt;"")*$D$3:$W$3))</f>
        <v/>
      </c>
      <c r="Z19" s="10">
        <f>IF($Y19="","",SUMPRODUCT(($D19:$W19=$D$2:$W$2)*($D19:$W19&lt;&gt;"")*$D$3:$W$3*($D$4:$W$4=Z$6)))</f>
        <v/>
      </c>
      <c r="AA19" s="10">
        <f>IF($Y19="","",SUMPRODUCT(($D19:$W19=$D$2:$W$2)*($D19:$W19&lt;&gt;"")*$D$3:$W$3*($D$4:$W$4=AA$6)))</f>
        <v/>
      </c>
      <c r="AB19" s="10">
        <f>IF($Y19="","",SUMPRODUCT(($D19:$W19=$D$2:$W$2)*($D19:$W19&lt;&gt;"")*$D$3:$W$3*($D$4:$W$4=AB$6)))</f>
        <v/>
      </c>
      <c r="AC19" s="10">
        <f>IF($Y19="","",SUMPRODUCT(($D19:$W19=$D$2:$W$2)*($D19:$W19&lt;&gt;"")*$D$3:$W$3*($D$4:$W$4=AC$6)))</f>
        <v/>
      </c>
    </row>
    <row r="20">
      <c r="A20" s="5" t="n">
        <v>14</v>
      </c>
      <c r="B20" s="5">
        <f>IF('학생명단'!B20="","",'학생명단'!B20)</f>
        <v/>
      </c>
      <c r="C20" s="17">
        <f>IF('학생명단'!C20="","",'학생명단'!C20)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10">
        <f>IF(COUNTA(D20:W20)=0,"",SUMPRODUCT((D20:W20=$D$2:$W$2)*(D20:W20&lt;&gt;"")))</f>
        <v/>
      </c>
      <c r="Y20" s="27">
        <f>IF(COUNTA(D20:W20)=0,"",SUMPRODUCT((D20:W20=$D$2:$W$2)*(D20:W20&lt;&gt;"")*$D$3:$W$3))</f>
        <v/>
      </c>
      <c r="Z20" s="10">
        <f>IF($Y20="","",SUMPRODUCT(($D20:$W20=$D$2:$W$2)*($D20:$W20&lt;&gt;"")*$D$3:$W$3*($D$4:$W$4=Z$6)))</f>
        <v/>
      </c>
      <c r="AA20" s="10">
        <f>IF($Y20="","",SUMPRODUCT(($D20:$W20=$D$2:$W$2)*($D20:$W20&lt;&gt;"")*$D$3:$W$3*($D$4:$W$4=AA$6)))</f>
        <v/>
      </c>
      <c r="AB20" s="10">
        <f>IF($Y20="","",SUMPRODUCT(($D20:$W20=$D$2:$W$2)*($D20:$W20&lt;&gt;"")*$D$3:$W$3*($D$4:$W$4=AB$6)))</f>
        <v/>
      </c>
      <c r="AC20" s="10">
        <f>IF($Y20="","",SUMPRODUCT(($D20:$W20=$D$2:$W$2)*($D20:$W20&lt;&gt;"")*$D$3:$W$3*($D$4:$W$4=AC$6)))</f>
        <v/>
      </c>
    </row>
    <row r="21">
      <c r="A21" s="5" t="n">
        <v>15</v>
      </c>
      <c r="B21" s="5">
        <f>IF('학생명단'!B21="","",'학생명단'!B21)</f>
        <v/>
      </c>
      <c r="C21" s="17">
        <f>IF('학생명단'!C21="","",'학생명단'!C21)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10">
        <f>IF(COUNTA(D21:W21)=0,"",SUMPRODUCT((D21:W21=$D$2:$W$2)*(D21:W21&lt;&gt;"")))</f>
        <v/>
      </c>
      <c r="Y21" s="27">
        <f>IF(COUNTA(D21:W21)=0,"",SUMPRODUCT((D21:W21=$D$2:$W$2)*(D21:W21&lt;&gt;"")*$D$3:$W$3))</f>
        <v/>
      </c>
      <c r="Z21" s="10">
        <f>IF($Y21="","",SUMPRODUCT(($D21:$W21=$D$2:$W$2)*($D21:$W21&lt;&gt;"")*$D$3:$W$3*($D$4:$W$4=Z$6)))</f>
        <v/>
      </c>
      <c r="AA21" s="10">
        <f>IF($Y21="","",SUMPRODUCT(($D21:$W21=$D$2:$W$2)*($D21:$W21&lt;&gt;"")*$D$3:$W$3*($D$4:$W$4=AA$6)))</f>
        <v/>
      </c>
      <c r="AB21" s="10">
        <f>IF($Y21="","",SUMPRODUCT(($D21:$W21=$D$2:$W$2)*($D21:$W21&lt;&gt;"")*$D$3:$W$3*($D$4:$W$4=AB$6)))</f>
        <v/>
      </c>
      <c r="AC21" s="10">
        <f>IF($Y21="","",SUMPRODUCT(($D21:$W21=$D$2:$W$2)*($D21:$W21&lt;&gt;"")*$D$3:$W$3*($D$4:$W$4=AC$6)))</f>
        <v/>
      </c>
    </row>
    <row r="22">
      <c r="A22" s="5" t="n">
        <v>16</v>
      </c>
      <c r="B22" s="5">
        <f>IF('학생명단'!B22="","",'학생명단'!B22)</f>
        <v/>
      </c>
      <c r="C22" s="17">
        <f>IF('학생명단'!C22="","",'학생명단'!C22)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10">
        <f>IF(COUNTA(D22:W22)=0,"",SUMPRODUCT((D22:W22=$D$2:$W$2)*(D22:W22&lt;&gt;"")))</f>
        <v/>
      </c>
      <c r="Y22" s="27">
        <f>IF(COUNTA(D22:W22)=0,"",SUMPRODUCT((D22:W22=$D$2:$W$2)*(D22:W22&lt;&gt;"")*$D$3:$W$3))</f>
        <v/>
      </c>
      <c r="Z22" s="10">
        <f>IF($Y22="","",SUMPRODUCT(($D22:$W22=$D$2:$W$2)*($D22:$W22&lt;&gt;"")*$D$3:$W$3*($D$4:$W$4=Z$6)))</f>
        <v/>
      </c>
      <c r="AA22" s="10">
        <f>IF($Y22="","",SUMPRODUCT(($D22:$W22=$D$2:$W$2)*($D22:$W22&lt;&gt;"")*$D$3:$W$3*($D$4:$W$4=AA$6)))</f>
        <v/>
      </c>
      <c r="AB22" s="10">
        <f>IF($Y22="","",SUMPRODUCT(($D22:$W22=$D$2:$W$2)*($D22:$W22&lt;&gt;"")*$D$3:$W$3*($D$4:$W$4=AB$6)))</f>
        <v/>
      </c>
      <c r="AC22" s="10">
        <f>IF($Y22="","",SUMPRODUCT(($D22:$W22=$D$2:$W$2)*($D22:$W22&lt;&gt;"")*$D$3:$W$3*($D$4:$W$4=AC$6)))</f>
        <v/>
      </c>
    </row>
    <row r="23">
      <c r="A23" s="5" t="n">
        <v>17</v>
      </c>
      <c r="B23" s="5">
        <f>IF('학생명단'!B23="","",'학생명단'!B23)</f>
        <v/>
      </c>
      <c r="C23" s="17">
        <f>IF('학생명단'!C23="","",'학생명단'!C23)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10">
        <f>IF(COUNTA(D23:W23)=0,"",SUMPRODUCT((D23:W23=$D$2:$W$2)*(D23:W23&lt;&gt;"")))</f>
        <v/>
      </c>
      <c r="Y23" s="27">
        <f>IF(COUNTA(D23:W23)=0,"",SUMPRODUCT((D23:W23=$D$2:$W$2)*(D23:W23&lt;&gt;"")*$D$3:$W$3))</f>
        <v/>
      </c>
      <c r="Z23" s="10">
        <f>IF($Y23="","",SUMPRODUCT(($D23:$W23=$D$2:$W$2)*($D23:$W23&lt;&gt;"")*$D$3:$W$3*($D$4:$W$4=Z$6)))</f>
        <v/>
      </c>
      <c r="AA23" s="10">
        <f>IF($Y23="","",SUMPRODUCT(($D23:$W23=$D$2:$W$2)*($D23:$W23&lt;&gt;"")*$D$3:$W$3*($D$4:$W$4=AA$6)))</f>
        <v/>
      </c>
      <c r="AB23" s="10">
        <f>IF($Y23="","",SUMPRODUCT(($D23:$W23=$D$2:$W$2)*($D23:$W23&lt;&gt;"")*$D$3:$W$3*($D$4:$W$4=AB$6)))</f>
        <v/>
      </c>
      <c r="AC23" s="10">
        <f>IF($Y23="","",SUMPRODUCT(($D23:$W23=$D$2:$W$2)*($D23:$W23&lt;&gt;"")*$D$3:$W$3*($D$4:$W$4=AC$6)))</f>
        <v/>
      </c>
    </row>
    <row r="24">
      <c r="A24" s="5" t="n">
        <v>18</v>
      </c>
      <c r="B24" s="5">
        <f>IF('학생명단'!B24="","",'학생명단'!B24)</f>
        <v/>
      </c>
      <c r="C24" s="17">
        <f>IF('학생명단'!C24="","",'학생명단'!C24)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10">
        <f>IF(COUNTA(D24:W24)=0,"",SUMPRODUCT((D24:W24=$D$2:$W$2)*(D24:W24&lt;&gt;"")))</f>
        <v/>
      </c>
      <c r="Y24" s="27">
        <f>IF(COUNTA(D24:W24)=0,"",SUMPRODUCT((D24:W24=$D$2:$W$2)*(D24:W24&lt;&gt;"")*$D$3:$W$3))</f>
        <v/>
      </c>
      <c r="Z24" s="10">
        <f>IF($Y24="","",SUMPRODUCT(($D24:$W24=$D$2:$W$2)*($D24:$W24&lt;&gt;"")*$D$3:$W$3*($D$4:$W$4=Z$6)))</f>
        <v/>
      </c>
      <c r="AA24" s="10">
        <f>IF($Y24="","",SUMPRODUCT(($D24:$W24=$D$2:$W$2)*($D24:$W24&lt;&gt;"")*$D$3:$W$3*($D$4:$W$4=AA$6)))</f>
        <v/>
      </c>
      <c r="AB24" s="10">
        <f>IF($Y24="","",SUMPRODUCT(($D24:$W24=$D$2:$W$2)*($D24:$W24&lt;&gt;"")*$D$3:$W$3*($D$4:$W$4=AB$6)))</f>
        <v/>
      </c>
      <c r="AC24" s="10">
        <f>IF($Y24="","",SUMPRODUCT(($D24:$W24=$D$2:$W$2)*($D24:$W24&lt;&gt;"")*$D$3:$W$3*($D$4:$W$4=AC$6)))</f>
        <v/>
      </c>
    </row>
    <row r="25">
      <c r="A25" s="5" t="n">
        <v>19</v>
      </c>
      <c r="B25" s="5">
        <f>IF('학생명단'!B25="","",'학생명단'!B25)</f>
        <v/>
      </c>
      <c r="C25" s="17">
        <f>IF('학생명단'!C25="","",'학생명단'!C25)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10">
        <f>IF(COUNTA(D25:W25)=0,"",SUMPRODUCT((D25:W25=$D$2:$W$2)*(D25:W25&lt;&gt;"")))</f>
        <v/>
      </c>
      <c r="Y25" s="27">
        <f>IF(COUNTA(D25:W25)=0,"",SUMPRODUCT((D25:W25=$D$2:$W$2)*(D25:W25&lt;&gt;"")*$D$3:$W$3))</f>
        <v/>
      </c>
      <c r="Z25" s="10">
        <f>IF($Y25="","",SUMPRODUCT(($D25:$W25=$D$2:$W$2)*($D25:$W25&lt;&gt;"")*$D$3:$W$3*($D$4:$W$4=Z$6)))</f>
        <v/>
      </c>
      <c r="AA25" s="10">
        <f>IF($Y25="","",SUMPRODUCT(($D25:$W25=$D$2:$W$2)*($D25:$W25&lt;&gt;"")*$D$3:$W$3*($D$4:$W$4=AA$6)))</f>
        <v/>
      </c>
      <c r="AB25" s="10">
        <f>IF($Y25="","",SUMPRODUCT(($D25:$W25=$D$2:$W$2)*($D25:$W25&lt;&gt;"")*$D$3:$W$3*($D$4:$W$4=AB$6)))</f>
        <v/>
      </c>
      <c r="AC25" s="10">
        <f>IF($Y25="","",SUMPRODUCT(($D25:$W25=$D$2:$W$2)*($D25:$W25&lt;&gt;"")*$D$3:$W$3*($D$4:$W$4=AC$6)))</f>
        <v/>
      </c>
    </row>
    <row r="26">
      <c r="A26" s="5" t="n">
        <v>20</v>
      </c>
      <c r="B26" s="5">
        <f>IF('학생명단'!B26="","",'학생명단'!B26)</f>
        <v/>
      </c>
      <c r="C26" s="17">
        <f>IF('학생명단'!C26="","",'학생명단'!C26)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10">
        <f>IF(COUNTA(D26:W26)=0,"",SUMPRODUCT((D26:W26=$D$2:$W$2)*(D26:W26&lt;&gt;"")))</f>
        <v/>
      </c>
      <c r="Y26" s="27">
        <f>IF(COUNTA(D26:W26)=0,"",SUMPRODUCT((D26:W26=$D$2:$W$2)*(D26:W26&lt;&gt;"")*$D$3:$W$3))</f>
        <v/>
      </c>
      <c r="Z26" s="10">
        <f>IF($Y26="","",SUMPRODUCT(($D26:$W26=$D$2:$W$2)*($D26:$W26&lt;&gt;"")*$D$3:$W$3*($D$4:$W$4=Z$6)))</f>
        <v/>
      </c>
      <c r="AA26" s="10">
        <f>IF($Y26="","",SUMPRODUCT(($D26:$W26=$D$2:$W$2)*($D26:$W26&lt;&gt;"")*$D$3:$W$3*($D$4:$W$4=AA$6)))</f>
        <v/>
      </c>
      <c r="AB26" s="10">
        <f>IF($Y26="","",SUMPRODUCT(($D26:$W26=$D$2:$W$2)*($D26:$W26&lt;&gt;"")*$D$3:$W$3*($D$4:$W$4=AB$6)))</f>
        <v/>
      </c>
      <c r="AC26" s="10">
        <f>IF($Y26="","",SUMPRODUCT(($D26:$W26=$D$2:$W$2)*($D26:$W26&lt;&gt;"")*$D$3:$W$3*($D$4:$W$4=AC$6)))</f>
        <v/>
      </c>
    </row>
    <row r="27">
      <c r="A27" s="5" t="n">
        <v>21</v>
      </c>
      <c r="B27" s="5">
        <f>IF('학생명단'!B27="","",'학생명단'!B27)</f>
        <v/>
      </c>
      <c r="C27" s="17">
        <f>IF('학생명단'!C27="","",'학생명단'!C27)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10">
        <f>IF(COUNTA(D27:W27)=0,"",SUMPRODUCT((D27:W27=$D$2:$W$2)*(D27:W27&lt;&gt;"")))</f>
        <v/>
      </c>
      <c r="Y27" s="27">
        <f>IF(COUNTA(D27:W27)=0,"",SUMPRODUCT((D27:W27=$D$2:$W$2)*(D27:W27&lt;&gt;"")*$D$3:$W$3))</f>
        <v/>
      </c>
      <c r="Z27" s="10">
        <f>IF($Y27="","",SUMPRODUCT(($D27:$W27=$D$2:$W$2)*($D27:$W27&lt;&gt;"")*$D$3:$W$3*($D$4:$W$4=Z$6)))</f>
        <v/>
      </c>
      <c r="AA27" s="10">
        <f>IF($Y27="","",SUMPRODUCT(($D27:$W27=$D$2:$W$2)*($D27:$W27&lt;&gt;"")*$D$3:$W$3*($D$4:$W$4=AA$6)))</f>
        <v/>
      </c>
      <c r="AB27" s="10">
        <f>IF($Y27="","",SUMPRODUCT(($D27:$W27=$D$2:$W$2)*($D27:$W27&lt;&gt;"")*$D$3:$W$3*($D$4:$W$4=AB$6)))</f>
        <v/>
      </c>
      <c r="AC27" s="10">
        <f>IF($Y27="","",SUMPRODUCT(($D27:$W27=$D$2:$W$2)*($D27:$W27&lt;&gt;"")*$D$3:$W$3*($D$4:$W$4=AC$6)))</f>
        <v/>
      </c>
    </row>
    <row r="28">
      <c r="A28" s="5" t="n">
        <v>22</v>
      </c>
      <c r="B28" s="5">
        <f>IF('학생명단'!B28="","",'학생명단'!B28)</f>
        <v/>
      </c>
      <c r="C28" s="17">
        <f>IF('학생명단'!C28="","",'학생명단'!C28)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10">
        <f>IF(COUNTA(D28:W28)=0,"",SUMPRODUCT((D28:W28=$D$2:$W$2)*(D28:W28&lt;&gt;"")))</f>
        <v/>
      </c>
      <c r="Y28" s="27">
        <f>IF(COUNTA(D28:W28)=0,"",SUMPRODUCT((D28:W28=$D$2:$W$2)*(D28:W28&lt;&gt;"")*$D$3:$W$3))</f>
        <v/>
      </c>
      <c r="Z28" s="10">
        <f>IF($Y28="","",SUMPRODUCT(($D28:$W28=$D$2:$W$2)*($D28:$W28&lt;&gt;"")*$D$3:$W$3*($D$4:$W$4=Z$6)))</f>
        <v/>
      </c>
      <c r="AA28" s="10">
        <f>IF($Y28="","",SUMPRODUCT(($D28:$W28=$D$2:$W$2)*($D28:$W28&lt;&gt;"")*$D$3:$W$3*($D$4:$W$4=AA$6)))</f>
        <v/>
      </c>
      <c r="AB28" s="10">
        <f>IF($Y28="","",SUMPRODUCT(($D28:$W28=$D$2:$W$2)*($D28:$W28&lt;&gt;"")*$D$3:$W$3*($D$4:$W$4=AB$6)))</f>
        <v/>
      </c>
      <c r="AC28" s="10">
        <f>IF($Y28="","",SUMPRODUCT(($D28:$W28=$D$2:$W$2)*($D28:$W28&lt;&gt;"")*$D$3:$W$3*($D$4:$W$4=AC$6)))</f>
        <v/>
      </c>
    </row>
    <row r="29">
      <c r="A29" s="5" t="n">
        <v>23</v>
      </c>
      <c r="B29" s="5">
        <f>IF('학생명단'!B29="","",'학생명단'!B29)</f>
        <v/>
      </c>
      <c r="C29" s="17">
        <f>IF('학생명단'!C29="","",'학생명단'!C29)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10">
        <f>IF(COUNTA(D29:W29)=0,"",SUMPRODUCT((D29:W29=$D$2:$W$2)*(D29:W29&lt;&gt;"")))</f>
        <v/>
      </c>
      <c r="Y29" s="27">
        <f>IF(COUNTA(D29:W29)=0,"",SUMPRODUCT((D29:W29=$D$2:$W$2)*(D29:W29&lt;&gt;"")*$D$3:$W$3))</f>
        <v/>
      </c>
      <c r="Z29" s="10">
        <f>IF($Y29="","",SUMPRODUCT(($D29:$W29=$D$2:$W$2)*($D29:$W29&lt;&gt;"")*$D$3:$W$3*($D$4:$W$4=Z$6)))</f>
        <v/>
      </c>
      <c r="AA29" s="10">
        <f>IF($Y29="","",SUMPRODUCT(($D29:$W29=$D$2:$W$2)*($D29:$W29&lt;&gt;"")*$D$3:$W$3*($D$4:$W$4=AA$6)))</f>
        <v/>
      </c>
      <c r="AB29" s="10">
        <f>IF($Y29="","",SUMPRODUCT(($D29:$W29=$D$2:$W$2)*($D29:$W29&lt;&gt;"")*$D$3:$W$3*($D$4:$W$4=AB$6)))</f>
        <v/>
      </c>
      <c r="AC29" s="10">
        <f>IF($Y29="","",SUMPRODUCT(($D29:$W29=$D$2:$W$2)*($D29:$W29&lt;&gt;"")*$D$3:$W$3*($D$4:$W$4=AC$6)))</f>
        <v/>
      </c>
    </row>
    <row r="30">
      <c r="A30" s="5" t="n">
        <v>24</v>
      </c>
      <c r="B30" s="5">
        <f>IF('학생명단'!B30="","",'학생명단'!B30)</f>
        <v/>
      </c>
      <c r="C30" s="17">
        <f>IF('학생명단'!C30="","",'학생명단'!C30)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10">
        <f>IF(COUNTA(D30:W30)=0,"",SUMPRODUCT((D30:W30=$D$2:$W$2)*(D30:W30&lt;&gt;"")))</f>
        <v/>
      </c>
      <c r="Y30" s="27">
        <f>IF(COUNTA(D30:W30)=0,"",SUMPRODUCT((D30:W30=$D$2:$W$2)*(D30:W30&lt;&gt;"")*$D$3:$W$3))</f>
        <v/>
      </c>
      <c r="Z30" s="10">
        <f>IF($Y30="","",SUMPRODUCT(($D30:$W30=$D$2:$W$2)*($D30:$W30&lt;&gt;"")*$D$3:$W$3*($D$4:$W$4=Z$6)))</f>
        <v/>
      </c>
      <c r="AA30" s="10">
        <f>IF($Y30="","",SUMPRODUCT(($D30:$W30=$D$2:$W$2)*($D30:$W30&lt;&gt;"")*$D$3:$W$3*($D$4:$W$4=AA$6)))</f>
        <v/>
      </c>
      <c r="AB30" s="10">
        <f>IF($Y30="","",SUMPRODUCT(($D30:$W30=$D$2:$W$2)*($D30:$W30&lt;&gt;"")*$D$3:$W$3*($D$4:$W$4=AB$6)))</f>
        <v/>
      </c>
      <c r="AC30" s="10">
        <f>IF($Y30="","",SUMPRODUCT(($D30:$W30=$D$2:$W$2)*($D30:$W30&lt;&gt;"")*$D$3:$W$3*($D$4:$W$4=AC$6)))</f>
        <v/>
      </c>
    </row>
    <row r="31">
      <c r="A31" s="5" t="n">
        <v>25</v>
      </c>
      <c r="B31" s="5">
        <f>IF('학생명단'!B31="","",'학생명단'!B31)</f>
        <v/>
      </c>
      <c r="C31" s="17">
        <f>IF('학생명단'!C31="","",'학생명단'!C31)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10">
        <f>IF(COUNTA(D31:W31)=0,"",SUMPRODUCT((D31:W31=$D$2:$W$2)*(D31:W31&lt;&gt;"")))</f>
        <v/>
      </c>
      <c r="Y31" s="27">
        <f>IF(COUNTA(D31:W31)=0,"",SUMPRODUCT((D31:W31=$D$2:$W$2)*(D31:W31&lt;&gt;"")*$D$3:$W$3))</f>
        <v/>
      </c>
      <c r="Z31" s="10">
        <f>IF($Y31="","",SUMPRODUCT(($D31:$W31=$D$2:$W$2)*($D31:$W31&lt;&gt;"")*$D$3:$W$3*($D$4:$W$4=Z$6)))</f>
        <v/>
      </c>
      <c r="AA31" s="10">
        <f>IF($Y31="","",SUMPRODUCT(($D31:$W31=$D$2:$W$2)*($D31:$W31&lt;&gt;"")*$D$3:$W$3*($D$4:$W$4=AA$6)))</f>
        <v/>
      </c>
      <c r="AB31" s="10">
        <f>IF($Y31="","",SUMPRODUCT(($D31:$W31=$D$2:$W$2)*($D31:$W31&lt;&gt;"")*$D$3:$W$3*($D$4:$W$4=AB$6)))</f>
        <v/>
      </c>
      <c r="AC31" s="10">
        <f>IF($Y31="","",SUMPRODUCT(($D31:$W31=$D$2:$W$2)*($D31:$W31&lt;&gt;"")*$D$3:$W$3*($D$4:$W$4=AC$6)))</f>
        <v/>
      </c>
    </row>
    <row r="32">
      <c r="A32" s="5" t="n">
        <v>26</v>
      </c>
      <c r="B32" s="5">
        <f>IF('학생명단'!B32="","",'학생명단'!B32)</f>
        <v/>
      </c>
      <c r="C32" s="17">
        <f>IF('학생명단'!C32="","",'학생명단'!C32)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10">
        <f>IF(COUNTA(D32:W32)=0,"",SUMPRODUCT((D32:W32=$D$2:$W$2)*(D32:W32&lt;&gt;"")))</f>
        <v/>
      </c>
      <c r="Y32" s="27">
        <f>IF(COUNTA(D32:W32)=0,"",SUMPRODUCT((D32:W32=$D$2:$W$2)*(D32:W32&lt;&gt;"")*$D$3:$W$3))</f>
        <v/>
      </c>
      <c r="Z32" s="10">
        <f>IF($Y32="","",SUMPRODUCT(($D32:$W32=$D$2:$W$2)*($D32:$W32&lt;&gt;"")*$D$3:$W$3*($D$4:$W$4=Z$6)))</f>
        <v/>
      </c>
      <c r="AA32" s="10">
        <f>IF($Y32="","",SUMPRODUCT(($D32:$W32=$D$2:$W$2)*($D32:$W32&lt;&gt;"")*$D$3:$W$3*($D$4:$W$4=AA$6)))</f>
        <v/>
      </c>
      <c r="AB32" s="10">
        <f>IF($Y32="","",SUMPRODUCT(($D32:$W32=$D$2:$W$2)*($D32:$W32&lt;&gt;"")*$D$3:$W$3*($D$4:$W$4=AB$6)))</f>
        <v/>
      </c>
      <c r="AC32" s="10">
        <f>IF($Y32="","",SUMPRODUCT(($D32:$W32=$D$2:$W$2)*($D32:$W32&lt;&gt;"")*$D$3:$W$3*($D$4:$W$4=AC$6)))</f>
        <v/>
      </c>
    </row>
    <row r="33">
      <c r="A33" s="5" t="n">
        <v>27</v>
      </c>
      <c r="B33" s="5">
        <f>IF('학생명단'!B33="","",'학생명단'!B33)</f>
        <v/>
      </c>
      <c r="C33" s="17">
        <f>IF('학생명단'!C33="","",'학생명단'!C33)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10">
        <f>IF(COUNTA(D33:W33)=0,"",SUMPRODUCT((D33:W33=$D$2:$W$2)*(D33:W33&lt;&gt;"")))</f>
        <v/>
      </c>
      <c r="Y33" s="27">
        <f>IF(COUNTA(D33:W33)=0,"",SUMPRODUCT((D33:W33=$D$2:$W$2)*(D33:W33&lt;&gt;"")*$D$3:$W$3))</f>
        <v/>
      </c>
      <c r="Z33" s="10">
        <f>IF($Y33="","",SUMPRODUCT(($D33:$W33=$D$2:$W$2)*($D33:$W33&lt;&gt;"")*$D$3:$W$3*($D$4:$W$4=Z$6)))</f>
        <v/>
      </c>
      <c r="AA33" s="10">
        <f>IF($Y33="","",SUMPRODUCT(($D33:$W33=$D$2:$W$2)*($D33:$W33&lt;&gt;"")*$D$3:$W$3*($D$4:$W$4=AA$6)))</f>
        <v/>
      </c>
      <c r="AB33" s="10">
        <f>IF($Y33="","",SUMPRODUCT(($D33:$W33=$D$2:$W$2)*($D33:$W33&lt;&gt;"")*$D$3:$W$3*($D$4:$W$4=AB$6)))</f>
        <v/>
      </c>
      <c r="AC33" s="10">
        <f>IF($Y33="","",SUMPRODUCT(($D33:$W33=$D$2:$W$2)*($D33:$W33&lt;&gt;"")*$D$3:$W$3*($D$4:$W$4=AC$6)))</f>
        <v/>
      </c>
    </row>
    <row r="34">
      <c r="A34" s="5" t="n">
        <v>28</v>
      </c>
      <c r="B34" s="5">
        <f>IF('학생명단'!B34="","",'학생명단'!B34)</f>
        <v/>
      </c>
      <c r="C34" s="17">
        <f>IF('학생명단'!C34="","",'학생명단'!C34)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10">
        <f>IF(COUNTA(D34:W34)=0,"",SUMPRODUCT((D34:W34=$D$2:$W$2)*(D34:W34&lt;&gt;"")))</f>
        <v/>
      </c>
      <c r="Y34" s="27">
        <f>IF(COUNTA(D34:W34)=0,"",SUMPRODUCT((D34:W34=$D$2:$W$2)*(D34:W34&lt;&gt;"")*$D$3:$W$3))</f>
        <v/>
      </c>
      <c r="Z34" s="10">
        <f>IF($Y34="","",SUMPRODUCT(($D34:$W34=$D$2:$W$2)*($D34:$W34&lt;&gt;"")*$D$3:$W$3*($D$4:$W$4=Z$6)))</f>
        <v/>
      </c>
      <c r="AA34" s="10">
        <f>IF($Y34="","",SUMPRODUCT(($D34:$W34=$D$2:$W$2)*($D34:$W34&lt;&gt;"")*$D$3:$W$3*($D$4:$W$4=AA$6)))</f>
        <v/>
      </c>
      <c r="AB34" s="10">
        <f>IF($Y34="","",SUMPRODUCT(($D34:$W34=$D$2:$W$2)*($D34:$W34&lt;&gt;"")*$D$3:$W$3*($D$4:$W$4=AB$6)))</f>
        <v/>
      </c>
      <c r="AC34" s="10">
        <f>IF($Y34="","",SUMPRODUCT(($D34:$W34=$D$2:$W$2)*($D34:$W34&lt;&gt;"")*$D$3:$W$3*($D$4:$W$4=AC$6)))</f>
        <v/>
      </c>
    </row>
    <row r="35">
      <c r="A35" s="5" t="n">
        <v>29</v>
      </c>
      <c r="B35" s="5">
        <f>IF('학생명단'!B35="","",'학생명단'!B35)</f>
        <v/>
      </c>
      <c r="C35" s="17">
        <f>IF('학생명단'!C35="","",'학생명단'!C35)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10">
        <f>IF(COUNTA(D35:W35)=0,"",SUMPRODUCT((D35:W35=$D$2:$W$2)*(D35:W35&lt;&gt;"")))</f>
        <v/>
      </c>
      <c r="Y35" s="27">
        <f>IF(COUNTA(D35:W35)=0,"",SUMPRODUCT((D35:W35=$D$2:$W$2)*(D35:W35&lt;&gt;"")*$D$3:$W$3))</f>
        <v/>
      </c>
      <c r="Z35" s="10">
        <f>IF($Y35="","",SUMPRODUCT(($D35:$W35=$D$2:$W$2)*($D35:$W35&lt;&gt;"")*$D$3:$W$3*($D$4:$W$4=Z$6)))</f>
        <v/>
      </c>
      <c r="AA35" s="10">
        <f>IF($Y35="","",SUMPRODUCT(($D35:$W35=$D$2:$W$2)*($D35:$W35&lt;&gt;"")*$D$3:$W$3*($D$4:$W$4=AA$6)))</f>
        <v/>
      </c>
      <c r="AB35" s="10">
        <f>IF($Y35="","",SUMPRODUCT(($D35:$W35=$D$2:$W$2)*($D35:$W35&lt;&gt;"")*$D$3:$W$3*($D$4:$W$4=AB$6)))</f>
        <v/>
      </c>
      <c r="AC35" s="10">
        <f>IF($Y35="","",SUMPRODUCT(($D35:$W35=$D$2:$W$2)*($D35:$W35&lt;&gt;"")*$D$3:$W$3*($D$4:$W$4=AC$6)))</f>
        <v/>
      </c>
    </row>
    <row r="36">
      <c r="A36" s="5" t="n">
        <v>30</v>
      </c>
      <c r="B36" s="5">
        <f>IF('학생명단'!B36="","",'학생명단'!B36)</f>
        <v/>
      </c>
      <c r="C36" s="17">
        <f>IF('학생명단'!C36="","",'학생명단'!C36)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10">
        <f>IF(COUNTA(D36:W36)=0,"",SUMPRODUCT((D36:W36=$D$2:$W$2)*(D36:W36&lt;&gt;"")))</f>
        <v/>
      </c>
      <c r="Y36" s="27">
        <f>IF(COUNTA(D36:W36)=0,"",SUMPRODUCT((D36:W36=$D$2:$W$2)*(D36:W36&lt;&gt;"")*$D$3:$W$3))</f>
        <v/>
      </c>
      <c r="Z36" s="10">
        <f>IF($Y36="","",SUMPRODUCT(($D36:$W36=$D$2:$W$2)*($D36:$W36&lt;&gt;"")*$D$3:$W$3*($D$4:$W$4=Z$6)))</f>
        <v/>
      </c>
      <c r="AA36" s="10">
        <f>IF($Y36="","",SUMPRODUCT(($D36:$W36=$D$2:$W$2)*($D36:$W36&lt;&gt;"")*$D$3:$W$3*($D$4:$W$4=AA$6)))</f>
        <v/>
      </c>
      <c r="AB36" s="10">
        <f>IF($Y36="","",SUMPRODUCT(($D36:$W36=$D$2:$W$2)*($D36:$W36&lt;&gt;"")*$D$3:$W$3*($D$4:$W$4=AB$6)))</f>
        <v/>
      </c>
      <c r="AC36" s="10">
        <f>IF($Y36="","",SUMPRODUCT(($D36:$W36=$D$2:$W$2)*($D36:$W36&lt;&gt;"")*$D$3:$W$3*($D$4:$W$4=AC$6)))</f>
        <v/>
      </c>
    </row>
    <row r="37">
      <c r="A37" s="5" t="n">
        <v>31</v>
      </c>
      <c r="B37" s="5">
        <f>IF('학생명단'!B37="","",'학생명단'!B37)</f>
        <v/>
      </c>
      <c r="C37" s="17">
        <f>IF('학생명단'!C37="","",'학생명단'!C37)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10">
        <f>IF(COUNTA(D37:W37)=0,"",SUMPRODUCT((D37:W37=$D$2:$W$2)*(D37:W37&lt;&gt;"")))</f>
        <v/>
      </c>
      <c r="Y37" s="27">
        <f>IF(COUNTA(D37:W37)=0,"",SUMPRODUCT((D37:W37=$D$2:$W$2)*(D37:W37&lt;&gt;"")*$D$3:$W$3))</f>
        <v/>
      </c>
      <c r="Z37" s="10">
        <f>IF($Y37="","",SUMPRODUCT(($D37:$W37=$D$2:$W$2)*($D37:$W37&lt;&gt;"")*$D$3:$W$3*($D$4:$W$4=Z$6)))</f>
        <v/>
      </c>
      <c r="AA37" s="10">
        <f>IF($Y37="","",SUMPRODUCT(($D37:$W37=$D$2:$W$2)*($D37:$W37&lt;&gt;"")*$D$3:$W$3*($D$4:$W$4=AA$6)))</f>
        <v/>
      </c>
      <c r="AB37" s="10">
        <f>IF($Y37="","",SUMPRODUCT(($D37:$W37=$D$2:$W$2)*($D37:$W37&lt;&gt;"")*$D$3:$W$3*($D$4:$W$4=AB$6)))</f>
        <v/>
      </c>
      <c r="AC37" s="10">
        <f>IF($Y37="","",SUMPRODUCT(($D37:$W37=$D$2:$W$2)*($D37:$W37&lt;&gt;"")*$D$3:$W$3*($D$4:$W$4=AC$6)))</f>
        <v/>
      </c>
    </row>
    <row r="38">
      <c r="A38" s="5" t="n">
        <v>32</v>
      </c>
      <c r="B38" s="5">
        <f>IF('학생명단'!B38="","",'학생명단'!B38)</f>
        <v/>
      </c>
      <c r="C38" s="17">
        <f>IF('학생명단'!C38="","",'학생명단'!C38)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10">
        <f>IF(COUNTA(D38:W38)=0,"",SUMPRODUCT((D38:W38=$D$2:$W$2)*(D38:W38&lt;&gt;"")))</f>
        <v/>
      </c>
      <c r="Y38" s="27">
        <f>IF(COUNTA(D38:W38)=0,"",SUMPRODUCT((D38:W38=$D$2:$W$2)*(D38:W38&lt;&gt;"")*$D$3:$W$3))</f>
        <v/>
      </c>
      <c r="Z38" s="10">
        <f>IF($Y38="","",SUMPRODUCT(($D38:$W38=$D$2:$W$2)*($D38:$W38&lt;&gt;"")*$D$3:$W$3*($D$4:$W$4=Z$6)))</f>
        <v/>
      </c>
      <c r="AA38" s="10">
        <f>IF($Y38="","",SUMPRODUCT(($D38:$W38=$D$2:$W$2)*($D38:$W38&lt;&gt;"")*$D$3:$W$3*($D$4:$W$4=AA$6)))</f>
        <v/>
      </c>
      <c r="AB38" s="10">
        <f>IF($Y38="","",SUMPRODUCT(($D38:$W38=$D$2:$W$2)*($D38:$W38&lt;&gt;"")*$D$3:$W$3*($D$4:$W$4=AB$6)))</f>
        <v/>
      </c>
      <c r="AC38" s="10">
        <f>IF($Y38="","",SUMPRODUCT(($D38:$W38=$D$2:$W$2)*($D38:$W38&lt;&gt;"")*$D$3:$W$3*($D$4:$W$4=AC$6)))</f>
        <v/>
      </c>
    </row>
    <row r="39">
      <c r="A39" s="5" t="n">
        <v>33</v>
      </c>
      <c r="B39" s="5">
        <f>IF('학생명단'!B39="","",'학생명단'!B39)</f>
        <v/>
      </c>
      <c r="C39" s="17">
        <f>IF('학생명단'!C39="","",'학생명단'!C39)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10">
        <f>IF(COUNTA(D39:W39)=0,"",SUMPRODUCT((D39:W39=$D$2:$W$2)*(D39:W39&lt;&gt;"")))</f>
        <v/>
      </c>
      <c r="Y39" s="27">
        <f>IF(COUNTA(D39:W39)=0,"",SUMPRODUCT((D39:W39=$D$2:$W$2)*(D39:W39&lt;&gt;"")*$D$3:$W$3))</f>
        <v/>
      </c>
      <c r="Z39" s="10">
        <f>IF($Y39="","",SUMPRODUCT(($D39:$W39=$D$2:$W$2)*($D39:$W39&lt;&gt;"")*$D$3:$W$3*($D$4:$W$4=Z$6)))</f>
        <v/>
      </c>
      <c r="AA39" s="10">
        <f>IF($Y39="","",SUMPRODUCT(($D39:$W39=$D$2:$W$2)*($D39:$W39&lt;&gt;"")*$D$3:$W$3*($D$4:$W$4=AA$6)))</f>
        <v/>
      </c>
      <c r="AB39" s="10">
        <f>IF($Y39="","",SUMPRODUCT(($D39:$W39=$D$2:$W$2)*($D39:$W39&lt;&gt;"")*$D$3:$W$3*($D$4:$W$4=AB$6)))</f>
        <v/>
      </c>
      <c r="AC39" s="10">
        <f>IF($Y39="","",SUMPRODUCT(($D39:$W39=$D$2:$W$2)*($D39:$W39&lt;&gt;"")*$D$3:$W$3*($D$4:$W$4=AC$6)))</f>
        <v/>
      </c>
    </row>
    <row r="40">
      <c r="A40" s="5" t="n">
        <v>34</v>
      </c>
      <c r="B40" s="5">
        <f>IF('학생명단'!B40="","",'학생명단'!B40)</f>
        <v/>
      </c>
      <c r="C40" s="17">
        <f>IF('학생명단'!C40="","",'학생명단'!C40)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10">
        <f>IF(COUNTA(D40:W40)=0,"",SUMPRODUCT((D40:W40=$D$2:$W$2)*(D40:W40&lt;&gt;"")))</f>
        <v/>
      </c>
      <c r="Y40" s="27">
        <f>IF(COUNTA(D40:W40)=0,"",SUMPRODUCT((D40:W40=$D$2:$W$2)*(D40:W40&lt;&gt;"")*$D$3:$W$3))</f>
        <v/>
      </c>
      <c r="Z40" s="10">
        <f>IF($Y40="","",SUMPRODUCT(($D40:$W40=$D$2:$W$2)*($D40:$W40&lt;&gt;"")*$D$3:$W$3*($D$4:$W$4=Z$6)))</f>
        <v/>
      </c>
      <c r="AA40" s="10">
        <f>IF($Y40="","",SUMPRODUCT(($D40:$W40=$D$2:$W$2)*($D40:$W40&lt;&gt;"")*$D$3:$W$3*($D$4:$W$4=AA$6)))</f>
        <v/>
      </c>
      <c r="AB40" s="10">
        <f>IF($Y40="","",SUMPRODUCT(($D40:$W40=$D$2:$W$2)*($D40:$W40&lt;&gt;"")*$D$3:$W$3*($D$4:$W$4=AB$6)))</f>
        <v/>
      </c>
      <c r="AC40" s="10">
        <f>IF($Y40="","",SUMPRODUCT(($D40:$W40=$D$2:$W$2)*($D40:$W40&lt;&gt;"")*$D$3:$W$3*($D$4:$W$4=AC$6)))</f>
        <v/>
      </c>
    </row>
    <row r="41">
      <c r="A41" s="5" t="n">
        <v>35</v>
      </c>
      <c r="B41" s="5">
        <f>IF('학생명단'!B41="","",'학생명단'!B41)</f>
        <v/>
      </c>
      <c r="C41" s="17">
        <f>IF('학생명단'!C41="","",'학생명단'!C41)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10">
        <f>IF(COUNTA(D41:W41)=0,"",SUMPRODUCT((D41:W41=$D$2:$W$2)*(D41:W41&lt;&gt;"")))</f>
        <v/>
      </c>
      <c r="Y41" s="27">
        <f>IF(COUNTA(D41:W41)=0,"",SUMPRODUCT((D41:W41=$D$2:$W$2)*(D41:W41&lt;&gt;"")*$D$3:$W$3))</f>
        <v/>
      </c>
      <c r="Z41" s="10">
        <f>IF($Y41="","",SUMPRODUCT(($D41:$W41=$D$2:$W$2)*($D41:$W41&lt;&gt;"")*$D$3:$W$3*($D$4:$W$4=Z$6)))</f>
        <v/>
      </c>
      <c r="AA41" s="10">
        <f>IF($Y41="","",SUMPRODUCT(($D41:$W41=$D$2:$W$2)*($D41:$W41&lt;&gt;"")*$D$3:$W$3*($D$4:$W$4=AA$6)))</f>
        <v/>
      </c>
      <c r="AB41" s="10">
        <f>IF($Y41="","",SUMPRODUCT(($D41:$W41=$D$2:$W$2)*($D41:$W41&lt;&gt;"")*$D$3:$W$3*($D$4:$W$4=AB$6)))</f>
        <v/>
      </c>
      <c r="AC41" s="10">
        <f>IF($Y41="","",SUMPRODUCT(($D41:$W41=$D$2:$W$2)*($D41:$W41&lt;&gt;"")*$D$3:$W$3*($D$4:$W$4=AC$6)))</f>
        <v/>
      </c>
    </row>
    <row r="42">
      <c r="A42" s="5" t="n">
        <v>36</v>
      </c>
      <c r="B42" s="5">
        <f>IF('학생명단'!B42="","",'학생명단'!B42)</f>
        <v/>
      </c>
      <c r="C42" s="17">
        <f>IF('학생명단'!C42="","",'학생명단'!C42)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10">
        <f>IF(COUNTA(D42:W42)=0,"",SUMPRODUCT((D42:W42=$D$2:$W$2)*(D42:W42&lt;&gt;"")))</f>
        <v/>
      </c>
      <c r="Y42" s="27">
        <f>IF(COUNTA(D42:W42)=0,"",SUMPRODUCT((D42:W42=$D$2:$W$2)*(D42:W42&lt;&gt;"")*$D$3:$W$3))</f>
        <v/>
      </c>
      <c r="Z42" s="10">
        <f>IF($Y42="","",SUMPRODUCT(($D42:$W42=$D$2:$W$2)*($D42:$W42&lt;&gt;"")*$D$3:$W$3*($D$4:$W$4=Z$6)))</f>
        <v/>
      </c>
      <c r="AA42" s="10">
        <f>IF($Y42="","",SUMPRODUCT(($D42:$W42=$D$2:$W$2)*($D42:$W42&lt;&gt;"")*$D$3:$W$3*($D$4:$W$4=AA$6)))</f>
        <v/>
      </c>
      <c r="AB42" s="10">
        <f>IF($Y42="","",SUMPRODUCT(($D42:$W42=$D$2:$W$2)*($D42:$W42&lt;&gt;"")*$D$3:$W$3*($D$4:$W$4=AB$6)))</f>
        <v/>
      </c>
      <c r="AC42" s="10">
        <f>IF($Y42="","",SUMPRODUCT(($D42:$W42=$D$2:$W$2)*($D42:$W42&lt;&gt;"")*$D$3:$W$3*($D$4:$W$4=AC$6)))</f>
        <v/>
      </c>
    </row>
    <row r="43">
      <c r="A43" s="5" t="n">
        <v>37</v>
      </c>
      <c r="B43" s="5">
        <f>IF('학생명단'!B43="","",'학생명단'!B43)</f>
        <v/>
      </c>
      <c r="C43" s="17">
        <f>IF('학생명단'!C43="","",'학생명단'!C43)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10">
        <f>IF(COUNTA(D43:W43)=0,"",SUMPRODUCT((D43:W43=$D$2:$W$2)*(D43:W43&lt;&gt;"")))</f>
        <v/>
      </c>
      <c r="Y43" s="27">
        <f>IF(COUNTA(D43:W43)=0,"",SUMPRODUCT((D43:W43=$D$2:$W$2)*(D43:W43&lt;&gt;"")*$D$3:$W$3))</f>
        <v/>
      </c>
      <c r="Z43" s="10">
        <f>IF($Y43="","",SUMPRODUCT(($D43:$W43=$D$2:$W$2)*($D43:$W43&lt;&gt;"")*$D$3:$W$3*($D$4:$W$4=Z$6)))</f>
        <v/>
      </c>
      <c r="AA43" s="10">
        <f>IF($Y43="","",SUMPRODUCT(($D43:$W43=$D$2:$W$2)*($D43:$W43&lt;&gt;"")*$D$3:$W$3*($D$4:$W$4=AA$6)))</f>
        <v/>
      </c>
      <c r="AB43" s="10">
        <f>IF($Y43="","",SUMPRODUCT(($D43:$W43=$D$2:$W$2)*($D43:$W43&lt;&gt;"")*$D$3:$W$3*($D$4:$W$4=AB$6)))</f>
        <v/>
      </c>
      <c r="AC43" s="10">
        <f>IF($Y43="","",SUMPRODUCT(($D43:$W43=$D$2:$W$2)*($D43:$W43&lt;&gt;"")*$D$3:$W$3*($D$4:$W$4=AC$6)))</f>
        <v/>
      </c>
    </row>
    <row r="44">
      <c r="A44" s="5" t="n">
        <v>38</v>
      </c>
      <c r="B44" s="5">
        <f>IF('학생명단'!B44="","",'학생명단'!B44)</f>
        <v/>
      </c>
      <c r="C44" s="17">
        <f>IF('학생명단'!C44="","",'학생명단'!C44)</f>
        <v/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10">
        <f>IF(COUNTA(D44:W44)=0,"",SUMPRODUCT((D44:W44=$D$2:$W$2)*(D44:W44&lt;&gt;"")))</f>
        <v/>
      </c>
      <c r="Y44" s="27">
        <f>IF(COUNTA(D44:W44)=0,"",SUMPRODUCT((D44:W44=$D$2:$W$2)*(D44:W44&lt;&gt;"")*$D$3:$W$3))</f>
        <v/>
      </c>
      <c r="Z44" s="10">
        <f>IF($Y44="","",SUMPRODUCT(($D44:$W44=$D$2:$W$2)*($D44:$W44&lt;&gt;"")*$D$3:$W$3*($D$4:$W$4=Z$6)))</f>
        <v/>
      </c>
      <c r="AA44" s="10">
        <f>IF($Y44="","",SUMPRODUCT(($D44:$W44=$D$2:$W$2)*($D44:$W44&lt;&gt;"")*$D$3:$W$3*($D$4:$W$4=AA$6)))</f>
        <v/>
      </c>
      <c r="AB44" s="10">
        <f>IF($Y44="","",SUMPRODUCT(($D44:$W44=$D$2:$W$2)*($D44:$W44&lt;&gt;"")*$D$3:$W$3*($D$4:$W$4=AB$6)))</f>
        <v/>
      </c>
      <c r="AC44" s="10">
        <f>IF($Y44="","",SUMPRODUCT(($D44:$W44=$D$2:$W$2)*($D44:$W44&lt;&gt;"")*$D$3:$W$3*($D$4:$W$4=AC$6)))</f>
        <v/>
      </c>
    </row>
    <row r="45">
      <c r="A45" s="5" t="n">
        <v>39</v>
      </c>
      <c r="B45" s="5">
        <f>IF('학생명단'!B45="","",'학생명단'!B45)</f>
        <v/>
      </c>
      <c r="C45" s="17">
        <f>IF('학생명단'!C45="","",'학생명단'!C45)</f>
        <v/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10">
        <f>IF(COUNTA(D45:W45)=0,"",SUMPRODUCT((D45:W45=$D$2:$W$2)*(D45:W45&lt;&gt;"")))</f>
        <v/>
      </c>
      <c r="Y45" s="27">
        <f>IF(COUNTA(D45:W45)=0,"",SUMPRODUCT((D45:W45=$D$2:$W$2)*(D45:W45&lt;&gt;"")*$D$3:$W$3))</f>
        <v/>
      </c>
      <c r="Z45" s="10">
        <f>IF($Y45="","",SUMPRODUCT(($D45:$W45=$D$2:$W$2)*($D45:$W45&lt;&gt;"")*$D$3:$W$3*($D$4:$W$4=Z$6)))</f>
        <v/>
      </c>
      <c r="AA45" s="10">
        <f>IF($Y45="","",SUMPRODUCT(($D45:$W45=$D$2:$W$2)*($D45:$W45&lt;&gt;"")*$D$3:$W$3*($D$4:$W$4=AA$6)))</f>
        <v/>
      </c>
      <c r="AB45" s="10">
        <f>IF($Y45="","",SUMPRODUCT(($D45:$W45=$D$2:$W$2)*($D45:$W45&lt;&gt;"")*$D$3:$W$3*($D$4:$W$4=AB$6)))</f>
        <v/>
      </c>
      <c r="AC45" s="10">
        <f>IF($Y45="","",SUMPRODUCT(($D45:$W45=$D$2:$W$2)*($D45:$W45&lt;&gt;"")*$D$3:$W$3*($D$4:$W$4=AC$6)))</f>
        <v/>
      </c>
    </row>
    <row r="46">
      <c r="A46" s="5" t="n">
        <v>40</v>
      </c>
      <c r="B46" s="5">
        <f>IF('학생명단'!B46="","",'학생명단'!B46)</f>
        <v/>
      </c>
      <c r="C46" s="17">
        <f>IF('학생명단'!C46="","",'학생명단'!C46)</f>
        <v/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10">
        <f>IF(COUNTA(D46:W46)=0,"",SUMPRODUCT((D46:W46=$D$2:$W$2)*(D46:W46&lt;&gt;"")))</f>
        <v/>
      </c>
      <c r="Y46" s="27">
        <f>IF(COUNTA(D46:W46)=0,"",SUMPRODUCT((D46:W46=$D$2:$W$2)*(D46:W46&lt;&gt;"")*$D$3:$W$3))</f>
        <v/>
      </c>
      <c r="Z46" s="10">
        <f>IF($Y46="","",SUMPRODUCT(($D46:$W46=$D$2:$W$2)*($D46:$W46&lt;&gt;"")*$D$3:$W$3*($D$4:$W$4=Z$6)))</f>
        <v/>
      </c>
      <c r="AA46" s="10">
        <f>IF($Y46="","",SUMPRODUCT(($D46:$W46=$D$2:$W$2)*($D46:$W46&lt;&gt;"")*$D$3:$W$3*($D$4:$W$4=AA$6)))</f>
        <v/>
      </c>
      <c r="AB46" s="10">
        <f>IF($Y46="","",SUMPRODUCT(($D46:$W46=$D$2:$W$2)*($D46:$W46&lt;&gt;"")*$D$3:$W$3*($D$4:$W$4=AB$6)))</f>
        <v/>
      </c>
      <c r="AC46" s="10">
        <f>IF($Y46="","",SUMPRODUCT(($D46:$W46=$D$2:$W$2)*($D46:$W46&lt;&gt;"")*$D$3:$W$3*($D$4:$W$4=AC$6)))</f>
        <v/>
      </c>
    </row>
    <row r="47">
      <c r="A47" s="5" t="n">
        <v>41</v>
      </c>
      <c r="B47" s="5">
        <f>IF('학생명단'!B47="","",'학생명단'!B47)</f>
        <v/>
      </c>
      <c r="C47" s="17">
        <f>IF('학생명단'!C47="","",'학생명단'!C47)</f>
        <v/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10">
        <f>IF(COUNTA(D47:W47)=0,"",SUMPRODUCT((D47:W47=$D$2:$W$2)*(D47:W47&lt;&gt;"")))</f>
        <v/>
      </c>
      <c r="Y47" s="27">
        <f>IF(COUNTA(D47:W47)=0,"",SUMPRODUCT((D47:W47=$D$2:$W$2)*(D47:W47&lt;&gt;"")*$D$3:$W$3))</f>
        <v/>
      </c>
      <c r="Z47" s="10">
        <f>IF($Y47="","",SUMPRODUCT(($D47:$W47=$D$2:$W$2)*($D47:$W47&lt;&gt;"")*$D$3:$W$3*($D$4:$W$4=Z$6)))</f>
        <v/>
      </c>
      <c r="AA47" s="10">
        <f>IF($Y47="","",SUMPRODUCT(($D47:$W47=$D$2:$W$2)*($D47:$W47&lt;&gt;"")*$D$3:$W$3*($D$4:$W$4=AA$6)))</f>
        <v/>
      </c>
      <c r="AB47" s="10">
        <f>IF($Y47="","",SUMPRODUCT(($D47:$W47=$D$2:$W$2)*($D47:$W47&lt;&gt;"")*$D$3:$W$3*($D$4:$W$4=AB$6)))</f>
        <v/>
      </c>
      <c r="AC47" s="10">
        <f>IF($Y47="","",SUMPRODUCT(($D47:$W47=$D$2:$W$2)*($D47:$W47&lt;&gt;"")*$D$3:$W$3*($D$4:$W$4=AC$6)))</f>
        <v/>
      </c>
    </row>
    <row r="48">
      <c r="A48" s="5" t="n">
        <v>42</v>
      </c>
      <c r="B48" s="5">
        <f>IF('학생명단'!B48="","",'학생명단'!B48)</f>
        <v/>
      </c>
      <c r="C48" s="17">
        <f>IF('학생명단'!C48="","",'학생명단'!C48)</f>
        <v/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10">
        <f>IF(COUNTA(D48:W48)=0,"",SUMPRODUCT((D48:W48=$D$2:$W$2)*(D48:W48&lt;&gt;"")))</f>
        <v/>
      </c>
      <c r="Y48" s="27">
        <f>IF(COUNTA(D48:W48)=0,"",SUMPRODUCT((D48:W48=$D$2:$W$2)*(D48:W48&lt;&gt;"")*$D$3:$W$3))</f>
        <v/>
      </c>
      <c r="Z48" s="10">
        <f>IF($Y48="","",SUMPRODUCT(($D48:$W48=$D$2:$W$2)*($D48:$W48&lt;&gt;"")*$D$3:$W$3*($D$4:$W$4=Z$6)))</f>
        <v/>
      </c>
      <c r="AA48" s="10">
        <f>IF($Y48="","",SUMPRODUCT(($D48:$W48=$D$2:$W$2)*($D48:$W48&lt;&gt;"")*$D$3:$W$3*($D$4:$W$4=AA$6)))</f>
        <v/>
      </c>
      <c r="AB48" s="10">
        <f>IF($Y48="","",SUMPRODUCT(($D48:$W48=$D$2:$W$2)*($D48:$W48&lt;&gt;"")*$D$3:$W$3*($D$4:$W$4=AB$6)))</f>
        <v/>
      </c>
      <c r="AC48" s="10">
        <f>IF($Y48="","",SUMPRODUCT(($D48:$W48=$D$2:$W$2)*($D48:$W48&lt;&gt;"")*$D$3:$W$3*($D$4:$W$4=AC$6)))</f>
        <v/>
      </c>
    </row>
    <row r="49">
      <c r="A49" s="5" t="n">
        <v>43</v>
      </c>
      <c r="B49" s="5">
        <f>IF('학생명단'!B49="","",'학생명단'!B49)</f>
        <v/>
      </c>
      <c r="C49" s="17">
        <f>IF('학생명단'!C49="","",'학생명단'!C49)</f>
        <v/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10">
        <f>IF(COUNTA(D49:W49)=0,"",SUMPRODUCT((D49:W49=$D$2:$W$2)*(D49:W49&lt;&gt;"")))</f>
        <v/>
      </c>
      <c r="Y49" s="27">
        <f>IF(COUNTA(D49:W49)=0,"",SUMPRODUCT((D49:W49=$D$2:$W$2)*(D49:W49&lt;&gt;"")*$D$3:$W$3))</f>
        <v/>
      </c>
      <c r="Z49" s="10">
        <f>IF($Y49="","",SUMPRODUCT(($D49:$W49=$D$2:$W$2)*($D49:$W49&lt;&gt;"")*$D$3:$W$3*($D$4:$W$4=Z$6)))</f>
        <v/>
      </c>
      <c r="AA49" s="10">
        <f>IF($Y49="","",SUMPRODUCT(($D49:$W49=$D$2:$W$2)*($D49:$W49&lt;&gt;"")*$D$3:$W$3*($D$4:$W$4=AA$6)))</f>
        <v/>
      </c>
      <c r="AB49" s="10">
        <f>IF($Y49="","",SUMPRODUCT(($D49:$W49=$D$2:$W$2)*($D49:$W49&lt;&gt;"")*$D$3:$W$3*($D$4:$W$4=AB$6)))</f>
        <v/>
      </c>
      <c r="AC49" s="10">
        <f>IF($Y49="","",SUMPRODUCT(($D49:$W49=$D$2:$W$2)*($D49:$W49&lt;&gt;"")*$D$3:$W$3*($D$4:$W$4=AC$6)))</f>
        <v/>
      </c>
    </row>
    <row r="50">
      <c r="A50" s="5" t="n">
        <v>44</v>
      </c>
      <c r="B50" s="5">
        <f>IF('학생명단'!B50="","",'학생명단'!B50)</f>
        <v/>
      </c>
      <c r="C50" s="17">
        <f>IF('학생명단'!C50="","",'학생명단'!C50)</f>
        <v/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10">
        <f>IF(COUNTA(D50:W50)=0,"",SUMPRODUCT((D50:W50=$D$2:$W$2)*(D50:W50&lt;&gt;"")))</f>
        <v/>
      </c>
      <c r="Y50" s="27">
        <f>IF(COUNTA(D50:W50)=0,"",SUMPRODUCT((D50:W50=$D$2:$W$2)*(D50:W50&lt;&gt;"")*$D$3:$W$3))</f>
        <v/>
      </c>
      <c r="Z50" s="10">
        <f>IF($Y50="","",SUMPRODUCT(($D50:$W50=$D$2:$W$2)*($D50:$W50&lt;&gt;"")*$D$3:$W$3*($D$4:$W$4=Z$6)))</f>
        <v/>
      </c>
      <c r="AA50" s="10">
        <f>IF($Y50="","",SUMPRODUCT(($D50:$W50=$D$2:$W$2)*($D50:$W50&lt;&gt;"")*$D$3:$W$3*($D$4:$W$4=AA$6)))</f>
        <v/>
      </c>
      <c r="AB50" s="10">
        <f>IF($Y50="","",SUMPRODUCT(($D50:$W50=$D$2:$W$2)*($D50:$W50&lt;&gt;"")*$D$3:$W$3*($D$4:$W$4=AB$6)))</f>
        <v/>
      </c>
      <c r="AC50" s="10">
        <f>IF($Y50="","",SUMPRODUCT(($D50:$W50=$D$2:$W$2)*($D50:$W50&lt;&gt;"")*$D$3:$W$3*($D$4:$W$4=AC$6)))</f>
        <v/>
      </c>
    </row>
    <row r="51">
      <c r="A51" s="5" t="n">
        <v>45</v>
      </c>
      <c r="B51" s="5">
        <f>IF('학생명단'!B51="","",'학생명단'!B51)</f>
        <v/>
      </c>
      <c r="C51" s="17">
        <f>IF('학생명단'!C51="","",'학생명단'!C51)</f>
        <v/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10">
        <f>IF(COUNTA(D51:W51)=0,"",SUMPRODUCT((D51:W51=$D$2:$W$2)*(D51:W51&lt;&gt;"")))</f>
        <v/>
      </c>
      <c r="Y51" s="27">
        <f>IF(COUNTA(D51:W51)=0,"",SUMPRODUCT((D51:W51=$D$2:$W$2)*(D51:W51&lt;&gt;"")*$D$3:$W$3))</f>
        <v/>
      </c>
      <c r="Z51" s="10">
        <f>IF($Y51="","",SUMPRODUCT(($D51:$W51=$D$2:$W$2)*($D51:$W51&lt;&gt;"")*$D$3:$W$3*($D$4:$W$4=Z$6)))</f>
        <v/>
      </c>
      <c r="AA51" s="10">
        <f>IF($Y51="","",SUMPRODUCT(($D51:$W51=$D$2:$W$2)*($D51:$W51&lt;&gt;"")*$D$3:$W$3*($D$4:$W$4=AA$6)))</f>
        <v/>
      </c>
      <c r="AB51" s="10">
        <f>IF($Y51="","",SUMPRODUCT(($D51:$W51=$D$2:$W$2)*($D51:$W51&lt;&gt;"")*$D$3:$W$3*($D$4:$W$4=AB$6)))</f>
        <v/>
      </c>
      <c r="AC51" s="10">
        <f>IF($Y51="","",SUMPRODUCT(($D51:$W51=$D$2:$W$2)*($D51:$W51&lt;&gt;"")*$D$3:$W$3*($D$4:$W$4=AC$6)))</f>
        <v/>
      </c>
    </row>
    <row r="52">
      <c r="A52" s="5" t="n">
        <v>46</v>
      </c>
      <c r="B52" s="5">
        <f>IF('학생명단'!B52="","",'학생명단'!B52)</f>
        <v/>
      </c>
      <c r="C52" s="17">
        <f>IF('학생명단'!C52="","",'학생명단'!C52)</f>
        <v/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10">
        <f>IF(COUNTA(D52:W52)=0,"",SUMPRODUCT((D52:W52=$D$2:$W$2)*(D52:W52&lt;&gt;"")))</f>
        <v/>
      </c>
      <c r="Y52" s="27">
        <f>IF(COUNTA(D52:W52)=0,"",SUMPRODUCT((D52:W52=$D$2:$W$2)*(D52:W52&lt;&gt;"")*$D$3:$W$3))</f>
        <v/>
      </c>
      <c r="Z52" s="10">
        <f>IF($Y52="","",SUMPRODUCT(($D52:$W52=$D$2:$W$2)*($D52:$W52&lt;&gt;"")*$D$3:$W$3*($D$4:$W$4=Z$6)))</f>
        <v/>
      </c>
      <c r="AA52" s="10">
        <f>IF($Y52="","",SUMPRODUCT(($D52:$W52=$D$2:$W$2)*($D52:$W52&lt;&gt;"")*$D$3:$W$3*($D$4:$W$4=AA$6)))</f>
        <v/>
      </c>
      <c r="AB52" s="10">
        <f>IF($Y52="","",SUMPRODUCT(($D52:$W52=$D$2:$W$2)*($D52:$W52&lt;&gt;"")*$D$3:$W$3*($D$4:$W$4=AB$6)))</f>
        <v/>
      </c>
      <c r="AC52" s="10">
        <f>IF($Y52="","",SUMPRODUCT(($D52:$W52=$D$2:$W$2)*($D52:$W52&lt;&gt;"")*$D$3:$W$3*($D$4:$W$4=AC$6)))</f>
        <v/>
      </c>
    </row>
    <row r="53">
      <c r="A53" s="5" t="n">
        <v>47</v>
      </c>
      <c r="B53" s="5">
        <f>IF('학생명단'!B53="","",'학생명단'!B53)</f>
        <v/>
      </c>
      <c r="C53" s="17">
        <f>IF('학생명단'!C53="","",'학생명단'!C53)</f>
        <v/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10">
        <f>IF(COUNTA(D53:W53)=0,"",SUMPRODUCT((D53:W53=$D$2:$W$2)*(D53:W53&lt;&gt;"")))</f>
        <v/>
      </c>
      <c r="Y53" s="27">
        <f>IF(COUNTA(D53:W53)=0,"",SUMPRODUCT((D53:W53=$D$2:$W$2)*(D53:W53&lt;&gt;"")*$D$3:$W$3))</f>
        <v/>
      </c>
      <c r="Z53" s="10">
        <f>IF($Y53="","",SUMPRODUCT(($D53:$W53=$D$2:$W$2)*($D53:$W53&lt;&gt;"")*$D$3:$W$3*($D$4:$W$4=Z$6)))</f>
        <v/>
      </c>
      <c r="AA53" s="10">
        <f>IF($Y53="","",SUMPRODUCT(($D53:$W53=$D$2:$W$2)*($D53:$W53&lt;&gt;"")*$D$3:$W$3*($D$4:$W$4=AA$6)))</f>
        <v/>
      </c>
      <c r="AB53" s="10">
        <f>IF($Y53="","",SUMPRODUCT(($D53:$W53=$D$2:$W$2)*($D53:$W53&lt;&gt;"")*$D$3:$W$3*($D$4:$W$4=AB$6)))</f>
        <v/>
      </c>
      <c r="AC53" s="10">
        <f>IF($Y53="","",SUMPRODUCT(($D53:$W53=$D$2:$W$2)*($D53:$W53&lt;&gt;"")*$D$3:$W$3*($D$4:$W$4=AC$6)))</f>
        <v/>
      </c>
    </row>
    <row r="54">
      <c r="A54" s="5" t="n">
        <v>48</v>
      </c>
      <c r="B54" s="5">
        <f>IF('학생명단'!B54="","",'학생명단'!B54)</f>
        <v/>
      </c>
      <c r="C54" s="17">
        <f>IF('학생명단'!C54="","",'학생명단'!C54)</f>
        <v/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10">
        <f>IF(COUNTA(D54:W54)=0,"",SUMPRODUCT((D54:W54=$D$2:$W$2)*(D54:W54&lt;&gt;"")))</f>
        <v/>
      </c>
      <c r="Y54" s="27">
        <f>IF(COUNTA(D54:W54)=0,"",SUMPRODUCT((D54:W54=$D$2:$W$2)*(D54:W54&lt;&gt;"")*$D$3:$W$3))</f>
        <v/>
      </c>
      <c r="Z54" s="10">
        <f>IF($Y54="","",SUMPRODUCT(($D54:$W54=$D$2:$W$2)*($D54:$W54&lt;&gt;"")*$D$3:$W$3*($D$4:$W$4=Z$6)))</f>
        <v/>
      </c>
      <c r="AA54" s="10">
        <f>IF($Y54="","",SUMPRODUCT(($D54:$W54=$D$2:$W$2)*($D54:$W54&lt;&gt;"")*$D$3:$W$3*($D$4:$W$4=AA$6)))</f>
        <v/>
      </c>
      <c r="AB54" s="10">
        <f>IF($Y54="","",SUMPRODUCT(($D54:$W54=$D$2:$W$2)*($D54:$W54&lt;&gt;"")*$D$3:$W$3*($D$4:$W$4=AB$6)))</f>
        <v/>
      </c>
      <c r="AC54" s="10">
        <f>IF($Y54="","",SUMPRODUCT(($D54:$W54=$D$2:$W$2)*($D54:$W54&lt;&gt;"")*$D$3:$W$3*($D$4:$W$4=AC$6)))</f>
        <v/>
      </c>
    </row>
    <row r="55">
      <c r="A55" s="5" t="n">
        <v>49</v>
      </c>
      <c r="B55" s="5">
        <f>IF('학생명단'!B55="","",'학생명단'!B55)</f>
        <v/>
      </c>
      <c r="C55" s="17">
        <f>IF('학생명단'!C55="","",'학생명단'!C55)</f>
        <v/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10">
        <f>IF(COUNTA(D55:W55)=0,"",SUMPRODUCT((D55:W55=$D$2:$W$2)*(D55:W55&lt;&gt;"")))</f>
        <v/>
      </c>
      <c r="Y55" s="27">
        <f>IF(COUNTA(D55:W55)=0,"",SUMPRODUCT((D55:W55=$D$2:$W$2)*(D55:W55&lt;&gt;"")*$D$3:$W$3))</f>
        <v/>
      </c>
      <c r="Z55" s="10">
        <f>IF($Y55="","",SUMPRODUCT(($D55:$W55=$D$2:$W$2)*($D55:$W55&lt;&gt;"")*$D$3:$W$3*($D$4:$W$4=Z$6)))</f>
        <v/>
      </c>
      <c r="AA55" s="10">
        <f>IF($Y55="","",SUMPRODUCT(($D55:$W55=$D$2:$W$2)*($D55:$W55&lt;&gt;"")*$D$3:$W$3*($D$4:$W$4=AA$6)))</f>
        <v/>
      </c>
      <c r="AB55" s="10">
        <f>IF($Y55="","",SUMPRODUCT(($D55:$W55=$D$2:$W$2)*($D55:$W55&lt;&gt;"")*$D$3:$W$3*($D$4:$W$4=AB$6)))</f>
        <v/>
      </c>
      <c r="AC55" s="10">
        <f>IF($Y55="","",SUMPRODUCT(($D55:$W55=$D$2:$W$2)*($D55:$W55&lt;&gt;"")*$D$3:$W$3*($D$4:$W$4=AC$6)))</f>
        <v/>
      </c>
    </row>
    <row r="56">
      <c r="A56" s="5" t="n">
        <v>50</v>
      </c>
      <c r="B56" s="5">
        <f>IF('학생명단'!B56="","",'학생명단'!B56)</f>
        <v/>
      </c>
      <c r="C56" s="17">
        <f>IF('학생명단'!C56="","",'학생명단'!C56)</f>
        <v/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10">
        <f>IF(COUNTA(D56:W56)=0,"",SUMPRODUCT((D56:W56=$D$2:$W$2)*(D56:W56&lt;&gt;"")))</f>
        <v/>
      </c>
      <c r="Y56" s="27">
        <f>IF(COUNTA(D56:W56)=0,"",SUMPRODUCT((D56:W56=$D$2:$W$2)*(D56:W56&lt;&gt;"")*$D$3:$W$3))</f>
        <v/>
      </c>
      <c r="Z56" s="10">
        <f>IF($Y56="","",SUMPRODUCT(($D56:$W56=$D$2:$W$2)*($D56:$W56&lt;&gt;"")*$D$3:$W$3*($D$4:$W$4=Z$6)))</f>
        <v/>
      </c>
      <c r="AA56" s="10">
        <f>IF($Y56="","",SUMPRODUCT(($D56:$W56=$D$2:$W$2)*($D56:$W56&lt;&gt;"")*$D$3:$W$3*($D$4:$W$4=AA$6)))</f>
        <v/>
      </c>
      <c r="AB56" s="10">
        <f>IF($Y56="","",SUMPRODUCT(($D56:$W56=$D$2:$W$2)*($D56:$W56&lt;&gt;"")*$D$3:$W$3*($D$4:$W$4=AB$6)))</f>
        <v/>
      </c>
      <c r="AC56" s="10">
        <f>IF($Y56="","",SUMPRODUCT(($D56:$W56=$D$2:$W$2)*($D56:$W56&lt;&gt;"")*$D$3:$W$3*($D$4:$W$4=AC$6)))</f>
        <v/>
      </c>
    </row>
    <row r="57">
      <c r="A57" s="5" t="n">
        <v>51</v>
      </c>
      <c r="B57" s="5">
        <f>IF('학생명단'!B57="","",'학생명단'!B57)</f>
        <v/>
      </c>
      <c r="C57" s="17">
        <f>IF('학생명단'!C57="","",'학생명단'!C57)</f>
        <v/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10">
        <f>IF(COUNTA(D57:W57)=0,"",SUMPRODUCT((D57:W57=$D$2:$W$2)*(D57:W57&lt;&gt;"")))</f>
        <v/>
      </c>
      <c r="Y57" s="27">
        <f>IF(COUNTA(D57:W57)=0,"",SUMPRODUCT((D57:W57=$D$2:$W$2)*(D57:W57&lt;&gt;"")*$D$3:$W$3))</f>
        <v/>
      </c>
      <c r="Z57" s="10">
        <f>IF($Y57="","",SUMPRODUCT(($D57:$W57=$D$2:$W$2)*($D57:$W57&lt;&gt;"")*$D$3:$W$3*($D$4:$W$4=Z$6)))</f>
        <v/>
      </c>
      <c r="AA57" s="10">
        <f>IF($Y57="","",SUMPRODUCT(($D57:$W57=$D$2:$W$2)*($D57:$W57&lt;&gt;"")*$D$3:$W$3*($D$4:$W$4=AA$6)))</f>
        <v/>
      </c>
      <c r="AB57" s="10">
        <f>IF($Y57="","",SUMPRODUCT(($D57:$W57=$D$2:$W$2)*($D57:$W57&lt;&gt;"")*$D$3:$W$3*($D$4:$W$4=AB$6)))</f>
        <v/>
      </c>
      <c r="AC57" s="10">
        <f>IF($Y57="","",SUMPRODUCT(($D57:$W57=$D$2:$W$2)*($D57:$W57&lt;&gt;"")*$D$3:$W$3*($D$4:$W$4=AC$6)))</f>
        <v/>
      </c>
    </row>
    <row r="58">
      <c r="A58" s="5" t="n">
        <v>52</v>
      </c>
      <c r="B58" s="5">
        <f>IF('학생명단'!B58="","",'학생명단'!B58)</f>
        <v/>
      </c>
      <c r="C58" s="17">
        <f>IF('학생명단'!C58="","",'학생명단'!C58)</f>
        <v/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10">
        <f>IF(COUNTA(D58:W58)=0,"",SUMPRODUCT((D58:W58=$D$2:$W$2)*(D58:W58&lt;&gt;"")))</f>
        <v/>
      </c>
      <c r="Y58" s="27">
        <f>IF(COUNTA(D58:W58)=0,"",SUMPRODUCT((D58:W58=$D$2:$W$2)*(D58:W58&lt;&gt;"")*$D$3:$W$3))</f>
        <v/>
      </c>
      <c r="Z58" s="10">
        <f>IF($Y58="","",SUMPRODUCT(($D58:$W58=$D$2:$W$2)*($D58:$W58&lt;&gt;"")*$D$3:$W$3*($D$4:$W$4=Z$6)))</f>
        <v/>
      </c>
      <c r="AA58" s="10">
        <f>IF($Y58="","",SUMPRODUCT(($D58:$W58=$D$2:$W$2)*($D58:$W58&lt;&gt;"")*$D$3:$W$3*($D$4:$W$4=AA$6)))</f>
        <v/>
      </c>
      <c r="AB58" s="10">
        <f>IF($Y58="","",SUMPRODUCT(($D58:$W58=$D$2:$W$2)*($D58:$W58&lt;&gt;"")*$D$3:$W$3*($D$4:$W$4=AB$6)))</f>
        <v/>
      </c>
      <c r="AC58" s="10">
        <f>IF($Y58="","",SUMPRODUCT(($D58:$W58=$D$2:$W$2)*($D58:$W58&lt;&gt;"")*$D$3:$W$3*($D$4:$W$4=AC$6)))</f>
        <v/>
      </c>
    </row>
    <row r="59">
      <c r="A59" s="5" t="n">
        <v>53</v>
      </c>
      <c r="B59" s="5">
        <f>IF('학생명단'!B59="","",'학생명단'!B59)</f>
        <v/>
      </c>
      <c r="C59" s="17">
        <f>IF('학생명단'!C59="","",'학생명단'!C59)</f>
        <v/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10">
        <f>IF(COUNTA(D59:W59)=0,"",SUMPRODUCT((D59:W59=$D$2:$W$2)*(D59:W59&lt;&gt;"")))</f>
        <v/>
      </c>
      <c r="Y59" s="27">
        <f>IF(COUNTA(D59:W59)=0,"",SUMPRODUCT((D59:W59=$D$2:$W$2)*(D59:W59&lt;&gt;"")*$D$3:$W$3))</f>
        <v/>
      </c>
      <c r="Z59" s="10">
        <f>IF($Y59="","",SUMPRODUCT(($D59:$W59=$D$2:$W$2)*($D59:$W59&lt;&gt;"")*$D$3:$W$3*($D$4:$W$4=Z$6)))</f>
        <v/>
      </c>
      <c r="AA59" s="10">
        <f>IF($Y59="","",SUMPRODUCT(($D59:$W59=$D$2:$W$2)*($D59:$W59&lt;&gt;"")*$D$3:$W$3*($D$4:$W$4=AA$6)))</f>
        <v/>
      </c>
      <c r="AB59" s="10">
        <f>IF($Y59="","",SUMPRODUCT(($D59:$W59=$D$2:$W$2)*($D59:$W59&lt;&gt;"")*$D$3:$W$3*($D$4:$W$4=AB$6)))</f>
        <v/>
      </c>
      <c r="AC59" s="10">
        <f>IF($Y59="","",SUMPRODUCT(($D59:$W59=$D$2:$W$2)*($D59:$W59&lt;&gt;"")*$D$3:$W$3*($D$4:$W$4=AC$6)))</f>
        <v/>
      </c>
    </row>
    <row r="60">
      <c r="A60" s="5" t="n">
        <v>54</v>
      </c>
      <c r="B60" s="5">
        <f>IF('학생명단'!B60="","",'학생명단'!B60)</f>
        <v/>
      </c>
      <c r="C60" s="17">
        <f>IF('학생명단'!C60="","",'학생명단'!C60)</f>
        <v/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10">
        <f>IF(COUNTA(D60:W60)=0,"",SUMPRODUCT((D60:W60=$D$2:$W$2)*(D60:W60&lt;&gt;"")))</f>
        <v/>
      </c>
      <c r="Y60" s="27">
        <f>IF(COUNTA(D60:W60)=0,"",SUMPRODUCT((D60:W60=$D$2:$W$2)*(D60:W60&lt;&gt;"")*$D$3:$W$3))</f>
        <v/>
      </c>
      <c r="Z60" s="10">
        <f>IF($Y60="","",SUMPRODUCT(($D60:$W60=$D$2:$W$2)*($D60:$W60&lt;&gt;"")*$D$3:$W$3*($D$4:$W$4=Z$6)))</f>
        <v/>
      </c>
      <c r="AA60" s="10">
        <f>IF($Y60="","",SUMPRODUCT(($D60:$W60=$D$2:$W$2)*($D60:$W60&lt;&gt;"")*$D$3:$W$3*($D$4:$W$4=AA$6)))</f>
        <v/>
      </c>
      <c r="AB60" s="10">
        <f>IF($Y60="","",SUMPRODUCT(($D60:$W60=$D$2:$W$2)*($D60:$W60&lt;&gt;"")*$D$3:$W$3*($D$4:$W$4=AB$6)))</f>
        <v/>
      </c>
      <c r="AC60" s="10">
        <f>IF($Y60="","",SUMPRODUCT(($D60:$W60=$D$2:$W$2)*($D60:$W60&lt;&gt;"")*$D$3:$W$3*($D$4:$W$4=AC$6)))</f>
        <v/>
      </c>
    </row>
    <row r="61">
      <c r="A61" s="5" t="n">
        <v>55</v>
      </c>
      <c r="B61" s="5">
        <f>IF('학생명단'!B61="","",'학생명단'!B61)</f>
        <v/>
      </c>
      <c r="C61" s="17">
        <f>IF('학생명단'!C61="","",'학생명단'!C61)</f>
        <v/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10">
        <f>IF(COUNTA(D61:W61)=0,"",SUMPRODUCT((D61:W61=$D$2:$W$2)*(D61:W61&lt;&gt;"")))</f>
        <v/>
      </c>
      <c r="Y61" s="27">
        <f>IF(COUNTA(D61:W61)=0,"",SUMPRODUCT((D61:W61=$D$2:$W$2)*(D61:W61&lt;&gt;"")*$D$3:$W$3))</f>
        <v/>
      </c>
      <c r="Z61" s="10">
        <f>IF($Y61="","",SUMPRODUCT(($D61:$W61=$D$2:$W$2)*($D61:$W61&lt;&gt;"")*$D$3:$W$3*($D$4:$W$4=Z$6)))</f>
        <v/>
      </c>
      <c r="AA61" s="10">
        <f>IF($Y61="","",SUMPRODUCT(($D61:$W61=$D$2:$W$2)*($D61:$W61&lt;&gt;"")*$D$3:$W$3*($D$4:$W$4=AA$6)))</f>
        <v/>
      </c>
      <c r="AB61" s="10">
        <f>IF($Y61="","",SUMPRODUCT(($D61:$W61=$D$2:$W$2)*($D61:$W61&lt;&gt;"")*$D$3:$W$3*($D$4:$W$4=AB$6)))</f>
        <v/>
      </c>
      <c r="AC61" s="10">
        <f>IF($Y61="","",SUMPRODUCT(($D61:$W61=$D$2:$W$2)*($D61:$W61&lt;&gt;"")*$D$3:$W$3*($D$4:$W$4=AC$6)))</f>
        <v/>
      </c>
    </row>
    <row r="62">
      <c r="A62" s="5" t="n">
        <v>56</v>
      </c>
      <c r="B62" s="5">
        <f>IF('학생명단'!B62="","",'학생명단'!B62)</f>
        <v/>
      </c>
      <c r="C62" s="17">
        <f>IF('학생명단'!C62="","",'학생명단'!C62)</f>
        <v/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10">
        <f>IF(COUNTA(D62:W62)=0,"",SUMPRODUCT((D62:W62=$D$2:$W$2)*(D62:W62&lt;&gt;"")))</f>
        <v/>
      </c>
      <c r="Y62" s="27">
        <f>IF(COUNTA(D62:W62)=0,"",SUMPRODUCT((D62:W62=$D$2:$W$2)*(D62:W62&lt;&gt;"")*$D$3:$W$3))</f>
        <v/>
      </c>
      <c r="Z62" s="10">
        <f>IF($Y62="","",SUMPRODUCT(($D62:$W62=$D$2:$W$2)*($D62:$W62&lt;&gt;"")*$D$3:$W$3*($D$4:$W$4=Z$6)))</f>
        <v/>
      </c>
      <c r="AA62" s="10">
        <f>IF($Y62="","",SUMPRODUCT(($D62:$W62=$D$2:$W$2)*($D62:$W62&lt;&gt;"")*$D$3:$W$3*($D$4:$W$4=AA$6)))</f>
        <v/>
      </c>
      <c r="AB62" s="10">
        <f>IF($Y62="","",SUMPRODUCT(($D62:$W62=$D$2:$W$2)*($D62:$W62&lt;&gt;"")*$D$3:$W$3*($D$4:$W$4=AB$6)))</f>
        <v/>
      </c>
      <c r="AC62" s="10">
        <f>IF($Y62="","",SUMPRODUCT(($D62:$W62=$D$2:$W$2)*($D62:$W62&lt;&gt;"")*$D$3:$W$3*($D$4:$W$4=AC$6)))</f>
        <v/>
      </c>
    </row>
    <row r="63">
      <c r="A63" s="5" t="n">
        <v>57</v>
      </c>
      <c r="B63" s="5">
        <f>IF('학생명단'!B63="","",'학생명단'!B63)</f>
        <v/>
      </c>
      <c r="C63" s="17">
        <f>IF('학생명단'!C63="","",'학생명단'!C63)</f>
        <v/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10">
        <f>IF(COUNTA(D63:W63)=0,"",SUMPRODUCT((D63:W63=$D$2:$W$2)*(D63:W63&lt;&gt;"")))</f>
        <v/>
      </c>
      <c r="Y63" s="27">
        <f>IF(COUNTA(D63:W63)=0,"",SUMPRODUCT((D63:W63=$D$2:$W$2)*(D63:W63&lt;&gt;"")*$D$3:$W$3))</f>
        <v/>
      </c>
      <c r="Z63" s="10">
        <f>IF($Y63="","",SUMPRODUCT(($D63:$W63=$D$2:$W$2)*($D63:$W63&lt;&gt;"")*$D$3:$W$3*($D$4:$W$4=Z$6)))</f>
        <v/>
      </c>
      <c r="AA63" s="10">
        <f>IF($Y63="","",SUMPRODUCT(($D63:$W63=$D$2:$W$2)*($D63:$W63&lt;&gt;"")*$D$3:$W$3*($D$4:$W$4=AA$6)))</f>
        <v/>
      </c>
      <c r="AB63" s="10">
        <f>IF($Y63="","",SUMPRODUCT(($D63:$W63=$D$2:$W$2)*($D63:$W63&lt;&gt;"")*$D$3:$W$3*($D$4:$W$4=AB$6)))</f>
        <v/>
      </c>
      <c r="AC63" s="10">
        <f>IF($Y63="","",SUMPRODUCT(($D63:$W63=$D$2:$W$2)*($D63:$W63&lt;&gt;"")*$D$3:$W$3*($D$4:$W$4=AC$6)))</f>
        <v/>
      </c>
    </row>
    <row r="64">
      <c r="A64" s="5" t="n">
        <v>58</v>
      </c>
      <c r="B64" s="5">
        <f>IF('학생명단'!B64="","",'학생명단'!B64)</f>
        <v/>
      </c>
      <c r="C64" s="17">
        <f>IF('학생명단'!C64="","",'학생명단'!C64)</f>
        <v/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10">
        <f>IF(COUNTA(D64:W64)=0,"",SUMPRODUCT((D64:W64=$D$2:$W$2)*(D64:W64&lt;&gt;"")))</f>
        <v/>
      </c>
      <c r="Y64" s="27">
        <f>IF(COUNTA(D64:W64)=0,"",SUMPRODUCT((D64:W64=$D$2:$W$2)*(D64:W64&lt;&gt;"")*$D$3:$W$3))</f>
        <v/>
      </c>
      <c r="Z64" s="10">
        <f>IF($Y64="","",SUMPRODUCT(($D64:$W64=$D$2:$W$2)*($D64:$W64&lt;&gt;"")*$D$3:$W$3*($D$4:$W$4=Z$6)))</f>
        <v/>
      </c>
      <c r="AA64" s="10">
        <f>IF($Y64="","",SUMPRODUCT(($D64:$W64=$D$2:$W$2)*($D64:$W64&lt;&gt;"")*$D$3:$W$3*($D$4:$W$4=AA$6)))</f>
        <v/>
      </c>
      <c r="AB64" s="10">
        <f>IF($Y64="","",SUMPRODUCT(($D64:$W64=$D$2:$W$2)*($D64:$W64&lt;&gt;"")*$D$3:$W$3*($D$4:$W$4=AB$6)))</f>
        <v/>
      </c>
      <c r="AC64" s="10">
        <f>IF($Y64="","",SUMPRODUCT(($D64:$W64=$D$2:$W$2)*($D64:$W64&lt;&gt;"")*$D$3:$W$3*($D$4:$W$4=AC$6)))</f>
        <v/>
      </c>
    </row>
    <row r="65">
      <c r="A65" s="5" t="n">
        <v>59</v>
      </c>
      <c r="B65" s="5">
        <f>IF('학생명단'!B65="","",'학생명단'!B65)</f>
        <v/>
      </c>
      <c r="C65" s="17">
        <f>IF('학생명단'!C65="","",'학생명단'!C65)</f>
        <v/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10">
        <f>IF(COUNTA(D65:W65)=0,"",SUMPRODUCT((D65:W65=$D$2:$W$2)*(D65:W65&lt;&gt;"")))</f>
        <v/>
      </c>
      <c r="Y65" s="27">
        <f>IF(COUNTA(D65:W65)=0,"",SUMPRODUCT((D65:W65=$D$2:$W$2)*(D65:W65&lt;&gt;"")*$D$3:$W$3))</f>
        <v/>
      </c>
      <c r="Z65" s="10">
        <f>IF($Y65="","",SUMPRODUCT(($D65:$W65=$D$2:$W$2)*($D65:$W65&lt;&gt;"")*$D$3:$W$3*($D$4:$W$4=Z$6)))</f>
        <v/>
      </c>
      <c r="AA65" s="10">
        <f>IF($Y65="","",SUMPRODUCT(($D65:$W65=$D$2:$W$2)*($D65:$W65&lt;&gt;"")*$D$3:$W$3*($D$4:$W$4=AA$6)))</f>
        <v/>
      </c>
      <c r="AB65" s="10">
        <f>IF($Y65="","",SUMPRODUCT(($D65:$W65=$D$2:$W$2)*($D65:$W65&lt;&gt;"")*$D$3:$W$3*($D$4:$W$4=AB$6)))</f>
        <v/>
      </c>
      <c r="AC65" s="10">
        <f>IF($Y65="","",SUMPRODUCT(($D65:$W65=$D$2:$W$2)*($D65:$W65&lt;&gt;"")*$D$3:$W$3*($D$4:$W$4=AC$6)))</f>
        <v/>
      </c>
    </row>
    <row r="66">
      <c r="A66" s="5" t="n">
        <v>60</v>
      </c>
      <c r="B66" s="5">
        <f>IF('학생명단'!B66="","",'학생명단'!B66)</f>
        <v/>
      </c>
      <c r="C66" s="17">
        <f>IF('학생명단'!C66="","",'학생명단'!C66)</f>
        <v/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10">
        <f>IF(COUNTA(D66:W66)=0,"",SUMPRODUCT((D66:W66=$D$2:$W$2)*(D66:W66&lt;&gt;"")))</f>
        <v/>
      </c>
      <c r="Y66" s="27">
        <f>IF(COUNTA(D66:W66)=0,"",SUMPRODUCT((D66:W66=$D$2:$W$2)*(D66:W66&lt;&gt;"")*$D$3:$W$3))</f>
        <v/>
      </c>
      <c r="Z66" s="10">
        <f>IF($Y66="","",SUMPRODUCT(($D66:$W66=$D$2:$W$2)*($D66:$W66&lt;&gt;"")*$D$3:$W$3*($D$4:$W$4=Z$6)))</f>
        <v/>
      </c>
      <c r="AA66" s="10">
        <f>IF($Y66="","",SUMPRODUCT(($D66:$W66=$D$2:$W$2)*($D66:$W66&lt;&gt;"")*$D$3:$W$3*($D$4:$W$4=AA$6)))</f>
        <v/>
      </c>
      <c r="AB66" s="10">
        <f>IF($Y66="","",SUMPRODUCT(($D66:$W66=$D$2:$W$2)*($D66:$W66&lt;&gt;"")*$D$3:$W$3*($D$4:$W$4=AB$6)))</f>
        <v/>
      </c>
      <c r="AC66" s="10">
        <f>IF($Y66="","",SUMPRODUCT(($D66:$W66=$D$2:$W$2)*($D66:$W66&lt;&gt;"")*$D$3:$W$3*($D$4:$W$4=AC$6)))</f>
        <v/>
      </c>
    </row>
    <row r="67">
      <c r="A67" s="5" t="n">
        <v>61</v>
      </c>
      <c r="B67" s="5">
        <f>IF('학생명단'!B67="","",'학생명단'!B67)</f>
        <v/>
      </c>
      <c r="C67" s="17">
        <f>IF('학생명단'!C67="","",'학생명단'!C67)</f>
        <v/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10">
        <f>IF(COUNTA(D67:W67)=0,"",SUMPRODUCT((D67:W67=$D$2:$W$2)*(D67:W67&lt;&gt;"")))</f>
        <v/>
      </c>
      <c r="Y67" s="27">
        <f>IF(COUNTA(D67:W67)=0,"",SUMPRODUCT((D67:W67=$D$2:$W$2)*(D67:W67&lt;&gt;"")*$D$3:$W$3))</f>
        <v/>
      </c>
      <c r="Z67" s="10">
        <f>IF($Y67="","",SUMPRODUCT(($D67:$W67=$D$2:$W$2)*($D67:$W67&lt;&gt;"")*$D$3:$W$3*($D$4:$W$4=Z$6)))</f>
        <v/>
      </c>
      <c r="AA67" s="10">
        <f>IF($Y67="","",SUMPRODUCT(($D67:$W67=$D$2:$W$2)*($D67:$W67&lt;&gt;"")*$D$3:$W$3*($D$4:$W$4=AA$6)))</f>
        <v/>
      </c>
      <c r="AB67" s="10">
        <f>IF($Y67="","",SUMPRODUCT(($D67:$W67=$D$2:$W$2)*($D67:$W67&lt;&gt;"")*$D$3:$W$3*($D$4:$W$4=AB$6)))</f>
        <v/>
      </c>
      <c r="AC67" s="10">
        <f>IF($Y67="","",SUMPRODUCT(($D67:$W67=$D$2:$W$2)*($D67:$W67&lt;&gt;"")*$D$3:$W$3*($D$4:$W$4=AC$6)))</f>
        <v/>
      </c>
    </row>
    <row r="68">
      <c r="A68" s="5" t="n">
        <v>62</v>
      </c>
      <c r="B68" s="5">
        <f>IF('학생명단'!B68="","",'학생명단'!B68)</f>
        <v/>
      </c>
      <c r="C68" s="17">
        <f>IF('학생명단'!C68="","",'학생명단'!C68)</f>
        <v/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10">
        <f>IF(COUNTA(D68:W68)=0,"",SUMPRODUCT((D68:W68=$D$2:$W$2)*(D68:W68&lt;&gt;"")))</f>
        <v/>
      </c>
      <c r="Y68" s="27">
        <f>IF(COUNTA(D68:W68)=0,"",SUMPRODUCT((D68:W68=$D$2:$W$2)*(D68:W68&lt;&gt;"")*$D$3:$W$3))</f>
        <v/>
      </c>
      <c r="Z68" s="10">
        <f>IF($Y68="","",SUMPRODUCT(($D68:$W68=$D$2:$W$2)*($D68:$W68&lt;&gt;"")*$D$3:$W$3*($D$4:$W$4=Z$6)))</f>
        <v/>
      </c>
      <c r="AA68" s="10">
        <f>IF($Y68="","",SUMPRODUCT(($D68:$W68=$D$2:$W$2)*($D68:$W68&lt;&gt;"")*$D$3:$W$3*($D$4:$W$4=AA$6)))</f>
        <v/>
      </c>
      <c r="AB68" s="10">
        <f>IF($Y68="","",SUMPRODUCT(($D68:$W68=$D$2:$W$2)*($D68:$W68&lt;&gt;"")*$D$3:$W$3*($D$4:$W$4=AB$6)))</f>
        <v/>
      </c>
      <c r="AC68" s="10">
        <f>IF($Y68="","",SUMPRODUCT(($D68:$W68=$D$2:$W$2)*($D68:$W68&lt;&gt;"")*$D$3:$W$3*($D$4:$W$4=AC$6)))</f>
        <v/>
      </c>
    </row>
    <row r="69">
      <c r="A69" s="5" t="n">
        <v>63</v>
      </c>
      <c r="B69" s="5">
        <f>IF('학생명단'!B69="","",'학생명단'!B69)</f>
        <v/>
      </c>
      <c r="C69" s="17">
        <f>IF('학생명단'!C69="","",'학생명단'!C69)</f>
        <v/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10">
        <f>IF(COUNTA(D69:W69)=0,"",SUMPRODUCT((D69:W69=$D$2:$W$2)*(D69:W69&lt;&gt;"")))</f>
        <v/>
      </c>
      <c r="Y69" s="27">
        <f>IF(COUNTA(D69:W69)=0,"",SUMPRODUCT((D69:W69=$D$2:$W$2)*(D69:W69&lt;&gt;"")*$D$3:$W$3))</f>
        <v/>
      </c>
      <c r="Z69" s="10">
        <f>IF($Y69="","",SUMPRODUCT(($D69:$W69=$D$2:$W$2)*($D69:$W69&lt;&gt;"")*$D$3:$W$3*($D$4:$W$4=Z$6)))</f>
        <v/>
      </c>
      <c r="AA69" s="10">
        <f>IF($Y69="","",SUMPRODUCT(($D69:$W69=$D$2:$W$2)*($D69:$W69&lt;&gt;"")*$D$3:$W$3*($D$4:$W$4=AA$6)))</f>
        <v/>
      </c>
      <c r="AB69" s="10">
        <f>IF($Y69="","",SUMPRODUCT(($D69:$W69=$D$2:$W$2)*($D69:$W69&lt;&gt;"")*$D$3:$W$3*($D$4:$W$4=AB$6)))</f>
        <v/>
      </c>
      <c r="AC69" s="10">
        <f>IF($Y69="","",SUMPRODUCT(($D69:$W69=$D$2:$W$2)*($D69:$W69&lt;&gt;"")*$D$3:$W$3*($D$4:$W$4=AC$6)))</f>
        <v/>
      </c>
    </row>
    <row r="70">
      <c r="A70" s="5" t="n">
        <v>64</v>
      </c>
      <c r="B70" s="5">
        <f>IF('학생명단'!B70="","",'학생명단'!B70)</f>
        <v/>
      </c>
      <c r="C70" s="17">
        <f>IF('학생명단'!C70="","",'학생명단'!C70)</f>
        <v/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10">
        <f>IF(COUNTA(D70:W70)=0,"",SUMPRODUCT((D70:W70=$D$2:$W$2)*(D70:W70&lt;&gt;"")))</f>
        <v/>
      </c>
      <c r="Y70" s="27">
        <f>IF(COUNTA(D70:W70)=0,"",SUMPRODUCT((D70:W70=$D$2:$W$2)*(D70:W70&lt;&gt;"")*$D$3:$W$3))</f>
        <v/>
      </c>
      <c r="Z70" s="10">
        <f>IF($Y70="","",SUMPRODUCT(($D70:$W70=$D$2:$W$2)*($D70:$W70&lt;&gt;"")*$D$3:$W$3*($D$4:$W$4=Z$6)))</f>
        <v/>
      </c>
      <c r="AA70" s="10">
        <f>IF($Y70="","",SUMPRODUCT(($D70:$W70=$D$2:$W$2)*($D70:$W70&lt;&gt;"")*$D$3:$W$3*($D$4:$W$4=AA$6)))</f>
        <v/>
      </c>
      <c r="AB70" s="10">
        <f>IF($Y70="","",SUMPRODUCT(($D70:$W70=$D$2:$W$2)*($D70:$W70&lt;&gt;"")*$D$3:$W$3*($D$4:$W$4=AB$6)))</f>
        <v/>
      </c>
      <c r="AC70" s="10">
        <f>IF($Y70="","",SUMPRODUCT(($D70:$W70=$D$2:$W$2)*($D70:$W70&lt;&gt;"")*$D$3:$W$3*($D$4:$W$4=AC$6)))</f>
        <v/>
      </c>
    </row>
    <row r="71">
      <c r="A71" s="5" t="n">
        <v>65</v>
      </c>
      <c r="B71" s="5">
        <f>IF('학생명단'!B71="","",'학생명단'!B71)</f>
        <v/>
      </c>
      <c r="C71" s="17">
        <f>IF('학생명단'!C71="","",'학생명단'!C71)</f>
        <v/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10">
        <f>IF(COUNTA(D71:W71)=0,"",SUMPRODUCT((D71:W71=$D$2:$W$2)*(D71:W71&lt;&gt;"")))</f>
        <v/>
      </c>
      <c r="Y71" s="27">
        <f>IF(COUNTA(D71:W71)=0,"",SUMPRODUCT((D71:W71=$D$2:$W$2)*(D71:W71&lt;&gt;"")*$D$3:$W$3))</f>
        <v/>
      </c>
      <c r="Z71" s="10">
        <f>IF($Y71="","",SUMPRODUCT(($D71:$W71=$D$2:$W$2)*($D71:$W71&lt;&gt;"")*$D$3:$W$3*($D$4:$W$4=Z$6)))</f>
        <v/>
      </c>
      <c r="AA71" s="10">
        <f>IF($Y71="","",SUMPRODUCT(($D71:$W71=$D$2:$W$2)*($D71:$W71&lt;&gt;"")*$D$3:$W$3*($D$4:$W$4=AA$6)))</f>
        <v/>
      </c>
      <c r="AB71" s="10">
        <f>IF($Y71="","",SUMPRODUCT(($D71:$W71=$D$2:$W$2)*($D71:$W71&lt;&gt;"")*$D$3:$W$3*($D$4:$W$4=AB$6)))</f>
        <v/>
      </c>
      <c r="AC71" s="10">
        <f>IF($Y71="","",SUMPRODUCT(($D71:$W71=$D$2:$W$2)*($D71:$W71&lt;&gt;"")*$D$3:$W$3*($D$4:$W$4=AC$6)))</f>
        <v/>
      </c>
    </row>
    <row r="72">
      <c r="A72" s="5" t="n">
        <v>66</v>
      </c>
      <c r="B72" s="5">
        <f>IF('학생명단'!B72="","",'학생명단'!B72)</f>
        <v/>
      </c>
      <c r="C72" s="17">
        <f>IF('학생명단'!C72="","",'학생명단'!C72)</f>
        <v/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10">
        <f>IF(COUNTA(D72:W72)=0,"",SUMPRODUCT((D72:W72=$D$2:$W$2)*(D72:W72&lt;&gt;"")))</f>
        <v/>
      </c>
      <c r="Y72" s="27">
        <f>IF(COUNTA(D72:W72)=0,"",SUMPRODUCT((D72:W72=$D$2:$W$2)*(D72:W72&lt;&gt;"")*$D$3:$W$3))</f>
        <v/>
      </c>
      <c r="Z72" s="10">
        <f>IF($Y72="","",SUMPRODUCT(($D72:$W72=$D$2:$W$2)*($D72:$W72&lt;&gt;"")*$D$3:$W$3*($D$4:$W$4=Z$6)))</f>
        <v/>
      </c>
      <c r="AA72" s="10">
        <f>IF($Y72="","",SUMPRODUCT(($D72:$W72=$D$2:$W$2)*($D72:$W72&lt;&gt;"")*$D$3:$W$3*($D$4:$W$4=AA$6)))</f>
        <v/>
      </c>
      <c r="AB72" s="10">
        <f>IF($Y72="","",SUMPRODUCT(($D72:$W72=$D$2:$W$2)*($D72:$W72&lt;&gt;"")*$D$3:$W$3*($D$4:$W$4=AB$6)))</f>
        <v/>
      </c>
      <c r="AC72" s="10">
        <f>IF($Y72="","",SUMPRODUCT(($D72:$W72=$D$2:$W$2)*($D72:$W72&lt;&gt;"")*$D$3:$W$3*($D$4:$W$4=AC$6)))</f>
        <v/>
      </c>
    </row>
    <row r="73">
      <c r="A73" s="5" t="n">
        <v>67</v>
      </c>
      <c r="B73" s="5">
        <f>IF('학생명단'!B73="","",'학생명단'!B73)</f>
        <v/>
      </c>
      <c r="C73" s="17">
        <f>IF('학생명단'!C73="","",'학생명단'!C73)</f>
        <v/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10">
        <f>IF(COUNTA(D73:W73)=0,"",SUMPRODUCT((D73:W73=$D$2:$W$2)*(D73:W73&lt;&gt;"")))</f>
        <v/>
      </c>
      <c r="Y73" s="27">
        <f>IF(COUNTA(D73:W73)=0,"",SUMPRODUCT((D73:W73=$D$2:$W$2)*(D73:W73&lt;&gt;"")*$D$3:$W$3))</f>
        <v/>
      </c>
      <c r="Z73" s="10">
        <f>IF($Y73="","",SUMPRODUCT(($D73:$W73=$D$2:$W$2)*($D73:$W73&lt;&gt;"")*$D$3:$W$3*($D$4:$W$4=Z$6)))</f>
        <v/>
      </c>
      <c r="AA73" s="10">
        <f>IF($Y73="","",SUMPRODUCT(($D73:$W73=$D$2:$W$2)*($D73:$W73&lt;&gt;"")*$D$3:$W$3*($D$4:$W$4=AA$6)))</f>
        <v/>
      </c>
      <c r="AB73" s="10">
        <f>IF($Y73="","",SUMPRODUCT(($D73:$W73=$D$2:$W$2)*($D73:$W73&lt;&gt;"")*$D$3:$W$3*($D$4:$W$4=AB$6)))</f>
        <v/>
      </c>
      <c r="AC73" s="10">
        <f>IF($Y73="","",SUMPRODUCT(($D73:$W73=$D$2:$W$2)*($D73:$W73&lt;&gt;"")*$D$3:$W$3*($D$4:$W$4=AC$6)))</f>
        <v/>
      </c>
    </row>
    <row r="74">
      <c r="A74" s="5" t="n">
        <v>68</v>
      </c>
      <c r="B74" s="5">
        <f>IF('학생명단'!B74="","",'학생명단'!B74)</f>
        <v/>
      </c>
      <c r="C74" s="17">
        <f>IF('학생명단'!C74="","",'학생명단'!C74)</f>
        <v/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10">
        <f>IF(COUNTA(D74:W74)=0,"",SUMPRODUCT((D74:W74=$D$2:$W$2)*(D74:W74&lt;&gt;"")))</f>
        <v/>
      </c>
      <c r="Y74" s="27">
        <f>IF(COUNTA(D74:W74)=0,"",SUMPRODUCT((D74:W74=$D$2:$W$2)*(D74:W74&lt;&gt;"")*$D$3:$W$3))</f>
        <v/>
      </c>
      <c r="Z74" s="10">
        <f>IF($Y74="","",SUMPRODUCT(($D74:$W74=$D$2:$W$2)*($D74:$W74&lt;&gt;"")*$D$3:$W$3*($D$4:$W$4=Z$6)))</f>
        <v/>
      </c>
      <c r="AA74" s="10">
        <f>IF($Y74="","",SUMPRODUCT(($D74:$W74=$D$2:$W$2)*($D74:$W74&lt;&gt;"")*$D$3:$W$3*($D$4:$W$4=AA$6)))</f>
        <v/>
      </c>
      <c r="AB74" s="10">
        <f>IF($Y74="","",SUMPRODUCT(($D74:$W74=$D$2:$W$2)*($D74:$W74&lt;&gt;"")*$D$3:$W$3*($D$4:$W$4=AB$6)))</f>
        <v/>
      </c>
      <c r="AC74" s="10">
        <f>IF($Y74="","",SUMPRODUCT(($D74:$W74=$D$2:$W$2)*($D74:$W74&lt;&gt;"")*$D$3:$W$3*($D$4:$W$4=AC$6)))</f>
        <v/>
      </c>
    </row>
    <row r="75">
      <c r="A75" s="5" t="n">
        <v>69</v>
      </c>
      <c r="B75" s="5">
        <f>IF('학생명단'!B75="","",'학생명단'!B75)</f>
        <v/>
      </c>
      <c r="C75" s="17">
        <f>IF('학생명단'!C75="","",'학생명단'!C75)</f>
        <v/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10">
        <f>IF(COUNTA(D75:W75)=0,"",SUMPRODUCT((D75:W75=$D$2:$W$2)*(D75:W75&lt;&gt;"")))</f>
        <v/>
      </c>
      <c r="Y75" s="27">
        <f>IF(COUNTA(D75:W75)=0,"",SUMPRODUCT((D75:W75=$D$2:$W$2)*(D75:W75&lt;&gt;"")*$D$3:$W$3))</f>
        <v/>
      </c>
      <c r="Z75" s="10">
        <f>IF($Y75="","",SUMPRODUCT(($D75:$W75=$D$2:$W$2)*($D75:$W75&lt;&gt;"")*$D$3:$W$3*($D$4:$W$4=Z$6)))</f>
        <v/>
      </c>
      <c r="AA75" s="10">
        <f>IF($Y75="","",SUMPRODUCT(($D75:$W75=$D$2:$W$2)*($D75:$W75&lt;&gt;"")*$D$3:$W$3*($D$4:$W$4=AA$6)))</f>
        <v/>
      </c>
      <c r="AB75" s="10">
        <f>IF($Y75="","",SUMPRODUCT(($D75:$W75=$D$2:$W$2)*($D75:$W75&lt;&gt;"")*$D$3:$W$3*($D$4:$W$4=AB$6)))</f>
        <v/>
      </c>
      <c r="AC75" s="10">
        <f>IF($Y75="","",SUMPRODUCT(($D75:$W75=$D$2:$W$2)*($D75:$W75&lt;&gt;"")*$D$3:$W$3*($D$4:$W$4=AC$6)))</f>
        <v/>
      </c>
    </row>
    <row r="76">
      <c r="A76" s="5" t="n">
        <v>70</v>
      </c>
      <c r="B76" s="5">
        <f>IF('학생명단'!B76="","",'학생명단'!B76)</f>
        <v/>
      </c>
      <c r="C76" s="17">
        <f>IF('학생명단'!C76="","",'학생명단'!C76)</f>
        <v/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10">
        <f>IF(COUNTA(D76:W76)=0,"",SUMPRODUCT((D76:W76=$D$2:$W$2)*(D76:W76&lt;&gt;"")))</f>
        <v/>
      </c>
      <c r="Y76" s="27">
        <f>IF(COUNTA(D76:W76)=0,"",SUMPRODUCT((D76:W76=$D$2:$W$2)*(D76:W76&lt;&gt;"")*$D$3:$W$3))</f>
        <v/>
      </c>
      <c r="Z76" s="10">
        <f>IF($Y76="","",SUMPRODUCT(($D76:$W76=$D$2:$W$2)*($D76:$W76&lt;&gt;"")*$D$3:$W$3*($D$4:$W$4=Z$6)))</f>
        <v/>
      </c>
      <c r="AA76" s="10">
        <f>IF($Y76="","",SUMPRODUCT(($D76:$W76=$D$2:$W$2)*($D76:$W76&lt;&gt;"")*$D$3:$W$3*($D$4:$W$4=AA$6)))</f>
        <v/>
      </c>
      <c r="AB76" s="10">
        <f>IF($Y76="","",SUMPRODUCT(($D76:$W76=$D$2:$W$2)*($D76:$W76&lt;&gt;"")*$D$3:$W$3*($D$4:$W$4=AB$6)))</f>
        <v/>
      </c>
      <c r="AC76" s="10">
        <f>IF($Y76="","",SUMPRODUCT(($D76:$W76=$D$2:$W$2)*($D76:$W76&lt;&gt;"")*$D$3:$W$3*($D$4:$W$4=AC$6)))</f>
        <v/>
      </c>
    </row>
    <row r="77">
      <c r="A77" s="5" t="n">
        <v>71</v>
      </c>
      <c r="B77" s="5">
        <f>IF('학생명단'!B77="","",'학생명단'!B77)</f>
        <v/>
      </c>
      <c r="C77" s="17">
        <f>IF('학생명단'!C77="","",'학생명단'!C77)</f>
        <v/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10">
        <f>IF(COUNTA(D77:W77)=0,"",SUMPRODUCT((D77:W77=$D$2:$W$2)*(D77:W77&lt;&gt;"")))</f>
        <v/>
      </c>
      <c r="Y77" s="27">
        <f>IF(COUNTA(D77:W77)=0,"",SUMPRODUCT((D77:W77=$D$2:$W$2)*(D77:W77&lt;&gt;"")*$D$3:$W$3))</f>
        <v/>
      </c>
      <c r="Z77" s="10">
        <f>IF($Y77="","",SUMPRODUCT(($D77:$W77=$D$2:$W$2)*($D77:$W77&lt;&gt;"")*$D$3:$W$3*($D$4:$W$4=Z$6)))</f>
        <v/>
      </c>
      <c r="AA77" s="10">
        <f>IF($Y77="","",SUMPRODUCT(($D77:$W77=$D$2:$W$2)*($D77:$W77&lt;&gt;"")*$D$3:$W$3*($D$4:$W$4=AA$6)))</f>
        <v/>
      </c>
      <c r="AB77" s="10">
        <f>IF($Y77="","",SUMPRODUCT(($D77:$W77=$D$2:$W$2)*($D77:$W77&lt;&gt;"")*$D$3:$W$3*($D$4:$W$4=AB$6)))</f>
        <v/>
      </c>
      <c r="AC77" s="10">
        <f>IF($Y77="","",SUMPRODUCT(($D77:$W77=$D$2:$W$2)*($D77:$W77&lt;&gt;"")*$D$3:$W$3*($D$4:$W$4=AC$6)))</f>
        <v/>
      </c>
    </row>
    <row r="78">
      <c r="A78" s="5" t="n">
        <v>72</v>
      </c>
      <c r="B78" s="5">
        <f>IF('학생명단'!B78="","",'학생명단'!B78)</f>
        <v/>
      </c>
      <c r="C78" s="17">
        <f>IF('학생명단'!C78="","",'학생명단'!C78)</f>
        <v/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10">
        <f>IF(COUNTA(D78:W78)=0,"",SUMPRODUCT((D78:W78=$D$2:$W$2)*(D78:W78&lt;&gt;"")))</f>
        <v/>
      </c>
      <c r="Y78" s="27">
        <f>IF(COUNTA(D78:W78)=0,"",SUMPRODUCT((D78:W78=$D$2:$W$2)*(D78:W78&lt;&gt;"")*$D$3:$W$3))</f>
        <v/>
      </c>
      <c r="Z78" s="10">
        <f>IF($Y78="","",SUMPRODUCT(($D78:$W78=$D$2:$W$2)*($D78:$W78&lt;&gt;"")*$D$3:$W$3*($D$4:$W$4=Z$6)))</f>
        <v/>
      </c>
      <c r="AA78" s="10">
        <f>IF($Y78="","",SUMPRODUCT(($D78:$W78=$D$2:$W$2)*($D78:$W78&lt;&gt;"")*$D$3:$W$3*($D$4:$W$4=AA$6)))</f>
        <v/>
      </c>
      <c r="AB78" s="10">
        <f>IF($Y78="","",SUMPRODUCT(($D78:$W78=$D$2:$W$2)*($D78:$W78&lt;&gt;"")*$D$3:$W$3*($D$4:$W$4=AB$6)))</f>
        <v/>
      </c>
      <c r="AC78" s="10">
        <f>IF($Y78="","",SUMPRODUCT(($D78:$W78=$D$2:$W$2)*($D78:$W78&lt;&gt;"")*$D$3:$W$3*($D$4:$W$4=AC$6)))</f>
        <v/>
      </c>
    </row>
    <row r="79">
      <c r="A79" s="5" t="n">
        <v>73</v>
      </c>
      <c r="B79" s="5">
        <f>IF('학생명단'!B79="","",'학생명단'!B79)</f>
        <v/>
      </c>
      <c r="C79" s="17">
        <f>IF('학생명단'!C79="","",'학생명단'!C79)</f>
        <v/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10">
        <f>IF(COUNTA(D79:W79)=0,"",SUMPRODUCT((D79:W79=$D$2:$W$2)*(D79:W79&lt;&gt;"")))</f>
        <v/>
      </c>
      <c r="Y79" s="27">
        <f>IF(COUNTA(D79:W79)=0,"",SUMPRODUCT((D79:W79=$D$2:$W$2)*(D79:W79&lt;&gt;"")*$D$3:$W$3))</f>
        <v/>
      </c>
      <c r="Z79" s="10">
        <f>IF($Y79="","",SUMPRODUCT(($D79:$W79=$D$2:$W$2)*($D79:$W79&lt;&gt;"")*$D$3:$W$3*($D$4:$W$4=Z$6)))</f>
        <v/>
      </c>
      <c r="AA79" s="10">
        <f>IF($Y79="","",SUMPRODUCT(($D79:$W79=$D$2:$W$2)*($D79:$W79&lt;&gt;"")*$D$3:$W$3*($D$4:$W$4=AA$6)))</f>
        <v/>
      </c>
      <c r="AB79" s="10">
        <f>IF($Y79="","",SUMPRODUCT(($D79:$W79=$D$2:$W$2)*($D79:$W79&lt;&gt;"")*$D$3:$W$3*($D$4:$W$4=AB$6)))</f>
        <v/>
      </c>
      <c r="AC79" s="10">
        <f>IF($Y79="","",SUMPRODUCT(($D79:$W79=$D$2:$W$2)*($D79:$W79&lt;&gt;"")*$D$3:$W$3*($D$4:$W$4=AC$6)))</f>
        <v/>
      </c>
    </row>
    <row r="80">
      <c r="A80" s="5" t="n">
        <v>74</v>
      </c>
      <c r="B80" s="5">
        <f>IF('학생명단'!B80="","",'학생명단'!B80)</f>
        <v/>
      </c>
      <c r="C80" s="17">
        <f>IF('학생명단'!C80="","",'학생명단'!C80)</f>
        <v/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10">
        <f>IF(COUNTA(D80:W80)=0,"",SUMPRODUCT((D80:W80=$D$2:$W$2)*(D80:W80&lt;&gt;"")))</f>
        <v/>
      </c>
      <c r="Y80" s="27">
        <f>IF(COUNTA(D80:W80)=0,"",SUMPRODUCT((D80:W80=$D$2:$W$2)*(D80:W80&lt;&gt;"")*$D$3:$W$3))</f>
        <v/>
      </c>
      <c r="Z80" s="10">
        <f>IF($Y80="","",SUMPRODUCT(($D80:$W80=$D$2:$W$2)*($D80:$W80&lt;&gt;"")*$D$3:$W$3*($D$4:$W$4=Z$6)))</f>
        <v/>
      </c>
      <c r="AA80" s="10">
        <f>IF($Y80="","",SUMPRODUCT(($D80:$W80=$D$2:$W$2)*($D80:$W80&lt;&gt;"")*$D$3:$W$3*($D$4:$W$4=AA$6)))</f>
        <v/>
      </c>
      <c r="AB80" s="10">
        <f>IF($Y80="","",SUMPRODUCT(($D80:$W80=$D$2:$W$2)*($D80:$W80&lt;&gt;"")*$D$3:$W$3*($D$4:$W$4=AB$6)))</f>
        <v/>
      </c>
      <c r="AC80" s="10">
        <f>IF($Y80="","",SUMPRODUCT(($D80:$W80=$D$2:$W$2)*($D80:$W80&lt;&gt;"")*$D$3:$W$3*($D$4:$W$4=AC$6)))</f>
        <v/>
      </c>
    </row>
    <row r="81">
      <c r="A81" s="5" t="n">
        <v>75</v>
      </c>
      <c r="B81" s="5">
        <f>IF('학생명단'!B81="","",'학생명단'!B81)</f>
        <v/>
      </c>
      <c r="C81" s="17">
        <f>IF('학생명단'!C81="","",'학생명단'!C81)</f>
        <v/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10">
        <f>IF(COUNTA(D81:W81)=0,"",SUMPRODUCT((D81:W81=$D$2:$W$2)*(D81:W81&lt;&gt;"")))</f>
        <v/>
      </c>
      <c r="Y81" s="27">
        <f>IF(COUNTA(D81:W81)=0,"",SUMPRODUCT((D81:W81=$D$2:$W$2)*(D81:W81&lt;&gt;"")*$D$3:$W$3))</f>
        <v/>
      </c>
      <c r="Z81" s="10">
        <f>IF($Y81="","",SUMPRODUCT(($D81:$W81=$D$2:$W$2)*($D81:$W81&lt;&gt;"")*$D$3:$W$3*($D$4:$W$4=Z$6)))</f>
        <v/>
      </c>
      <c r="AA81" s="10">
        <f>IF($Y81="","",SUMPRODUCT(($D81:$W81=$D$2:$W$2)*($D81:$W81&lt;&gt;"")*$D$3:$W$3*($D$4:$W$4=AA$6)))</f>
        <v/>
      </c>
      <c r="AB81" s="10">
        <f>IF($Y81="","",SUMPRODUCT(($D81:$W81=$D$2:$W$2)*($D81:$W81&lt;&gt;"")*$D$3:$W$3*($D$4:$W$4=AB$6)))</f>
        <v/>
      </c>
      <c r="AC81" s="10">
        <f>IF($Y81="","",SUMPRODUCT(($D81:$W81=$D$2:$W$2)*($D81:$W81&lt;&gt;"")*$D$3:$W$3*($D$4:$W$4=AC$6)))</f>
        <v/>
      </c>
    </row>
    <row r="82">
      <c r="A82" s="5" t="n">
        <v>76</v>
      </c>
      <c r="B82" s="5">
        <f>IF('학생명단'!B82="","",'학생명단'!B82)</f>
        <v/>
      </c>
      <c r="C82" s="17">
        <f>IF('학생명단'!C82="","",'학생명단'!C82)</f>
        <v/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10">
        <f>IF(COUNTA(D82:W82)=0,"",SUMPRODUCT((D82:W82=$D$2:$W$2)*(D82:W82&lt;&gt;"")))</f>
        <v/>
      </c>
      <c r="Y82" s="27">
        <f>IF(COUNTA(D82:W82)=0,"",SUMPRODUCT((D82:W82=$D$2:$W$2)*(D82:W82&lt;&gt;"")*$D$3:$W$3))</f>
        <v/>
      </c>
      <c r="Z82" s="10">
        <f>IF($Y82="","",SUMPRODUCT(($D82:$W82=$D$2:$W$2)*($D82:$W82&lt;&gt;"")*$D$3:$W$3*($D$4:$W$4=Z$6)))</f>
        <v/>
      </c>
      <c r="AA82" s="10">
        <f>IF($Y82="","",SUMPRODUCT(($D82:$W82=$D$2:$W$2)*($D82:$W82&lt;&gt;"")*$D$3:$W$3*($D$4:$W$4=AA$6)))</f>
        <v/>
      </c>
      <c r="AB82" s="10">
        <f>IF($Y82="","",SUMPRODUCT(($D82:$W82=$D$2:$W$2)*($D82:$W82&lt;&gt;"")*$D$3:$W$3*($D$4:$W$4=AB$6)))</f>
        <v/>
      </c>
      <c r="AC82" s="10">
        <f>IF($Y82="","",SUMPRODUCT(($D82:$W82=$D$2:$W$2)*($D82:$W82&lt;&gt;"")*$D$3:$W$3*($D$4:$W$4=AC$6)))</f>
        <v/>
      </c>
    </row>
    <row r="83">
      <c r="A83" s="5" t="n">
        <v>77</v>
      </c>
      <c r="B83" s="5">
        <f>IF('학생명단'!B83="","",'학생명단'!B83)</f>
        <v/>
      </c>
      <c r="C83" s="17">
        <f>IF('학생명단'!C83="","",'학생명단'!C83)</f>
        <v/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10">
        <f>IF(COUNTA(D83:W83)=0,"",SUMPRODUCT((D83:W83=$D$2:$W$2)*(D83:W83&lt;&gt;"")))</f>
        <v/>
      </c>
      <c r="Y83" s="27">
        <f>IF(COUNTA(D83:W83)=0,"",SUMPRODUCT((D83:W83=$D$2:$W$2)*(D83:W83&lt;&gt;"")*$D$3:$W$3))</f>
        <v/>
      </c>
      <c r="Z83" s="10">
        <f>IF($Y83="","",SUMPRODUCT(($D83:$W83=$D$2:$W$2)*($D83:$W83&lt;&gt;"")*$D$3:$W$3*($D$4:$W$4=Z$6)))</f>
        <v/>
      </c>
      <c r="AA83" s="10">
        <f>IF($Y83="","",SUMPRODUCT(($D83:$W83=$D$2:$W$2)*($D83:$W83&lt;&gt;"")*$D$3:$W$3*($D$4:$W$4=AA$6)))</f>
        <v/>
      </c>
      <c r="AB83" s="10">
        <f>IF($Y83="","",SUMPRODUCT(($D83:$W83=$D$2:$W$2)*($D83:$W83&lt;&gt;"")*$D$3:$W$3*($D$4:$W$4=AB$6)))</f>
        <v/>
      </c>
      <c r="AC83" s="10">
        <f>IF($Y83="","",SUMPRODUCT(($D83:$W83=$D$2:$W$2)*($D83:$W83&lt;&gt;"")*$D$3:$W$3*($D$4:$W$4=AC$6)))</f>
        <v/>
      </c>
    </row>
    <row r="84">
      <c r="A84" s="5" t="n">
        <v>78</v>
      </c>
      <c r="B84" s="5">
        <f>IF('학생명단'!B84="","",'학생명단'!B84)</f>
        <v/>
      </c>
      <c r="C84" s="17">
        <f>IF('학생명단'!C84="","",'학생명단'!C84)</f>
        <v/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10">
        <f>IF(COUNTA(D84:W84)=0,"",SUMPRODUCT((D84:W84=$D$2:$W$2)*(D84:W84&lt;&gt;"")))</f>
        <v/>
      </c>
      <c r="Y84" s="27">
        <f>IF(COUNTA(D84:W84)=0,"",SUMPRODUCT((D84:W84=$D$2:$W$2)*(D84:W84&lt;&gt;"")*$D$3:$W$3))</f>
        <v/>
      </c>
      <c r="Z84" s="10">
        <f>IF($Y84="","",SUMPRODUCT(($D84:$W84=$D$2:$W$2)*($D84:$W84&lt;&gt;"")*$D$3:$W$3*($D$4:$W$4=Z$6)))</f>
        <v/>
      </c>
      <c r="AA84" s="10">
        <f>IF($Y84="","",SUMPRODUCT(($D84:$W84=$D$2:$W$2)*($D84:$W84&lt;&gt;"")*$D$3:$W$3*($D$4:$W$4=AA$6)))</f>
        <v/>
      </c>
      <c r="AB84" s="10">
        <f>IF($Y84="","",SUMPRODUCT(($D84:$W84=$D$2:$W$2)*($D84:$W84&lt;&gt;"")*$D$3:$W$3*($D$4:$W$4=AB$6)))</f>
        <v/>
      </c>
      <c r="AC84" s="10">
        <f>IF($Y84="","",SUMPRODUCT(($D84:$W84=$D$2:$W$2)*($D84:$W84&lt;&gt;"")*$D$3:$W$3*($D$4:$W$4=AC$6)))</f>
        <v/>
      </c>
    </row>
    <row r="85">
      <c r="A85" s="5" t="n">
        <v>79</v>
      </c>
      <c r="B85" s="5">
        <f>IF('학생명단'!B85="","",'학생명단'!B85)</f>
        <v/>
      </c>
      <c r="C85" s="17">
        <f>IF('학생명단'!C85="","",'학생명단'!C85)</f>
        <v/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10">
        <f>IF(COUNTA(D85:W85)=0,"",SUMPRODUCT((D85:W85=$D$2:$W$2)*(D85:W85&lt;&gt;"")))</f>
        <v/>
      </c>
      <c r="Y85" s="27">
        <f>IF(COUNTA(D85:W85)=0,"",SUMPRODUCT((D85:W85=$D$2:$W$2)*(D85:W85&lt;&gt;"")*$D$3:$W$3))</f>
        <v/>
      </c>
      <c r="Z85" s="10">
        <f>IF($Y85="","",SUMPRODUCT(($D85:$W85=$D$2:$W$2)*($D85:$W85&lt;&gt;"")*$D$3:$W$3*($D$4:$W$4=Z$6)))</f>
        <v/>
      </c>
      <c r="AA85" s="10">
        <f>IF($Y85="","",SUMPRODUCT(($D85:$W85=$D$2:$W$2)*($D85:$W85&lt;&gt;"")*$D$3:$W$3*($D$4:$W$4=AA$6)))</f>
        <v/>
      </c>
      <c r="AB85" s="10">
        <f>IF($Y85="","",SUMPRODUCT(($D85:$W85=$D$2:$W$2)*($D85:$W85&lt;&gt;"")*$D$3:$W$3*($D$4:$W$4=AB$6)))</f>
        <v/>
      </c>
      <c r="AC85" s="10">
        <f>IF($Y85="","",SUMPRODUCT(($D85:$W85=$D$2:$W$2)*($D85:$W85&lt;&gt;"")*$D$3:$W$3*($D$4:$W$4=AC$6)))</f>
        <v/>
      </c>
    </row>
    <row r="86">
      <c r="A86" s="5" t="n">
        <v>80</v>
      </c>
      <c r="B86" s="5">
        <f>IF('학생명단'!B86="","",'학생명단'!B86)</f>
        <v/>
      </c>
      <c r="C86" s="17">
        <f>IF('학생명단'!C86="","",'학생명단'!C86)</f>
        <v/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10">
        <f>IF(COUNTA(D86:W86)=0,"",SUMPRODUCT((D86:W86=$D$2:$W$2)*(D86:W86&lt;&gt;"")))</f>
        <v/>
      </c>
      <c r="Y86" s="27">
        <f>IF(COUNTA(D86:W86)=0,"",SUMPRODUCT((D86:W86=$D$2:$W$2)*(D86:W86&lt;&gt;"")*$D$3:$W$3))</f>
        <v/>
      </c>
      <c r="Z86" s="10">
        <f>IF($Y86="","",SUMPRODUCT(($D86:$W86=$D$2:$W$2)*($D86:$W86&lt;&gt;"")*$D$3:$W$3*($D$4:$W$4=Z$6)))</f>
        <v/>
      </c>
      <c r="AA86" s="10">
        <f>IF($Y86="","",SUMPRODUCT(($D86:$W86=$D$2:$W$2)*($D86:$W86&lt;&gt;"")*$D$3:$W$3*($D$4:$W$4=AA$6)))</f>
        <v/>
      </c>
      <c r="AB86" s="10">
        <f>IF($Y86="","",SUMPRODUCT(($D86:$W86=$D$2:$W$2)*($D86:$W86&lt;&gt;"")*$D$3:$W$3*($D$4:$W$4=AB$6)))</f>
        <v/>
      </c>
      <c r="AC86" s="10">
        <f>IF($Y86="","",SUMPRODUCT(($D86:$W86=$D$2:$W$2)*($D86:$W86&lt;&gt;"")*$D$3:$W$3*($D$4:$W$4=AC$6)))</f>
        <v/>
      </c>
    </row>
    <row r="87">
      <c r="A87" s="5" t="n">
        <v>81</v>
      </c>
      <c r="B87" s="5">
        <f>IF('학생명단'!B87="","",'학생명단'!B87)</f>
        <v/>
      </c>
      <c r="C87" s="17">
        <f>IF('학생명단'!C87="","",'학생명단'!C87)</f>
        <v/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10">
        <f>IF(COUNTA(D87:W87)=0,"",SUMPRODUCT((D87:W87=$D$2:$W$2)*(D87:W87&lt;&gt;"")))</f>
        <v/>
      </c>
      <c r="Y87" s="27">
        <f>IF(COUNTA(D87:W87)=0,"",SUMPRODUCT((D87:W87=$D$2:$W$2)*(D87:W87&lt;&gt;"")*$D$3:$W$3))</f>
        <v/>
      </c>
      <c r="Z87" s="10">
        <f>IF($Y87="","",SUMPRODUCT(($D87:$W87=$D$2:$W$2)*($D87:$W87&lt;&gt;"")*$D$3:$W$3*($D$4:$W$4=Z$6)))</f>
        <v/>
      </c>
      <c r="AA87" s="10">
        <f>IF($Y87="","",SUMPRODUCT(($D87:$W87=$D$2:$W$2)*($D87:$W87&lt;&gt;"")*$D$3:$W$3*($D$4:$W$4=AA$6)))</f>
        <v/>
      </c>
      <c r="AB87" s="10">
        <f>IF($Y87="","",SUMPRODUCT(($D87:$W87=$D$2:$W$2)*($D87:$W87&lt;&gt;"")*$D$3:$W$3*($D$4:$W$4=AB$6)))</f>
        <v/>
      </c>
      <c r="AC87" s="10">
        <f>IF($Y87="","",SUMPRODUCT(($D87:$W87=$D$2:$W$2)*($D87:$W87&lt;&gt;"")*$D$3:$W$3*($D$4:$W$4=AC$6)))</f>
        <v/>
      </c>
    </row>
    <row r="88">
      <c r="A88" s="5" t="n">
        <v>82</v>
      </c>
      <c r="B88" s="5">
        <f>IF('학생명단'!B88="","",'학생명단'!B88)</f>
        <v/>
      </c>
      <c r="C88" s="17">
        <f>IF('학생명단'!C88="","",'학생명단'!C88)</f>
        <v/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10">
        <f>IF(COUNTA(D88:W88)=0,"",SUMPRODUCT((D88:W88=$D$2:$W$2)*(D88:W88&lt;&gt;"")))</f>
        <v/>
      </c>
      <c r="Y88" s="27">
        <f>IF(COUNTA(D88:W88)=0,"",SUMPRODUCT((D88:W88=$D$2:$W$2)*(D88:W88&lt;&gt;"")*$D$3:$W$3))</f>
        <v/>
      </c>
      <c r="Z88" s="10">
        <f>IF($Y88="","",SUMPRODUCT(($D88:$W88=$D$2:$W$2)*($D88:$W88&lt;&gt;"")*$D$3:$W$3*($D$4:$W$4=Z$6)))</f>
        <v/>
      </c>
      <c r="AA88" s="10">
        <f>IF($Y88="","",SUMPRODUCT(($D88:$W88=$D$2:$W$2)*($D88:$W88&lt;&gt;"")*$D$3:$W$3*($D$4:$W$4=AA$6)))</f>
        <v/>
      </c>
      <c r="AB88" s="10">
        <f>IF($Y88="","",SUMPRODUCT(($D88:$W88=$D$2:$W$2)*($D88:$W88&lt;&gt;"")*$D$3:$W$3*($D$4:$W$4=AB$6)))</f>
        <v/>
      </c>
      <c r="AC88" s="10">
        <f>IF($Y88="","",SUMPRODUCT(($D88:$W88=$D$2:$W$2)*($D88:$W88&lt;&gt;"")*$D$3:$W$3*($D$4:$W$4=AC$6)))</f>
        <v/>
      </c>
    </row>
    <row r="89">
      <c r="A89" s="5" t="n">
        <v>83</v>
      </c>
      <c r="B89" s="5">
        <f>IF('학생명단'!B89="","",'학생명단'!B89)</f>
        <v/>
      </c>
      <c r="C89" s="17">
        <f>IF('학생명단'!C89="","",'학생명단'!C89)</f>
        <v/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10">
        <f>IF(COUNTA(D89:W89)=0,"",SUMPRODUCT((D89:W89=$D$2:$W$2)*(D89:W89&lt;&gt;"")))</f>
        <v/>
      </c>
      <c r="Y89" s="27">
        <f>IF(COUNTA(D89:W89)=0,"",SUMPRODUCT((D89:W89=$D$2:$W$2)*(D89:W89&lt;&gt;"")*$D$3:$W$3))</f>
        <v/>
      </c>
      <c r="Z89" s="10">
        <f>IF($Y89="","",SUMPRODUCT(($D89:$W89=$D$2:$W$2)*($D89:$W89&lt;&gt;"")*$D$3:$W$3*($D$4:$W$4=Z$6)))</f>
        <v/>
      </c>
      <c r="AA89" s="10">
        <f>IF($Y89="","",SUMPRODUCT(($D89:$W89=$D$2:$W$2)*($D89:$W89&lt;&gt;"")*$D$3:$W$3*($D$4:$W$4=AA$6)))</f>
        <v/>
      </c>
      <c r="AB89" s="10">
        <f>IF($Y89="","",SUMPRODUCT(($D89:$W89=$D$2:$W$2)*($D89:$W89&lt;&gt;"")*$D$3:$W$3*($D$4:$W$4=AB$6)))</f>
        <v/>
      </c>
      <c r="AC89" s="10">
        <f>IF($Y89="","",SUMPRODUCT(($D89:$W89=$D$2:$W$2)*($D89:$W89&lt;&gt;"")*$D$3:$W$3*($D$4:$W$4=AC$6)))</f>
        <v/>
      </c>
    </row>
    <row r="90">
      <c r="A90" s="5" t="n">
        <v>84</v>
      </c>
      <c r="B90" s="5">
        <f>IF('학생명단'!B90="","",'학생명단'!B90)</f>
        <v/>
      </c>
      <c r="C90" s="17">
        <f>IF('학생명단'!C90="","",'학생명단'!C90)</f>
        <v/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10">
        <f>IF(COUNTA(D90:W90)=0,"",SUMPRODUCT((D90:W90=$D$2:$W$2)*(D90:W90&lt;&gt;"")))</f>
        <v/>
      </c>
      <c r="Y90" s="27">
        <f>IF(COUNTA(D90:W90)=0,"",SUMPRODUCT((D90:W90=$D$2:$W$2)*(D90:W90&lt;&gt;"")*$D$3:$W$3))</f>
        <v/>
      </c>
      <c r="Z90" s="10">
        <f>IF($Y90="","",SUMPRODUCT(($D90:$W90=$D$2:$W$2)*($D90:$W90&lt;&gt;"")*$D$3:$W$3*($D$4:$W$4=Z$6)))</f>
        <v/>
      </c>
      <c r="AA90" s="10">
        <f>IF($Y90="","",SUMPRODUCT(($D90:$W90=$D$2:$W$2)*($D90:$W90&lt;&gt;"")*$D$3:$W$3*($D$4:$W$4=AA$6)))</f>
        <v/>
      </c>
      <c r="AB90" s="10">
        <f>IF($Y90="","",SUMPRODUCT(($D90:$W90=$D$2:$W$2)*($D90:$W90&lt;&gt;"")*$D$3:$W$3*($D$4:$W$4=AB$6)))</f>
        <v/>
      </c>
      <c r="AC90" s="10">
        <f>IF($Y90="","",SUMPRODUCT(($D90:$W90=$D$2:$W$2)*($D90:$W90&lt;&gt;"")*$D$3:$W$3*($D$4:$W$4=AC$6)))</f>
        <v/>
      </c>
    </row>
    <row r="91">
      <c r="A91" s="5" t="n">
        <v>85</v>
      </c>
      <c r="B91" s="5">
        <f>IF('학생명단'!B91="","",'학생명단'!B91)</f>
        <v/>
      </c>
      <c r="C91" s="17">
        <f>IF('학생명단'!C91="","",'학생명단'!C91)</f>
        <v/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10">
        <f>IF(COUNTA(D91:W91)=0,"",SUMPRODUCT((D91:W91=$D$2:$W$2)*(D91:W91&lt;&gt;"")))</f>
        <v/>
      </c>
      <c r="Y91" s="27">
        <f>IF(COUNTA(D91:W91)=0,"",SUMPRODUCT((D91:W91=$D$2:$W$2)*(D91:W91&lt;&gt;"")*$D$3:$W$3))</f>
        <v/>
      </c>
      <c r="Z91" s="10">
        <f>IF($Y91="","",SUMPRODUCT(($D91:$W91=$D$2:$W$2)*($D91:$W91&lt;&gt;"")*$D$3:$W$3*($D$4:$W$4=Z$6)))</f>
        <v/>
      </c>
      <c r="AA91" s="10">
        <f>IF($Y91="","",SUMPRODUCT(($D91:$W91=$D$2:$W$2)*($D91:$W91&lt;&gt;"")*$D$3:$W$3*($D$4:$W$4=AA$6)))</f>
        <v/>
      </c>
      <c r="AB91" s="10">
        <f>IF($Y91="","",SUMPRODUCT(($D91:$W91=$D$2:$W$2)*($D91:$W91&lt;&gt;"")*$D$3:$W$3*($D$4:$W$4=AB$6)))</f>
        <v/>
      </c>
      <c r="AC91" s="10">
        <f>IF($Y91="","",SUMPRODUCT(($D91:$W91=$D$2:$W$2)*($D91:$W91&lt;&gt;"")*$D$3:$W$3*($D$4:$W$4=AC$6)))</f>
        <v/>
      </c>
    </row>
    <row r="92">
      <c r="A92" s="5" t="n">
        <v>86</v>
      </c>
      <c r="B92" s="5">
        <f>IF('학생명단'!B92="","",'학생명단'!B92)</f>
        <v/>
      </c>
      <c r="C92" s="17">
        <f>IF('학생명단'!C92="","",'학생명단'!C92)</f>
        <v/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10">
        <f>IF(COUNTA(D92:W92)=0,"",SUMPRODUCT((D92:W92=$D$2:$W$2)*(D92:W92&lt;&gt;"")))</f>
        <v/>
      </c>
      <c r="Y92" s="27">
        <f>IF(COUNTA(D92:W92)=0,"",SUMPRODUCT((D92:W92=$D$2:$W$2)*(D92:W92&lt;&gt;"")*$D$3:$W$3))</f>
        <v/>
      </c>
      <c r="Z92" s="10">
        <f>IF($Y92="","",SUMPRODUCT(($D92:$W92=$D$2:$W$2)*($D92:$W92&lt;&gt;"")*$D$3:$W$3*($D$4:$W$4=Z$6)))</f>
        <v/>
      </c>
      <c r="AA92" s="10">
        <f>IF($Y92="","",SUMPRODUCT(($D92:$W92=$D$2:$W$2)*($D92:$W92&lt;&gt;"")*$D$3:$W$3*($D$4:$W$4=AA$6)))</f>
        <v/>
      </c>
      <c r="AB92" s="10">
        <f>IF($Y92="","",SUMPRODUCT(($D92:$W92=$D$2:$W$2)*($D92:$W92&lt;&gt;"")*$D$3:$W$3*($D$4:$W$4=AB$6)))</f>
        <v/>
      </c>
      <c r="AC92" s="10">
        <f>IF($Y92="","",SUMPRODUCT(($D92:$W92=$D$2:$W$2)*($D92:$W92&lt;&gt;"")*$D$3:$W$3*($D$4:$W$4=AC$6)))</f>
        <v/>
      </c>
    </row>
    <row r="93">
      <c r="A93" s="5" t="n">
        <v>87</v>
      </c>
      <c r="B93" s="5">
        <f>IF('학생명단'!B93="","",'학생명단'!B93)</f>
        <v/>
      </c>
      <c r="C93" s="17">
        <f>IF('학생명단'!C93="","",'학생명단'!C93)</f>
        <v/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10">
        <f>IF(COUNTA(D93:W93)=0,"",SUMPRODUCT((D93:W93=$D$2:$W$2)*(D93:W93&lt;&gt;"")))</f>
        <v/>
      </c>
      <c r="Y93" s="27">
        <f>IF(COUNTA(D93:W93)=0,"",SUMPRODUCT((D93:W93=$D$2:$W$2)*(D93:W93&lt;&gt;"")*$D$3:$W$3))</f>
        <v/>
      </c>
      <c r="Z93" s="10">
        <f>IF($Y93="","",SUMPRODUCT(($D93:$W93=$D$2:$W$2)*($D93:$W93&lt;&gt;"")*$D$3:$W$3*($D$4:$W$4=Z$6)))</f>
        <v/>
      </c>
      <c r="AA93" s="10">
        <f>IF($Y93="","",SUMPRODUCT(($D93:$W93=$D$2:$W$2)*($D93:$W93&lt;&gt;"")*$D$3:$W$3*($D$4:$W$4=AA$6)))</f>
        <v/>
      </c>
      <c r="AB93" s="10">
        <f>IF($Y93="","",SUMPRODUCT(($D93:$W93=$D$2:$W$2)*($D93:$W93&lt;&gt;"")*$D$3:$W$3*($D$4:$W$4=AB$6)))</f>
        <v/>
      </c>
      <c r="AC93" s="10">
        <f>IF($Y93="","",SUMPRODUCT(($D93:$W93=$D$2:$W$2)*($D93:$W93&lt;&gt;"")*$D$3:$W$3*($D$4:$W$4=AC$6)))</f>
        <v/>
      </c>
    </row>
    <row r="94">
      <c r="A94" s="5" t="n">
        <v>88</v>
      </c>
      <c r="B94" s="5">
        <f>IF('학생명단'!B94="","",'학생명단'!B94)</f>
        <v/>
      </c>
      <c r="C94" s="17">
        <f>IF('학생명단'!C94="","",'학생명단'!C94)</f>
        <v/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10">
        <f>IF(COUNTA(D94:W94)=0,"",SUMPRODUCT((D94:W94=$D$2:$W$2)*(D94:W94&lt;&gt;"")))</f>
        <v/>
      </c>
      <c r="Y94" s="27">
        <f>IF(COUNTA(D94:W94)=0,"",SUMPRODUCT((D94:W94=$D$2:$W$2)*(D94:W94&lt;&gt;"")*$D$3:$W$3))</f>
        <v/>
      </c>
      <c r="Z94" s="10">
        <f>IF($Y94="","",SUMPRODUCT(($D94:$W94=$D$2:$W$2)*($D94:$W94&lt;&gt;"")*$D$3:$W$3*($D$4:$W$4=Z$6)))</f>
        <v/>
      </c>
      <c r="AA94" s="10">
        <f>IF($Y94="","",SUMPRODUCT(($D94:$W94=$D$2:$W$2)*($D94:$W94&lt;&gt;"")*$D$3:$W$3*($D$4:$W$4=AA$6)))</f>
        <v/>
      </c>
      <c r="AB94" s="10">
        <f>IF($Y94="","",SUMPRODUCT(($D94:$W94=$D$2:$W$2)*($D94:$W94&lt;&gt;"")*$D$3:$W$3*($D$4:$W$4=AB$6)))</f>
        <v/>
      </c>
      <c r="AC94" s="10">
        <f>IF($Y94="","",SUMPRODUCT(($D94:$W94=$D$2:$W$2)*($D94:$W94&lt;&gt;"")*$D$3:$W$3*($D$4:$W$4=AC$6)))</f>
        <v/>
      </c>
    </row>
    <row r="95">
      <c r="A95" s="5" t="n">
        <v>89</v>
      </c>
      <c r="B95" s="5">
        <f>IF('학생명단'!B95="","",'학생명단'!B95)</f>
        <v/>
      </c>
      <c r="C95" s="17">
        <f>IF('학생명단'!C95="","",'학생명단'!C95)</f>
        <v/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10">
        <f>IF(COUNTA(D95:W95)=0,"",SUMPRODUCT((D95:W95=$D$2:$W$2)*(D95:W95&lt;&gt;"")))</f>
        <v/>
      </c>
      <c r="Y95" s="27">
        <f>IF(COUNTA(D95:W95)=0,"",SUMPRODUCT((D95:W95=$D$2:$W$2)*(D95:W95&lt;&gt;"")*$D$3:$W$3))</f>
        <v/>
      </c>
      <c r="Z95" s="10">
        <f>IF($Y95="","",SUMPRODUCT(($D95:$W95=$D$2:$W$2)*($D95:$W95&lt;&gt;"")*$D$3:$W$3*($D$4:$W$4=Z$6)))</f>
        <v/>
      </c>
      <c r="AA95" s="10">
        <f>IF($Y95="","",SUMPRODUCT(($D95:$W95=$D$2:$W$2)*($D95:$W95&lt;&gt;"")*$D$3:$W$3*($D$4:$W$4=AA$6)))</f>
        <v/>
      </c>
      <c r="AB95" s="10">
        <f>IF($Y95="","",SUMPRODUCT(($D95:$W95=$D$2:$W$2)*($D95:$W95&lt;&gt;"")*$D$3:$W$3*($D$4:$W$4=AB$6)))</f>
        <v/>
      </c>
      <c r="AC95" s="10">
        <f>IF($Y95="","",SUMPRODUCT(($D95:$W95=$D$2:$W$2)*($D95:$W95&lt;&gt;"")*$D$3:$W$3*($D$4:$W$4=AC$6)))</f>
        <v/>
      </c>
    </row>
    <row r="96">
      <c r="A96" s="5" t="n">
        <v>90</v>
      </c>
      <c r="B96" s="5">
        <f>IF('학생명단'!B96="","",'학생명단'!B96)</f>
        <v/>
      </c>
      <c r="C96" s="17">
        <f>IF('학생명단'!C96="","",'학생명단'!C96)</f>
        <v/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10">
        <f>IF(COUNTA(D96:W96)=0,"",SUMPRODUCT((D96:W96=$D$2:$W$2)*(D96:W96&lt;&gt;"")))</f>
        <v/>
      </c>
      <c r="Y96" s="27">
        <f>IF(COUNTA(D96:W96)=0,"",SUMPRODUCT((D96:W96=$D$2:$W$2)*(D96:W96&lt;&gt;"")*$D$3:$W$3))</f>
        <v/>
      </c>
      <c r="Z96" s="10">
        <f>IF($Y96="","",SUMPRODUCT(($D96:$W96=$D$2:$W$2)*($D96:$W96&lt;&gt;"")*$D$3:$W$3*($D$4:$W$4=Z$6)))</f>
        <v/>
      </c>
      <c r="AA96" s="10">
        <f>IF($Y96="","",SUMPRODUCT(($D96:$W96=$D$2:$W$2)*($D96:$W96&lt;&gt;"")*$D$3:$W$3*($D$4:$W$4=AA$6)))</f>
        <v/>
      </c>
      <c r="AB96" s="10">
        <f>IF($Y96="","",SUMPRODUCT(($D96:$W96=$D$2:$W$2)*($D96:$W96&lt;&gt;"")*$D$3:$W$3*($D$4:$W$4=AB$6)))</f>
        <v/>
      </c>
      <c r="AC96" s="10">
        <f>IF($Y96="","",SUMPRODUCT(($D96:$W96=$D$2:$W$2)*($D96:$W96&lt;&gt;"")*$D$3:$W$3*($D$4:$W$4=AC$6)))</f>
        <v/>
      </c>
    </row>
    <row r="97">
      <c r="A97" s="5" t="n">
        <v>91</v>
      </c>
      <c r="B97" s="5">
        <f>IF('학생명단'!B97="","",'학생명단'!B97)</f>
        <v/>
      </c>
      <c r="C97" s="17">
        <f>IF('학생명단'!C97="","",'학생명단'!C97)</f>
        <v/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10">
        <f>IF(COUNTA(D97:W97)=0,"",SUMPRODUCT((D97:W97=$D$2:$W$2)*(D97:W97&lt;&gt;"")))</f>
        <v/>
      </c>
      <c r="Y97" s="27">
        <f>IF(COUNTA(D97:W97)=0,"",SUMPRODUCT((D97:W97=$D$2:$W$2)*(D97:W97&lt;&gt;"")*$D$3:$W$3))</f>
        <v/>
      </c>
      <c r="Z97" s="10">
        <f>IF($Y97="","",SUMPRODUCT(($D97:$W97=$D$2:$W$2)*($D97:$W97&lt;&gt;"")*$D$3:$W$3*($D$4:$W$4=Z$6)))</f>
        <v/>
      </c>
      <c r="AA97" s="10">
        <f>IF($Y97="","",SUMPRODUCT(($D97:$W97=$D$2:$W$2)*($D97:$W97&lt;&gt;"")*$D$3:$W$3*($D$4:$W$4=AA$6)))</f>
        <v/>
      </c>
      <c r="AB97" s="10">
        <f>IF($Y97="","",SUMPRODUCT(($D97:$W97=$D$2:$W$2)*($D97:$W97&lt;&gt;"")*$D$3:$W$3*($D$4:$W$4=AB$6)))</f>
        <v/>
      </c>
      <c r="AC97" s="10">
        <f>IF($Y97="","",SUMPRODUCT(($D97:$W97=$D$2:$W$2)*($D97:$W97&lt;&gt;"")*$D$3:$W$3*($D$4:$W$4=AC$6)))</f>
        <v/>
      </c>
    </row>
    <row r="98">
      <c r="A98" s="5" t="n">
        <v>92</v>
      </c>
      <c r="B98" s="5">
        <f>IF('학생명단'!B98="","",'학생명단'!B98)</f>
        <v/>
      </c>
      <c r="C98" s="17">
        <f>IF('학생명단'!C98="","",'학생명단'!C98)</f>
        <v/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10">
        <f>IF(COUNTA(D98:W98)=0,"",SUMPRODUCT((D98:W98=$D$2:$W$2)*(D98:W98&lt;&gt;"")))</f>
        <v/>
      </c>
      <c r="Y98" s="27">
        <f>IF(COUNTA(D98:W98)=0,"",SUMPRODUCT((D98:W98=$D$2:$W$2)*(D98:W98&lt;&gt;"")*$D$3:$W$3))</f>
        <v/>
      </c>
      <c r="Z98" s="10">
        <f>IF($Y98="","",SUMPRODUCT(($D98:$W98=$D$2:$W$2)*($D98:$W98&lt;&gt;"")*$D$3:$W$3*($D$4:$W$4=Z$6)))</f>
        <v/>
      </c>
      <c r="AA98" s="10">
        <f>IF($Y98="","",SUMPRODUCT(($D98:$W98=$D$2:$W$2)*($D98:$W98&lt;&gt;"")*$D$3:$W$3*($D$4:$W$4=AA$6)))</f>
        <v/>
      </c>
      <c r="AB98" s="10">
        <f>IF($Y98="","",SUMPRODUCT(($D98:$W98=$D$2:$W$2)*($D98:$W98&lt;&gt;"")*$D$3:$W$3*($D$4:$W$4=AB$6)))</f>
        <v/>
      </c>
      <c r="AC98" s="10">
        <f>IF($Y98="","",SUMPRODUCT(($D98:$W98=$D$2:$W$2)*($D98:$W98&lt;&gt;"")*$D$3:$W$3*($D$4:$W$4=AC$6)))</f>
        <v/>
      </c>
    </row>
    <row r="99">
      <c r="A99" s="5" t="n">
        <v>93</v>
      </c>
      <c r="B99" s="5">
        <f>IF('학생명단'!B99="","",'학생명단'!B99)</f>
        <v/>
      </c>
      <c r="C99" s="17">
        <f>IF('학생명단'!C99="","",'학생명단'!C99)</f>
        <v/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10">
        <f>IF(COUNTA(D99:W99)=0,"",SUMPRODUCT((D99:W99=$D$2:$W$2)*(D99:W99&lt;&gt;"")))</f>
        <v/>
      </c>
      <c r="Y99" s="27">
        <f>IF(COUNTA(D99:W99)=0,"",SUMPRODUCT((D99:W99=$D$2:$W$2)*(D99:W99&lt;&gt;"")*$D$3:$W$3))</f>
        <v/>
      </c>
      <c r="Z99" s="10">
        <f>IF($Y99="","",SUMPRODUCT(($D99:$W99=$D$2:$W$2)*($D99:$W99&lt;&gt;"")*$D$3:$W$3*($D$4:$W$4=Z$6)))</f>
        <v/>
      </c>
      <c r="AA99" s="10">
        <f>IF($Y99="","",SUMPRODUCT(($D99:$W99=$D$2:$W$2)*($D99:$W99&lt;&gt;"")*$D$3:$W$3*($D$4:$W$4=AA$6)))</f>
        <v/>
      </c>
      <c r="AB99" s="10">
        <f>IF($Y99="","",SUMPRODUCT(($D99:$W99=$D$2:$W$2)*($D99:$W99&lt;&gt;"")*$D$3:$W$3*($D$4:$W$4=AB$6)))</f>
        <v/>
      </c>
      <c r="AC99" s="10">
        <f>IF($Y99="","",SUMPRODUCT(($D99:$W99=$D$2:$W$2)*($D99:$W99&lt;&gt;"")*$D$3:$W$3*($D$4:$W$4=AC$6)))</f>
        <v/>
      </c>
    </row>
    <row r="100">
      <c r="A100" s="5" t="n">
        <v>94</v>
      </c>
      <c r="B100" s="5">
        <f>IF('학생명단'!B100="","",'학생명단'!B100)</f>
        <v/>
      </c>
      <c r="C100" s="17">
        <f>IF('학생명단'!C100="","",'학생명단'!C100)</f>
        <v/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10">
        <f>IF(COUNTA(D100:W100)=0,"",SUMPRODUCT((D100:W100=$D$2:$W$2)*(D100:W100&lt;&gt;"")))</f>
        <v/>
      </c>
      <c r="Y100" s="27">
        <f>IF(COUNTA(D100:W100)=0,"",SUMPRODUCT((D100:W100=$D$2:$W$2)*(D100:W100&lt;&gt;"")*$D$3:$W$3))</f>
        <v/>
      </c>
      <c r="Z100" s="10">
        <f>IF($Y100="","",SUMPRODUCT(($D100:$W100=$D$2:$W$2)*($D100:$W100&lt;&gt;"")*$D$3:$W$3*($D$4:$W$4=Z$6)))</f>
        <v/>
      </c>
      <c r="AA100" s="10">
        <f>IF($Y100="","",SUMPRODUCT(($D100:$W100=$D$2:$W$2)*($D100:$W100&lt;&gt;"")*$D$3:$W$3*($D$4:$W$4=AA$6)))</f>
        <v/>
      </c>
      <c r="AB100" s="10">
        <f>IF($Y100="","",SUMPRODUCT(($D100:$W100=$D$2:$W$2)*($D100:$W100&lt;&gt;"")*$D$3:$W$3*($D$4:$W$4=AB$6)))</f>
        <v/>
      </c>
      <c r="AC100" s="10">
        <f>IF($Y100="","",SUMPRODUCT(($D100:$W100=$D$2:$W$2)*($D100:$W100&lt;&gt;"")*$D$3:$W$3*($D$4:$W$4=AC$6)))</f>
        <v/>
      </c>
    </row>
    <row r="101">
      <c r="A101" s="5" t="n">
        <v>95</v>
      </c>
      <c r="B101" s="5">
        <f>IF('학생명단'!B101="","",'학생명단'!B101)</f>
        <v/>
      </c>
      <c r="C101" s="17">
        <f>IF('학생명단'!C101="","",'학생명단'!C101)</f>
        <v/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10">
        <f>IF(COUNTA(D101:W101)=0,"",SUMPRODUCT((D101:W101=$D$2:$W$2)*(D101:W101&lt;&gt;"")))</f>
        <v/>
      </c>
      <c r="Y101" s="27">
        <f>IF(COUNTA(D101:W101)=0,"",SUMPRODUCT((D101:W101=$D$2:$W$2)*(D101:W101&lt;&gt;"")*$D$3:$W$3))</f>
        <v/>
      </c>
      <c r="Z101" s="10">
        <f>IF($Y101="","",SUMPRODUCT(($D101:$W101=$D$2:$W$2)*($D101:$W101&lt;&gt;"")*$D$3:$W$3*($D$4:$W$4=Z$6)))</f>
        <v/>
      </c>
      <c r="AA101" s="10">
        <f>IF($Y101="","",SUMPRODUCT(($D101:$W101=$D$2:$W$2)*($D101:$W101&lt;&gt;"")*$D$3:$W$3*($D$4:$W$4=AA$6)))</f>
        <v/>
      </c>
      <c r="AB101" s="10">
        <f>IF($Y101="","",SUMPRODUCT(($D101:$W101=$D$2:$W$2)*($D101:$W101&lt;&gt;"")*$D$3:$W$3*($D$4:$W$4=AB$6)))</f>
        <v/>
      </c>
      <c r="AC101" s="10">
        <f>IF($Y101="","",SUMPRODUCT(($D101:$W101=$D$2:$W$2)*($D101:$W101&lt;&gt;"")*$D$3:$W$3*($D$4:$W$4=AC$6)))</f>
        <v/>
      </c>
    </row>
    <row r="102">
      <c r="A102" s="5" t="n">
        <v>96</v>
      </c>
      <c r="B102" s="5">
        <f>IF('학생명단'!B102="","",'학생명단'!B102)</f>
        <v/>
      </c>
      <c r="C102" s="17">
        <f>IF('학생명단'!C102="","",'학생명단'!C102)</f>
        <v/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10">
        <f>IF(COUNTA(D102:W102)=0,"",SUMPRODUCT((D102:W102=$D$2:$W$2)*(D102:W102&lt;&gt;"")))</f>
        <v/>
      </c>
      <c r="Y102" s="27">
        <f>IF(COUNTA(D102:W102)=0,"",SUMPRODUCT((D102:W102=$D$2:$W$2)*(D102:W102&lt;&gt;"")*$D$3:$W$3))</f>
        <v/>
      </c>
      <c r="Z102" s="10">
        <f>IF($Y102="","",SUMPRODUCT(($D102:$W102=$D$2:$W$2)*($D102:$W102&lt;&gt;"")*$D$3:$W$3*($D$4:$W$4=Z$6)))</f>
        <v/>
      </c>
      <c r="AA102" s="10">
        <f>IF($Y102="","",SUMPRODUCT(($D102:$W102=$D$2:$W$2)*($D102:$W102&lt;&gt;"")*$D$3:$W$3*($D$4:$W$4=AA$6)))</f>
        <v/>
      </c>
      <c r="AB102" s="10">
        <f>IF($Y102="","",SUMPRODUCT(($D102:$W102=$D$2:$W$2)*($D102:$W102&lt;&gt;"")*$D$3:$W$3*($D$4:$W$4=AB$6)))</f>
        <v/>
      </c>
      <c r="AC102" s="10">
        <f>IF($Y102="","",SUMPRODUCT(($D102:$W102=$D$2:$W$2)*($D102:$W102&lt;&gt;"")*$D$3:$W$3*($D$4:$W$4=AC$6)))</f>
        <v/>
      </c>
    </row>
    <row r="103">
      <c r="A103" s="5" t="n">
        <v>97</v>
      </c>
      <c r="B103" s="5">
        <f>IF('학생명단'!B103="","",'학생명단'!B103)</f>
        <v/>
      </c>
      <c r="C103" s="17">
        <f>IF('학생명단'!C103="","",'학생명단'!C103)</f>
        <v/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10">
        <f>IF(COUNTA(D103:W103)=0,"",SUMPRODUCT((D103:W103=$D$2:$W$2)*(D103:W103&lt;&gt;"")))</f>
        <v/>
      </c>
      <c r="Y103" s="27">
        <f>IF(COUNTA(D103:W103)=0,"",SUMPRODUCT((D103:W103=$D$2:$W$2)*(D103:W103&lt;&gt;"")*$D$3:$W$3))</f>
        <v/>
      </c>
      <c r="Z103" s="10">
        <f>IF($Y103="","",SUMPRODUCT(($D103:$W103=$D$2:$W$2)*($D103:$W103&lt;&gt;"")*$D$3:$W$3*($D$4:$W$4=Z$6)))</f>
        <v/>
      </c>
      <c r="AA103" s="10">
        <f>IF($Y103="","",SUMPRODUCT(($D103:$W103=$D$2:$W$2)*($D103:$W103&lt;&gt;"")*$D$3:$W$3*($D$4:$W$4=AA$6)))</f>
        <v/>
      </c>
      <c r="AB103" s="10">
        <f>IF($Y103="","",SUMPRODUCT(($D103:$W103=$D$2:$W$2)*($D103:$W103&lt;&gt;"")*$D$3:$W$3*($D$4:$W$4=AB$6)))</f>
        <v/>
      </c>
      <c r="AC103" s="10">
        <f>IF($Y103="","",SUMPRODUCT(($D103:$W103=$D$2:$W$2)*($D103:$W103&lt;&gt;"")*$D$3:$W$3*($D$4:$W$4=AC$6)))</f>
        <v/>
      </c>
    </row>
    <row r="104">
      <c r="A104" s="5" t="n">
        <v>98</v>
      </c>
      <c r="B104" s="5">
        <f>IF('학생명단'!B104="","",'학생명단'!B104)</f>
        <v/>
      </c>
      <c r="C104" s="17">
        <f>IF('학생명단'!C104="","",'학생명단'!C104)</f>
        <v/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10">
        <f>IF(COUNTA(D104:W104)=0,"",SUMPRODUCT((D104:W104=$D$2:$W$2)*(D104:W104&lt;&gt;"")))</f>
        <v/>
      </c>
      <c r="Y104" s="27">
        <f>IF(COUNTA(D104:W104)=0,"",SUMPRODUCT((D104:W104=$D$2:$W$2)*(D104:W104&lt;&gt;"")*$D$3:$W$3))</f>
        <v/>
      </c>
      <c r="Z104" s="10">
        <f>IF($Y104="","",SUMPRODUCT(($D104:$W104=$D$2:$W$2)*($D104:$W104&lt;&gt;"")*$D$3:$W$3*($D$4:$W$4=Z$6)))</f>
        <v/>
      </c>
      <c r="AA104" s="10">
        <f>IF($Y104="","",SUMPRODUCT(($D104:$W104=$D$2:$W$2)*($D104:$W104&lt;&gt;"")*$D$3:$W$3*($D$4:$W$4=AA$6)))</f>
        <v/>
      </c>
      <c r="AB104" s="10">
        <f>IF($Y104="","",SUMPRODUCT(($D104:$W104=$D$2:$W$2)*($D104:$W104&lt;&gt;"")*$D$3:$W$3*($D$4:$W$4=AB$6)))</f>
        <v/>
      </c>
      <c r="AC104" s="10">
        <f>IF($Y104="","",SUMPRODUCT(($D104:$W104=$D$2:$W$2)*($D104:$W104&lt;&gt;"")*$D$3:$W$3*($D$4:$W$4=AC$6)))</f>
        <v/>
      </c>
    </row>
    <row r="105">
      <c r="A105" s="5" t="n">
        <v>99</v>
      </c>
      <c r="B105" s="5">
        <f>IF('학생명단'!B105="","",'학생명단'!B105)</f>
        <v/>
      </c>
      <c r="C105" s="17">
        <f>IF('학생명단'!C105="","",'학생명단'!C105)</f>
        <v/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10">
        <f>IF(COUNTA(D105:W105)=0,"",SUMPRODUCT((D105:W105=$D$2:$W$2)*(D105:W105&lt;&gt;"")))</f>
        <v/>
      </c>
      <c r="Y105" s="27">
        <f>IF(COUNTA(D105:W105)=0,"",SUMPRODUCT((D105:W105=$D$2:$W$2)*(D105:W105&lt;&gt;"")*$D$3:$W$3))</f>
        <v/>
      </c>
      <c r="Z105" s="10">
        <f>IF($Y105="","",SUMPRODUCT(($D105:$W105=$D$2:$W$2)*($D105:$W105&lt;&gt;"")*$D$3:$W$3*($D$4:$W$4=Z$6)))</f>
        <v/>
      </c>
      <c r="AA105" s="10">
        <f>IF($Y105="","",SUMPRODUCT(($D105:$W105=$D$2:$W$2)*($D105:$W105&lt;&gt;"")*$D$3:$W$3*($D$4:$W$4=AA$6)))</f>
        <v/>
      </c>
      <c r="AB105" s="10">
        <f>IF($Y105="","",SUMPRODUCT(($D105:$W105=$D$2:$W$2)*($D105:$W105&lt;&gt;"")*$D$3:$W$3*($D$4:$W$4=AB$6)))</f>
        <v/>
      </c>
      <c r="AC105" s="10">
        <f>IF($Y105="","",SUMPRODUCT(($D105:$W105=$D$2:$W$2)*($D105:$W105&lt;&gt;"")*$D$3:$W$3*($D$4:$W$4=AC$6)))</f>
        <v/>
      </c>
    </row>
    <row r="106">
      <c r="A106" s="5" t="n">
        <v>100</v>
      </c>
      <c r="B106" s="5">
        <f>IF('학생명단'!B106="","",'학생명단'!B106)</f>
        <v/>
      </c>
      <c r="C106" s="17">
        <f>IF('학생명단'!C106="","",'학생명단'!C106)</f>
        <v/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10">
        <f>IF(COUNTA(D106:W106)=0,"",SUMPRODUCT((D106:W106=$D$2:$W$2)*(D106:W106&lt;&gt;"")))</f>
        <v/>
      </c>
      <c r="Y106" s="27">
        <f>IF(COUNTA(D106:W106)=0,"",SUMPRODUCT((D106:W106=$D$2:$W$2)*(D106:W106&lt;&gt;"")*$D$3:$W$3))</f>
        <v/>
      </c>
      <c r="Z106" s="10">
        <f>IF($Y106="","",SUMPRODUCT(($D106:$W106=$D$2:$W$2)*($D106:$W106&lt;&gt;"")*$D$3:$W$3*($D$4:$W$4=Z$6)))</f>
        <v/>
      </c>
      <c r="AA106" s="10">
        <f>IF($Y106="","",SUMPRODUCT(($D106:$W106=$D$2:$W$2)*($D106:$W106&lt;&gt;"")*$D$3:$W$3*($D$4:$W$4=AA$6)))</f>
        <v/>
      </c>
      <c r="AB106" s="10">
        <f>IF($Y106="","",SUMPRODUCT(($D106:$W106=$D$2:$W$2)*($D106:$W106&lt;&gt;"")*$D$3:$W$3*($D$4:$W$4=AB$6)))</f>
        <v/>
      </c>
      <c r="AC106" s="10">
        <f>IF($Y106="","",SUMPRODUCT(($D106:$W106=$D$2:$W$2)*($D106:$W106&lt;&gt;"")*$D$3:$W$3*($D$4:$W$4=AC$6)))</f>
        <v/>
      </c>
    </row>
    <row r="107">
      <c r="A107" s="5" t="n">
        <v>101</v>
      </c>
      <c r="B107" s="5">
        <f>IF('학생명단'!B107="","",'학생명단'!B107)</f>
        <v/>
      </c>
      <c r="C107" s="17">
        <f>IF('학생명단'!C107="","",'학생명단'!C107)</f>
        <v/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10">
        <f>IF(COUNTA(D107:W107)=0,"",SUMPRODUCT((D107:W107=$D$2:$W$2)*(D107:W107&lt;&gt;"")))</f>
        <v/>
      </c>
      <c r="Y107" s="27">
        <f>IF(COUNTA(D107:W107)=0,"",SUMPRODUCT((D107:W107=$D$2:$W$2)*(D107:W107&lt;&gt;"")*$D$3:$W$3))</f>
        <v/>
      </c>
      <c r="Z107" s="10">
        <f>IF($Y107="","",SUMPRODUCT(($D107:$W107=$D$2:$W$2)*($D107:$W107&lt;&gt;"")*$D$3:$W$3*($D$4:$W$4=Z$6)))</f>
        <v/>
      </c>
      <c r="AA107" s="10">
        <f>IF($Y107="","",SUMPRODUCT(($D107:$W107=$D$2:$W$2)*($D107:$W107&lt;&gt;"")*$D$3:$W$3*($D$4:$W$4=AA$6)))</f>
        <v/>
      </c>
      <c r="AB107" s="10">
        <f>IF($Y107="","",SUMPRODUCT(($D107:$W107=$D$2:$W$2)*($D107:$W107&lt;&gt;"")*$D$3:$W$3*($D$4:$W$4=AB$6)))</f>
        <v/>
      </c>
      <c r="AC107" s="10">
        <f>IF($Y107="","",SUMPRODUCT(($D107:$W107=$D$2:$W$2)*($D107:$W107&lt;&gt;"")*$D$3:$W$3*($D$4:$W$4=AC$6)))</f>
        <v/>
      </c>
    </row>
    <row r="108">
      <c r="A108" s="5" t="n">
        <v>102</v>
      </c>
      <c r="B108" s="5">
        <f>IF('학생명단'!B108="","",'학생명단'!B108)</f>
        <v/>
      </c>
      <c r="C108" s="17">
        <f>IF('학생명단'!C108="","",'학생명단'!C108)</f>
        <v/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10">
        <f>IF(COUNTA(D108:W108)=0,"",SUMPRODUCT((D108:W108=$D$2:$W$2)*(D108:W108&lt;&gt;"")))</f>
        <v/>
      </c>
      <c r="Y108" s="27">
        <f>IF(COUNTA(D108:W108)=0,"",SUMPRODUCT((D108:W108=$D$2:$W$2)*(D108:W108&lt;&gt;"")*$D$3:$W$3))</f>
        <v/>
      </c>
      <c r="Z108" s="10">
        <f>IF($Y108="","",SUMPRODUCT(($D108:$W108=$D$2:$W$2)*($D108:$W108&lt;&gt;"")*$D$3:$W$3*($D$4:$W$4=Z$6)))</f>
        <v/>
      </c>
      <c r="AA108" s="10">
        <f>IF($Y108="","",SUMPRODUCT(($D108:$W108=$D$2:$W$2)*($D108:$W108&lt;&gt;"")*$D$3:$W$3*($D$4:$W$4=AA$6)))</f>
        <v/>
      </c>
      <c r="AB108" s="10">
        <f>IF($Y108="","",SUMPRODUCT(($D108:$W108=$D$2:$W$2)*($D108:$W108&lt;&gt;"")*$D$3:$W$3*($D$4:$W$4=AB$6)))</f>
        <v/>
      </c>
      <c r="AC108" s="10">
        <f>IF($Y108="","",SUMPRODUCT(($D108:$W108=$D$2:$W$2)*($D108:$W108&lt;&gt;"")*$D$3:$W$3*($D$4:$W$4=AC$6)))</f>
        <v/>
      </c>
    </row>
    <row r="109">
      <c r="A109" s="5" t="n">
        <v>103</v>
      </c>
      <c r="B109" s="5">
        <f>IF('학생명단'!B109="","",'학생명단'!B109)</f>
        <v/>
      </c>
      <c r="C109" s="17">
        <f>IF('학생명단'!C109="","",'학생명단'!C109)</f>
        <v/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10">
        <f>IF(COUNTA(D109:W109)=0,"",SUMPRODUCT((D109:W109=$D$2:$W$2)*(D109:W109&lt;&gt;"")))</f>
        <v/>
      </c>
      <c r="Y109" s="27">
        <f>IF(COUNTA(D109:W109)=0,"",SUMPRODUCT((D109:W109=$D$2:$W$2)*(D109:W109&lt;&gt;"")*$D$3:$W$3))</f>
        <v/>
      </c>
      <c r="Z109" s="10">
        <f>IF($Y109="","",SUMPRODUCT(($D109:$W109=$D$2:$W$2)*($D109:$W109&lt;&gt;"")*$D$3:$W$3*($D$4:$W$4=Z$6)))</f>
        <v/>
      </c>
      <c r="AA109" s="10">
        <f>IF($Y109="","",SUMPRODUCT(($D109:$W109=$D$2:$W$2)*($D109:$W109&lt;&gt;"")*$D$3:$W$3*($D$4:$W$4=AA$6)))</f>
        <v/>
      </c>
      <c r="AB109" s="10">
        <f>IF($Y109="","",SUMPRODUCT(($D109:$W109=$D$2:$W$2)*($D109:$W109&lt;&gt;"")*$D$3:$W$3*($D$4:$W$4=AB$6)))</f>
        <v/>
      </c>
      <c r="AC109" s="10">
        <f>IF($Y109="","",SUMPRODUCT(($D109:$W109=$D$2:$W$2)*($D109:$W109&lt;&gt;"")*$D$3:$W$3*($D$4:$W$4=AC$6)))</f>
        <v/>
      </c>
    </row>
    <row r="110">
      <c r="A110" s="5" t="n">
        <v>104</v>
      </c>
      <c r="B110" s="5">
        <f>IF('학생명단'!B110="","",'학생명단'!B110)</f>
        <v/>
      </c>
      <c r="C110" s="17">
        <f>IF('학생명단'!C110="","",'학생명단'!C110)</f>
        <v/>
      </c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10">
        <f>IF(COUNTA(D110:W110)=0,"",SUMPRODUCT((D110:W110=$D$2:$W$2)*(D110:W110&lt;&gt;"")))</f>
        <v/>
      </c>
      <c r="Y110" s="27">
        <f>IF(COUNTA(D110:W110)=0,"",SUMPRODUCT((D110:W110=$D$2:$W$2)*(D110:W110&lt;&gt;"")*$D$3:$W$3))</f>
        <v/>
      </c>
      <c r="Z110" s="10">
        <f>IF($Y110="","",SUMPRODUCT(($D110:$W110=$D$2:$W$2)*($D110:$W110&lt;&gt;"")*$D$3:$W$3*($D$4:$W$4=Z$6)))</f>
        <v/>
      </c>
      <c r="AA110" s="10">
        <f>IF($Y110="","",SUMPRODUCT(($D110:$W110=$D$2:$W$2)*($D110:$W110&lt;&gt;"")*$D$3:$W$3*($D$4:$W$4=AA$6)))</f>
        <v/>
      </c>
      <c r="AB110" s="10">
        <f>IF($Y110="","",SUMPRODUCT(($D110:$W110=$D$2:$W$2)*($D110:$W110&lt;&gt;"")*$D$3:$W$3*($D$4:$W$4=AB$6)))</f>
        <v/>
      </c>
      <c r="AC110" s="10">
        <f>IF($Y110="","",SUMPRODUCT(($D110:$W110=$D$2:$W$2)*($D110:$W110&lt;&gt;"")*$D$3:$W$3*($D$4:$W$4=AC$6)))</f>
        <v/>
      </c>
    </row>
    <row r="111">
      <c r="A111" s="5" t="n">
        <v>105</v>
      </c>
      <c r="B111" s="5">
        <f>IF('학생명단'!B111="","",'학생명단'!B111)</f>
        <v/>
      </c>
      <c r="C111" s="17">
        <f>IF('학생명단'!C111="","",'학생명단'!C111)</f>
        <v/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10">
        <f>IF(COUNTA(D111:W111)=0,"",SUMPRODUCT((D111:W111=$D$2:$W$2)*(D111:W111&lt;&gt;"")))</f>
        <v/>
      </c>
      <c r="Y111" s="27">
        <f>IF(COUNTA(D111:W111)=0,"",SUMPRODUCT((D111:W111=$D$2:$W$2)*(D111:W111&lt;&gt;"")*$D$3:$W$3))</f>
        <v/>
      </c>
      <c r="Z111" s="10">
        <f>IF($Y111="","",SUMPRODUCT(($D111:$W111=$D$2:$W$2)*($D111:$W111&lt;&gt;"")*$D$3:$W$3*($D$4:$W$4=Z$6)))</f>
        <v/>
      </c>
      <c r="AA111" s="10">
        <f>IF($Y111="","",SUMPRODUCT(($D111:$W111=$D$2:$W$2)*($D111:$W111&lt;&gt;"")*$D$3:$W$3*($D$4:$W$4=AA$6)))</f>
        <v/>
      </c>
      <c r="AB111" s="10">
        <f>IF($Y111="","",SUMPRODUCT(($D111:$W111=$D$2:$W$2)*($D111:$W111&lt;&gt;"")*$D$3:$W$3*($D$4:$W$4=AB$6)))</f>
        <v/>
      </c>
      <c r="AC111" s="10">
        <f>IF($Y111="","",SUMPRODUCT(($D111:$W111=$D$2:$W$2)*($D111:$W111&lt;&gt;"")*$D$3:$W$3*($D$4:$W$4=AC$6)))</f>
        <v/>
      </c>
    </row>
    <row r="112">
      <c r="A112" s="5" t="n">
        <v>106</v>
      </c>
      <c r="B112" s="5">
        <f>IF('학생명단'!B112="","",'학생명단'!B112)</f>
        <v/>
      </c>
      <c r="C112" s="17">
        <f>IF('학생명단'!C112="","",'학생명단'!C112)</f>
        <v/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10">
        <f>IF(COUNTA(D112:W112)=0,"",SUMPRODUCT((D112:W112=$D$2:$W$2)*(D112:W112&lt;&gt;"")))</f>
        <v/>
      </c>
      <c r="Y112" s="27">
        <f>IF(COUNTA(D112:W112)=0,"",SUMPRODUCT((D112:W112=$D$2:$W$2)*(D112:W112&lt;&gt;"")*$D$3:$W$3))</f>
        <v/>
      </c>
      <c r="Z112" s="10">
        <f>IF($Y112="","",SUMPRODUCT(($D112:$W112=$D$2:$W$2)*($D112:$W112&lt;&gt;"")*$D$3:$W$3*($D$4:$W$4=Z$6)))</f>
        <v/>
      </c>
      <c r="AA112" s="10">
        <f>IF($Y112="","",SUMPRODUCT(($D112:$W112=$D$2:$W$2)*($D112:$W112&lt;&gt;"")*$D$3:$W$3*($D$4:$W$4=AA$6)))</f>
        <v/>
      </c>
      <c r="AB112" s="10">
        <f>IF($Y112="","",SUMPRODUCT(($D112:$W112=$D$2:$W$2)*($D112:$W112&lt;&gt;"")*$D$3:$W$3*($D$4:$W$4=AB$6)))</f>
        <v/>
      </c>
      <c r="AC112" s="10">
        <f>IF($Y112="","",SUMPRODUCT(($D112:$W112=$D$2:$W$2)*($D112:$W112&lt;&gt;"")*$D$3:$W$3*($D$4:$W$4=AC$6)))</f>
        <v/>
      </c>
    </row>
    <row r="113">
      <c r="A113" s="5" t="n">
        <v>107</v>
      </c>
      <c r="B113" s="5">
        <f>IF('학생명단'!B113="","",'학생명단'!B113)</f>
        <v/>
      </c>
      <c r="C113" s="17">
        <f>IF('학생명단'!C113="","",'학생명단'!C113)</f>
        <v/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10">
        <f>IF(COUNTA(D113:W113)=0,"",SUMPRODUCT((D113:W113=$D$2:$W$2)*(D113:W113&lt;&gt;"")))</f>
        <v/>
      </c>
      <c r="Y113" s="27">
        <f>IF(COUNTA(D113:W113)=0,"",SUMPRODUCT((D113:W113=$D$2:$W$2)*(D113:W113&lt;&gt;"")*$D$3:$W$3))</f>
        <v/>
      </c>
      <c r="Z113" s="10">
        <f>IF($Y113="","",SUMPRODUCT(($D113:$W113=$D$2:$W$2)*($D113:$W113&lt;&gt;"")*$D$3:$W$3*($D$4:$W$4=Z$6)))</f>
        <v/>
      </c>
      <c r="AA113" s="10">
        <f>IF($Y113="","",SUMPRODUCT(($D113:$W113=$D$2:$W$2)*($D113:$W113&lt;&gt;"")*$D$3:$W$3*($D$4:$W$4=AA$6)))</f>
        <v/>
      </c>
      <c r="AB113" s="10">
        <f>IF($Y113="","",SUMPRODUCT(($D113:$W113=$D$2:$W$2)*($D113:$W113&lt;&gt;"")*$D$3:$W$3*($D$4:$W$4=AB$6)))</f>
        <v/>
      </c>
      <c r="AC113" s="10">
        <f>IF($Y113="","",SUMPRODUCT(($D113:$W113=$D$2:$W$2)*($D113:$W113&lt;&gt;"")*$D$3:$W$3*($D$4:$W$4=AC$6)))</f>
        <v/>
      </c>
    </row>
    <row r="114">
      <c r="A114" s="5" t="n">
        <v>108</v>
      </c>
      <c r="B114" s="5">
        <f>IF('학생명단'!B114="","",'학생명단'!B114)</f>
        <v/>
      </c>
      <c r="C114" s="17">
        <f>IF('학생명단'!C114="","",'학생명단'!C114)</f>
        <v/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10">
        <f>IF(COUNTA(D114:W114)=0,"",SUMPRODUCT((D114:W114=$D$2:$W$2)*(D114:W114&lt;&gt;"")))</f>
        <v/>
      </c>
      <c r="Y114" s="27">
        <f>IF(COUNTA(D114:W114)=0,"",SUMPRODUCT((D114:W114=$D$2:$W$2)*(D114:W114&lt;&gt;"")*$D$3:$W$3))</f>
        <v/>
      </c>
      <c r="Z114" s="10">
        <f>IF($Y114="","",SUMPRODUCT(($D114:$W114=$D$2:$W$2)*($D114:$W114&lt;&gt;"")*$D$3:$W$3*($D$4:$W$4=Z$6)))</f>
        <v/>
      </c>
      <c r="AA114" s="10">
        <f>IF($Y114="","",SUMPRODUCT(($D114:$W114=$D$2:$W$2)*($D114:$W114&lt;&gt;"")*$D$3:$W$3*($D$4:$W$4=AA$6)))</f>
        <v/>
      </c>
      <c r="AB114" s="10">
        <f>IF($Y114="","",SUMPRODUCT(($D114:$W114=$D$2:$W$2)*($D114:$W114&lt;&gt;"")*$D$3:$W$3*($D$4:$W$4=AB$6)))</f>
        <v/>
      </c>
      <c r="AC114" s="10">
        <f>IF($Y114="","",SUMPRODUCT(($D114:$W114=$D$2:$W$2)*($D114:$W114&lt;&gt;"")*$D$3:$W$3*($D$4:$W$4=AC$6)))</f>
        <v/>
      </c>
    </row>
    <row r="115">
      <c r="A115" s="5" t="n">
        <v>109</v>
      </c>
      <c r="B115" s="5">
        <f>IF('학생명단'!B115="","",'학생명단'!B115)</f>
        <v/>
      </c>
      <c r="C115" s="17">
        <f>IF('학생명단'!C115="","",'학생명단'!C115)</f>
        <v/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10">
        <f>IF(COUNTA(D115:W115)=0,"",SUMPRODUCT((D115:W115=$D$2:$W$2)*(D115:W115&lt;&gt;"")))</f>
        <v/>
      </c>
      <c r="Y115" s="27">
        <f>IF(COUNTA(D115:W115)=0,"",SUMPRODUCT((D115:W115=$D$2:$W$2)*(D115:W115&lt;&gt;"")*$D$3:$W$3))</f>
        <v/>
      </c>
      <c r="Z115" s="10">
        <f>IF($Y115="","",SUMPRODUCT(($D115:$W115=$D$2:$W$2)*($D115:$W115&lt;&gt;"")*$D$3:$W$3*($D$4:$W$4=Z$6)))</f>
        <v/>
      </c>
      <c r="AA115" s="10">
        <f>IF($Y115="","",SUMPRODUCT(($D115:$W115=$D$2:$W$2)*($D115:$W115&lt;&gt;"")*$D$3:$W$3*($D$4:$W$4=AA$6)))</f>
        <v/>
      </c>
      <c r="AB115" s="10">
        <f>IF($Y115="","",SUMPRODUCT(($D115:$W115=$D$2:$W$2)*($D115:$W115&lt;&gt;"")*$D$3:$W$3*($D$4:$W$4=AB$6)))</f>
        <v/>
      </c>
      <c r="AC115" s="10">
        <f>IF($Y115="","",SUMPRODUCT(($D115:$W115=$D$2:$W$2)*($D115:$W115&lt;&gt;"")*$D$3:$W$3*($D$4:$W$4=AC$6)))</f>
        <v/>
      </c>
    </row>
    <row r="116">
      <c r="A116" s="5" t="n">
        <v>110</v>
      </c>
      <c r="B116" s="5">
        <f>IF('학생명단'!B116="","",'학생명단'!B116)</f>
        <v/>
      </c>
      <c r="C116" s="17">
        <f>IF('학생명단'!C116="","",'학생명단'!C116)</f>
        <v/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10">
        <f>IF(COUNTA(D116:W116)=0,"",SUMPRODUCT((D116:W116=$D$2:$W$2)*(D116:W116&lt;&gt;"")))</f>
        <v/>
      </c>
      <c r="Y116" s="27">
        <f>IF(COUNTA(D116:W116)=0,"",SUMPRODUCT((D116:W116=$D$2:$W$2)*(D116:W116&lt;&gt;"")*$D$3:$W$3))</f>
        <v/>
      </c>
      <c r="Z116" s="10">
        <f>IF($Y116="","",SUMPRODUCT(($D116:$W116=$D$2:$W$2)*($D116:$W116&lt;&gt;"")*$D$3:$W$3*($D$4:$W$4=Z$6)))</f>
        <v/>
      </c>
      <c r="AA116" s="10">
        <f>IF($Y116="","",SUMPRODUCT(($D116:$W116=$D$2:$W$2)*($D116:$W116&lt;&gt;"")*$D$3:$W$3*($D$4:$W$4=AA$6)))</f>
        <v/>
      </c>
      <c r="AB116" s="10">
        <f>IF($Y116="","",SUMPRODUCT(($D116:$W116=$D$2:$W$2)*($D116:$W116&lt;&gt;"")*$D$3:$W$3*($D$4:$W$4=AB$6)))</f>
        <v/>
      </c>
      <c r="AC116" s="10">
        <f>IF($Y116="","",SUMPRODUCT(($D116:$W116=$D$2:$W$2)*($D116:$W116&lt;&gt;"")*$D$3:$W$3*($D$4:$W$4=AC$6)))</f>
        <v/>
      </c>
    </row>
    <row r="117">
      <c r="A117" s="5" t="n">
        <v>111</v>
      </c>
      <c r="B117" s="5">
        <f>IF('학생명단'!B117="","",'학생명단'!B117)</f>
        <v/>
      </c>
      <c r="C117" s="17">
        <f>IF('학생명단'!C117="","",'학생명단'!C117)</f>
        <v/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10">
        <f>IF(COUNTA(D117:W117)=0,"",SUMPRODUCT((D117:W117=$D$2:$W$2)*(D117:W117&lt;&gt;"")))</f>
        <v/>
      </c>
      <c r="Y117" s="27">
        <f>IF(COUNTA(D117:W117)=0,"",SUMPRODUCT((D117:W117=$D$2:$W$2)*(D117:W117&lt;&gt;"")*$D$3:$W$3))</f>
        <v/>
      </c>
      <c r="Z117" s="10">
        <f>IF($Y117="","",SUMPRODUCT(($D117:$W117=$D$2:$W$2)*($D117:$W117&lt;&gt;"")*$D$3:$W$3*($D$4:$W$4=Z$6)))</f>
        <v/>
      </c>
      <c r="AA117" s="10">
        <f>IF($Y117="","",SUMPRODUCT(($D117:$W117=$D$2:$W$2)*($D117:$W117&lt;&gt;"")*$D$3:$W$3*($D$4:$W$4=AA$6)))</f>
        <v/>
      </c>
      <c r="AB117" s="10">
        <f>IF($Y117="","",SUMPRODUCT(($D117:$W117=$D$2:$W$2)*($D117:$W117&lt;&gt;"")*$D$3:$W$3*($D$4:$W$4=AB$6)))</f>
        <v/>
      </c>
      <c r="AC117" s="10">
        <f>IF($Y117="","",SUMPRODUCT(($D117:$W117=$D$2:$W$2)*($D117:$W117&lt;&gt;"")*$D$3:$W$3*($D$4:$W$4=AC$6)))</f>
        <v/>
      </c>
    </row>
    <row r="118">
      <c r="A118" s="5" t="n">
        <v>112</v>
      </c>
      <c r="B118" s="5">
        <f>IF('학생명단'!B118="","",'학생명단'!B118)</f>
        <v/>
      </c>
      <c r="C118" s="17">
        <f>IF('학생명단'!C118="","",'학생명단'!C118)</f>
        <v/>
      </c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10">
        <f>IF(COUNTA(D118:W118)=0,"",SUMPRODUCT((D118:W118=$D$2:$W$2)*(D118:W118&lt;&gt;"")))</f>
        <v/>
      </c>
      <c r="Y118" s="27">
        <f>IF(COUNTA(D118:W118)=0,"",SUMPRODUCT((D118:W118=$D$2:$W$2)*(D118:W118&lt;&gt;"")*$D$3:$W$3))</f>
        <v/>
      </c>
      <c r="Z118" s="10">
        <f>IF($Y118="","",SUMPRODUCT(($D118:$W118=$D$2:$W$2)*($D118:$W118&lt;&gt;"")*$D$3:$W$3*($D$4:$W$4=Z$6)))</f>
        <v/>
      </c>
      <c r="AA118" s="10">
        <f>IF($Y118="","",SUMPRODUCT(($D118:$W118=$D$2:$W$2)*($D118:$W118&lt;&gt;"")*$D$3:$W$3*($D$4:$W$4=AA$6)))</f>
        <v/>
      </c>
      <c r="AB118" s="10">
        <f>IF($Y118="","",SUMPRODUCT(($D118:$W118=$D$2:$W$2)*($D118:$W118&lt;&gt;"")*$D$3:$W$3*($D$4:$W$4=AB$6)))</f>
        <v/>
      </c>
      <c r="AC118" s="10">
        <f>IF($Y118="","",SUMPRODUCT(($D118:$W118=$D$2:$W$2)*($D118:$W118&lt;&gt;"")*$D$3:$W$3*($D$4:$W$4=AC$6)))</f>
        <v/>
      </c>
    </row>
    <row r="119">
      <c r="A119" s="5" t="n">
        <v>113</v>
      </c>
      <c r="B119" s="5">
        <f>IF('학생명단'!B119="","",'학생명단'!B119)</f>
        <v/>
      </c>
      <c r="C119" s="17">
        <f>IF('학생명단'!C119="","",'학생명단'!C119)</f>
        <v/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10">
        <f>IF(COUNTA(D119:W119)=0,"",SUMPRODUCT((D119:W119=$D$2:$W$2)*(D119:W119&lt;&gt;"")))</f>
        <v/>
      </c>
      <c r="Y119" s="27">
        <f>IF(COUNTA(D119:W119)=0,"",SUMPRODUCT((D119:W119=$D$2:$W$2)*(D119:W119&lt;&gt;"")*$D$3:$W$3))</f>
        <v/>
      </c>
      <c r="Z119" s="10">
        <f>IF($Y119="","",SUMPRODUCT(($D119:$W119=$D$2:$W$2)*($D119:$W119&lt;&gt;"")*$D$3:$W$3*($D$4:$W$4=Z$6)))</f>
        <v/>
      </c>
      <c r="AA119" s="10">
        <f>IF($Y119="","",SUMPRODUCT(($D119:$W119=$D$2:$W$2)*($D119:$W119&lt;&gt;"")*$D$3:$W$3*($D$4:$W$4=AA$6)))</f>
        <v/>
      </c>
      <c r="AB119" s="10">
        <f>IF($Y119="","",SUMPRODUCT(($D119:$W119=$D$2:$W$2)*($D119:$W119&lt;&gt;"")*$D$3:$W$3*($D$4:$W$4=AB$6)))</f>
        <v/>
      </c>
      <c r="AC119" s="10">
        <f>IF($Y119="","",SUMPRODUCT(($D119:$W119=$D$2:$W$2)*($D119:$W119&lt;&gt;"")*$D$3:$W$3*($D$4:$W$4=AC$6)))</f>
        <v/>
      </c>
    </row>
    <row r="120">
      <c r="A120" s="5" t="n">
        <v>114</v>
      </c>
      <c r="B120" s="5">
        <f>IF('학생명단'!B120="","",'학생명단'!B120)</f>
        <v/>
      </c>
      <c r="C120" s="17">
        <f>IF('학생명단'!C120="","",'학생명단'!C120)</f>
        <v/>
      </c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10">
        <f>IF(COUNTA(D120:W120)=0,"",SUMPRODUCT((D120:W120=$D$2:$W$2)*(D120:W120&lt;&gt;"")))</f>
        <v/>
      </c>
      <c r="Y120" s="27">
        <f>IF(COUNTA(D120:W120)=0,"",SUMPRODUCT((D120:W120=$D$2:$W$2)*(D120:W120&lt;&gt;"")*$D$3:$W$3))</f>
        <v/>
      </c>
      <c r="Z120" s="10">
        <f>IF($Y120="","",SUMPRODUCT(($D120:$W120=$D$2:$W$2)*($D120:$W120&lt;&gt;"")*$D$3:$W$3*($D$4:$W$4=Z$6)))</f>
        <v/>
      </c>
      <c r="AA120" s="10">
        <f>IF($Y120="","",SUMPRODUCT(($D120:$W120=$D$2:$W$2)*($D120:$W120&lt;&gt;"")*$D$3:$W$3*($D$4:$W$4=AA$6)))</f>
        <v/>
      </c>
      <c r="AB120" s="10">
        <f>IF($Y120="","",SUMPRODUCT(($D120:$W120=$D$2:$W$2)*($D120:$W120&lt;&gt;"")*$D$3:$W$3*($D$4:$W$4=AB$6)))</f>
        <v/>
      </c>
      <c r="AC120" s="10">
        <f>IF($Y120="","",SUMPRODUCT(($D120:$W120=$D$2:$W$2)*($D120:$W120&lt;&gt;"")*$D$3:$W$3*($D$4:$W$4=AC$6)))</f>
        <v/>
      </c>
    </row>
    <row r="121">
      <c r="A121" s="5" t="n">
        <v>115</v>
      </c>
      <c r="B121" s="5">
        <f>IF('학생명단'!B121="","",'학생명단'!B121)</f>
        <v/>
      </c>
      <c r="C121" s="17">
        <f>IF('학생명단'!C121="","",'학생명단'!C121)</f>
        <v/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10">
        <f>IF(COUNTA(D121:W121)=0,"",SUMPRODUCT((D121:W121=$D$2:$W$2)*(D121:W121&lt;&gt;"")))</f>
        <v/>
      </c>
      <c r="Y121" s="27">
        <f>IF(COUNTA(D121:W121)=0,"",SUMPRODUCT((D121:W121=$D$2:$W$2)*(D121:W121&lt;&gt;"")*$D$3:$W$3))</f>
        <v/>
      </c>
      <c r="Z121" s="10">
        <f>IF($Y121="","",SUMPRODUCT(($D121:$W121=$D$2:$W$2)*($D121:$W121&lt;&gt;"")*$D$3:$W$3*($D$4:$W$4=Z$6)))</f>
        <v/>
      </c>
      <c r="AA121" s="10">
        <f>IF($Y121="","",SUMPRODUCT(($D121:$W121=$D$2:$W$2)*($D121:$W121&lt;&gt;"")*$D$3:$W$3*($D$4:$W$4=AA$6)))</f>
        <v/>
      </c>
      <c r="AB121" s="10">
        <f>IF($Y121="","",SUMPRODUCT(($D121:$W121=$D$2:$W$2)*($D121:$W121&lt;&gt;"")*$D$3:$W$3*($D$4:$W$4=AB$6)))</f>
        <v/>
      </c>
      <c r="AC121" s="10">
        <f>IF($Y121="","",SUMPRODUCT(($D121:$W121=$D$2:$W$2)*($D121:$W121&lt;&gt;"")*$D$3:$W$3*($D$4:$W$4=AC$6)))</f>
        <v/>
      </c>
    </row>
    <row r="122">
      <c r="A122" s="5" t="n">
        <v>116</v>
      </c>
      <c r="B122" s="5">
        <f>IF('학생명단'!B122="","",'학생명단'!B122)</f>
        <v/>
      </c>
      <c r="C122" s="17">
        <f>IF('학생명단'!C122="","",'학생명단'!C122)</f>
        <v/>
      </c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10">
        <f>IF(COUNTA(D122:W122)=0,"",SUMPRODUCT((D122:W122=$D$2:$W$2)*(D122:W122&lt;&gt;"")))</f>
        <v/>
      </c>
      <c r="Y122" s="27">
        <f>IF(COUNTA(D122:W122)=0,"",SUMPRODUCT((D122:W122=$D$2:$W$2)*(D122:W122&lt;&gt;"")*$D$3:$W$3))</f>
        <v/>
      </c>
      <c r="Z122" s="10">
        <f>IF($Y122="","",SUMPRODUCT(($D122:$W122=$D$2:$W$2)*($D122:$W122&lt;&gt;"")*$D$3:$W$3*($D$4:$W$4=Z$6)))</f>
        <v/>
      </c>
      <c r="AA122" s="10">
        <f>IF($Y122="","",SUMPRODUCT(($D122:$W122=$D$2:$W$2)*($D122:$W122&lt;&gt;"")*$D$3:$W$3*($D$4:$W$4=AA$6)))</f>
        <v/>
      </c>
      <c r="AB122" s="10">
        <f>IF($Y122="","",SUMPRODUCT(($D122:$W122=$D$2:$W$2)*($D122:$W122&lt;&gt;"")*$D$3:$W$3*($D$4:$W$4=AB$6)))</f>
        <v/>
      </c>
      <c r="AC122" s="10">
        <f>IF($Y122="","",SUMPRODUCT(($D122:$W122=$D$2:$W$2)*($D122:$W122&lt;&gt;"")*$D$3:$W$3*($D$4:$W$4=AC$6)))</f>
        <v/>
      </c>
    </row>
    <row r="123">
      <c r="A123" s="5" t="n">
        <v>117</v>
      </c>
      <c r="B123" s="5">
        <f>IF('학생명단'!B123="","",'학생명단'!B123)</f>
        <v/>
      </c>
      <c r="C123" s="17">
        <f>IF('학생명단'!C123="","",'학생명단'!C123)</f>
        <v/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10">
        <f>IF(COUNTA(D123:W123)=0,"",SUMPRODUCT((D123:W123=$D$2:$W$2)*(D123:W123&lt;&gt;"")))</f>
        <v/>
      </c>
      <c r="Y123" s="27">
        <f>IF(COUNTA(D123:W123)=0,"",SUMPRODUCT((D123:W123=$D$2:$W$2)*(D123:W123&lt;&gt;"")*$D$3:$W$3))</f>
        <v/>
      </c>
      <c r="Z123" s="10">
        <f>IF($Y123="","",SUMPRODUCT(($D123:$W123=$D$2:$W$2)*($D123:$W123&lt;&gt;"")*$D$3:$W$3*($D$4:$W$4=Z$6)))</f>
        <v/>
      </c>
      <c r="AA123" s="10">
        <f>IF($Y123="","",SUMPRODUCT(($D123:$W123=$D$2:$W$2)*($D123:$W123&lt;&gt;"")*$D$3:$W$3*($D$4:$W$4=AA$6)))</f>
        <v/>
      </c>
      <c r="AB123" s="10">
        <f>IF($Y123="","",SUMPRODUCT(($D123:$W123=$D$2:$W$2)*($D123:$W123&lt;&gt;"")*$D$3:$W$3*($D$4:$W$4=AB$6)))</f>
        <v/>
      </c>
      <c r="AC123" s="10">
        <f>IF($Y123="","",SUMPRODUCT(($D123:$W123=$D$2:$W$2)*($D123:$W123&lt;&gt;"")*$D$3:$W$3*($D$4:$W$4=AC$6)))</f>
        <v/>
      </c>
    </row>
    <row r="124">
      <c r="A124" s="5" t="n">
        <v>118</v>
      </c>
      <c r="B124" s="5">
        <f>IF('학생명단'!B124="","",'학생명단'!B124)</f>
        <v/>
      </c>
      <c r="C124" s="17">
        <f>IF('학생명단'!C124="","",'학생명단'!C124)</f>
        <v/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10">
        <f>IF(COUNTA(D124:W124)=0,"",SUMPRODUCT((D124:W124=$D$2:$W$2)*(D124:W124&lt;&gt;"")))</f>
        <v/>
      </c>
      <c r="Y124" s="27">
        <f>IF(COUNTA(D124:W124)=0,"",SUMPRODUCT((D124:W124=$D$2:$W$2)*(D124:W124&lt;&gt;"")*$D$3:$W$3))</f>
        <v/>
      </c>
      <c r="Z124" s="10">
        <f>IF($Y124="","",SUMPRODUCT(($D124:$W124=$D$2:$W$2)*($D124:$W124&lt;&gt;"")*$D$3:$W$3*($D$4:$W$4=Z$6)))</f>
        <v/>
      </c>
      <c r="AA124" s="10">
        <f>IF($Y124="","",SUMPRODUCT(($D124:$W124=$D$2:$W$2)*($D124:$W124&lt;&gt;"")*$D$3:$W$3*($D$4:$W$4=AA$6)))</f>
        <v/>
      </c>
      <c r="AB124" s="10">
        <f>IF($Y124="","",SUMPRODUCT(($D124:$W124=$D$2:$W$2)*($D124:$W124&lt;&gt;"")*$D$3:$W$3*($D$4:$W$4=AB$6)))</f>
        <v/>
      </c>
      <c r="AC124" s="10">
        <f>IF($Y124="","",SUMPRODUCT(($D124:$W124=$D$2:$W$2)*($D124:$W124&lt;&gt;"")*$D$3:$W$3*($D$4:$W$4=AC$6)))</f>
        <v/>
      </c>
    </row>
    <row r="125">
      <c r="A125" s="5" t="n">
        <v>119</v>
      </c>
      <c r="B125" s="5">
        <f>IF('학생명단'!B125="","",'학생명단'!B125)</f>
        <v/>
      </c>
      <c r="C125" s="17">
        <f>IF('학생명단'!C125="","",'학생명단'!C125)</f>
        <v/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10">
        <f>IF(COUNTA(D125:W125)=0,"",SUMPRODUCT((D125:W125=$D$2:$W$2)*(D125:W125&lt;&gt;"")))</f>
        <v/>
      </c>
      <c r="Y125" s="27">
        <f>IF(COUNTA(D125:W125)=0,"",SUMPRODUCT((D125:W125=$D$2:$W$2)*(D125:W125&lt;&gt;"")*$D$3:$W$3))</f>
        <v/>
      </c>
      <c r="Z125" s="10">
        <f>IF($Y125="","",SUMPRODUCT(($D125:$W125=$D$2:$W$2)*($D125:$W125&lt;&gt;"")*$D$3:$W$3*($D$4:$W$4=Z$6)))</f>
        <v/>
      </c>
      <c r="AA125" s="10">
        <f>IF($Y125="","",SUMPRODUCT(($D125:$W125=$D$2:$W$2)*($D125:$W125&lt;&gt;"")*$D$3:$W$3*($D$4:$W$4=AA$6)))</f>
        <v/>
      </c>
      <c r="AB125" s="10">
        <f>IF($Y125="","",SUMPRODUCT(($D125:$W125=$D$2:$W$2)*($D125:$W125&lt;&gt;"")*$D$3:$W$3*($D$4:$W$4=AB$6)))</f>
        <v/>
      </c>
      <c r="AC125" s="10">
        <f>IF($Y125="","",SUMPRODUCT(($D125:$W125=$D$2:$W$2)*($D125:$W125&lt;&gt;"")*$D$3:$W$3*($D$4:$W$4=AC$6)))</f>
        <v/>
      </c>
    </row>
    <row r="126">
      <c r="A126" s="5" t="n">
        <v>120</v>
      </c>
      <c r="B126" s="5">
        <f>IF('학생명단'!B126="","",'학생명단'!B126)</f>
        <v/>
      </c>
      <c r="C126" s="17">
        <f>IF('학생명단'!C126="","",'학생명단'!C126)</f>
        <v/>
      </c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10">
        <f>IF(COUNTA(D126:W126)=0,"",SUMPRODUCT((D126:W126=$D$2:$W$2)*(D126:W126&lt;&gt;"")))</f>
        <v/>
      </c>
      <c r="Y126" s="27">
        <f>IF(COUNTA(D126:W126)=0,"",SUMPRODUCT((D126:W126=$D$2:$W$2)*(D126:W126&lt;&gt;"")*$D$3:$W$3))</f>
        <v/>
      </c>
      <c r="Z126" s="10">
        <f>IF($Y126="","",SUMPRODUCT(($D126:$W126=$D$2:$W$2)*($D126:$W126&lt;&gt;"")*$D$3:$W$3*($D$4:$W$4=Z$6)))</f>
        <v/>
      </c>
      <c r="AA126" s="10">
        <f>IF($Y126="","",SUMPRODUCT(($D126:$W126=$D$2:$W$2)*($D126:$W126&lt;&gt;"")*$D$3:$W$3*($D$4:$W$4=AA$6)))</f>
        <v/>
      </c>
      <c r="AB126" s="10">
        <f>IF($Y126="","",SUMPRODUCT(($D126:$W126=$D$2:$W$2)*($D126:$W126&lt;&gt;"")*$D$3:$W$3*($D$4:$W$4=AB$6)))</f>
        <v/>
      </c>
      <c r="AC126" s="10">
        <f>IF($Y126="","",SUMPRODUCT(($D126:$W126=$D$2:$W$2)*($D126:$W126&lt;&gt;"")*$D$3:$W$3*($D$4:$W$4=AC$6)))</f>
        <v/>
      </c>
    </row>
    <row r="127">
      <c r="A127" s="5" t="n">
        <v>121</v>
      </c>
      <c r="B127" s="5">
        <f>IF('학생명단'!B127="","",'학생명단'!B127)</f>
        <v/>
      </c>
      <c r="C127" s="17">
        <f>IF('학생명단'!C127="","",'학생명단'!C127)</f>
        <v/>
      </c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10">
        <f>IF(COUNTA(D127:W127)=0,"",SUMPRODUCT((D127:W127=$D$2:$W$2)*(D127:W127&lt;&gt;"")))</f>
        <v/>
      </c>
      <c r="Y127" s="27">
        <f>IF(COUNTA(D127:W127)=0,"",SUMPRODUCT((D127:W127=$D$2:$W$2)*(D127:W127&lt;&gt;"")*$D$3:$W$3))</f>
        <v/>
      </c>
      <c r="Z127" s="10">
        <f>IF($Y127="","",SUMPRODUCT(($D127:$W127=$D$2:$W$2)*($D127:$W127&lt;&gt;"")*$D$3:$W$3*($D$4:$W$4=Z$6)))</f>
        <v/>
      </c>
      <c r="AA127" s="10">
        <f>IF($Y127="","",SUMPRODUCT(($D127:$W127=$D$2:$W$2)*($D127:$W127&lt;&gt;"")*$D$3:$W$3*($D$4:$W$4=AA$6)))</f>
        <v/>
      </c>
      <c r="AB127" s="10">
        <f>IF($Y127="","",SUMPRODUCT(($D127:$W127=$D$2:$W$2)*($D127:$W127&lt;&gt;"")*$D$3:$W$3*($D$4:$W$4=AB$6)))</f>
        <v/>
      </c>
      <c r="AC127" s="10">
        <f>IF($Y127="","",SUMPRODUCT(($D127:$W127=$D$2:$W$2)*($D127:$W127&lt;&gt;"")*$D$3:$W$3*($D$4:$W$4=AC$6)))</f>
        <v/>
      </c>
    </row>
    <row r="128">
      <c r="A128" s="5" t="n">
        <v>122</v>
      </c>
      <c r="B128" s="5">
        <f>IF('학생명단'!B128="","",'학생명단'!B128)</f>
        <v/>
      </c>
      <c r="C128" s="17">
        <f>IF('학생명단'!C128="","",'학생명단'!C128)</f>
        <v/>
      </c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10">
        <f>IF(COUNTA(D128:W128)=0,"",SUMPRODUCT((D128:W128=$D$2:$W$2)*(D128:W128&lt;&gt;"")))</f>
        <v/>
      </c>
      <c r="Y128" s="27">
        <f>IF(COUNTA(D128:W128)=0,"",SUMPRODUCT((D128:W128=$D$2:$W$2)*(D128:W128&lt;&gt;"")*$D$3:$W$3))</f>
        <v/>
      </c>
      <c r="Z128" s="10">
        <f>IF($Y128="","",SUMPRODUCT(($D128:$W128=$D$2:$W$2)*($D128:$W128&lt;&gt;"")*$D$3:$W$3*($D$4:$W$4=Z$6)))</f>
        <v/>
      </c>
      <c r="AA128" s="10">
        <f>IF($Y128="","",SUMPRODUCT(($D128:$W128=$D$2:$W$2)*($D128:$W128&lt;&gt;"")*$D$3:$W$3*($D$4:$W$4=AA$6)))</f>
        <v/>
      </c>
      <c r="AB128" s="10">
        <f>IF($Y128="","",SUMPRODUCT(($D128:$W128=$D$2:$W$2)*($D128:$W128&lt;&gt;"")*$D$3:$W$3*($D$4:$W$4=AB$6)))</f>
        <v/>
      </c>
      <c r="AC128" s="10">
        <f>IF($Y128="","",SUMPRODUCT(($D128:$W128=$D$2:$W$2)*($D128:$W128&lt;&gt;"")*$D$3:$W$3*($D$4:$W$4=AC$6)))</f>
        <v/>
      </c>
    </row>
    <row r="129">
      <c r="A129" s="5" t="n">
        <v>123</v>
      </c>
      <c r="B129" s="5">
        <f>IF('학생명단'!B129="","",'학생명단'!B129)</f>
        <v/>
      </c>
      <c r="C129" s="17">
        <f>IF('학생명단'!C129="","",'학생명단'!C129)</f>
        <v/>
      </c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10">
        <f>IF(COUNTA(D129:W129)=0,"",SUMPRODUCT((D129:W129=$D$2:$W$2)*(D129:W129&lt;&gt;"")))</f>
        <v/>
      </c>
      <c r="Y129" s="27">
        <f>IF(COUNTA(D129:W129)=0,"",SUMPRODUCT((D129:W129=$D$2:$W$2)*(D129:W129&lt;&gt;"")*$D$3:$W$3))</f>
        <v/>
      </c>
      <c r="Z129" s="10">
        <f>IF($Y129="","",SUMPRODUCT(($D129:$W129=$D$2:$W$2)*($D129:$W129&lt;&gt;"")*$D$3:$W$3*($D$4:$W$4=Z$6)))</f>
        <v/>
      </c>
      <c r="AA129" s="10">
        <f>IF($Y129="","",SUMPRODUCT(($D129:$W129=$D$2:$W$2)*($D129:$W129&lt;&gt;"")*$D$3:$W$3*($D$4:$W$4=AA$6)))</f>
        <v/>
      </c>
      <c r="AB129" s="10">
        <f>IF($Y129="","",SUMPRODUCT(($D129:$W129=$D$2:$W$2)*($D129:$W129&lt;&gt;"")*$D$3:$W$3*($D$4:$W$4=AB$6)))</f>
        <v/>
      </c>
      <c r="AC129" s="10">
        <f>IF($Y129="","",SUMPRODUCT(($D129:$W129=$D$2:$W$2)*($D129:$W129&lt;&gt;"")*$D$3:$W$3*($D$4:$W$4=AC$6)))</f>
        <v/>
      </c>
    </row>
    <row r="130">
      <c r="A130" s="5" t="n">
        <v>124</v>
      </c>
      <c r="B130" s="5">
        <f>IF('학생명단'!B130="","",'학생명단'!B130)</f>
        <v/>
      </c>
      <c r="C130" s="17">
        <f>IF('학생명단'!C130="","",'학생명단'!C130)</f>
        <v/>
      </c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10">
        <f>IF(COUNTA(D130:W130)=0,"",SUMPRODUCT((D130:W130=$D$2:$W$2)*(D130:W130&lt;&gt;"")))</f>
        <v/>
      </c>
      <c r="Y130" s="27">
        <f>IF(COUNTA(D130:W130)=0,"",SUMPRODUCT((D130:W130=$D$2:$W$2)*(D130:W130&lt;&gt;"")*$D$3:$W$3))</f>
        <v/>
      </c>
      <c r="Z130" s="10">
        <f>IF($Y130="","",SUMPRODUCT(($D130:$W130=$D$2:$W$2)*($D130:$W130&lt;&gt;"")*$D$3:$W$3*($D$4:$W$4=Z$6)))</f>
        <v/>
      </c>
      <c r="AA130" s="10">
        <f>IF($Y130="","",SUMPRODUCT(($D130:$W130=$D$2:$W$2)*($D130:$W130&lt;&gt;"")*$D$3:$W$3*($D$4:$W$4=AA$6)))</f>
        <v/>
      </c>
      <c r="AB130" s="10">
        <f>IF($Y130="","",SUMPRODUCT(($D130:$W130=$D$2:$W$2)*($D130:$W130&lt;&gt;"")*$D$3:$W$3*($D$4:$W$4=AB$6)))</f>
        <v/>
      </c>
      <c r="AC130" s="10">
        <f>IF($Y130="","",SUMPRODUCT(($D130:$W130=$D$2:$W$2)*($D130:$W130&lt;&gt;"")*$D$3:$W$3*($D$4:$W$4=AC$6)))</f>
        <v/>
      </c>
    </row>
    <row r="131">
      <c r="A131" s="5" t="n">
        <v>125</v>
      </c>
      <c r="B131" s="5">
        <f>IF('학생명단'!B131="","",'학생명단'!B131)</f>
        <v/>
      </c>
      <c r="C131" s="17">
        <f>IF('학생명단'!C131="","",'학생명단'!C131)</f>
        <v/>
      </c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10">
        <f>IF(COUNTA(D131:W131)=0,"",SUMPRODUCT((D131:W131=$D$2:$W$2)*(D131:W131&lt;&gt;"")))</f>
        <v/>
      </c>
      <c r="Y131" s="27">
        <f>IF(COUNTA(D131:W131)=0,"",SUMPRODUCT((D131:W131=$D$2:$W$2)*(D131:W131&lt;&gt;"")*$D$3:$W$3))</f>
        <v/>
      </c>
      <c r="Z131" s="10">
        <f>IF($Y131="","",SUMPRODUCT(($D131:$W131=$D$2:$W$2)*($D131:$W131&lt;&gt;"")*$D$3:$W$3*($D$4:$W$4=Z$6)))</f>
        <v/>
      </c>
      <c r="AA131" s="10">
        <f>IF($Y131="","",SUMPRODUCT(($D131:$W131=$D$2:$W$2)*($D131:$W131&lt;&gt;"")*$D$3:$W$3*($D$4:$W$4=AA$6)))</f>
        <v/>
      </c>
      <c r="AB131" s="10">
        <f>IF($Y131="","",SUMPRODUCT(($D131:$W131=$D$2:$W$2)*($D131:$W131&lt;&gt;"")*$D$3:$W$3*($D$4:$W$4=AB$6)))</f>
        <v/>
      </c>
      <c r="AC131" s="10">
        <f>IF($Y131="","",SUMPRODUCT(($D131:$W131=$D$2:$W$2)*($D131:$W131&lt;&gt;"")*$D$3:$W$3*($D$4:$W$4=AC$6)))</f>
        <v/>
      </c>
    </row>
    <row r="132">
      <c r="A132" s="5" t="n">
        <v>126</v>
      </c>
      <c r="B132" s="5">
        <f>IF('학생명단'!B132="","",'학생명단'!B132)</f>
        <v/>
      </c>
      <c r="C132" s="17">
        <f>IF('학생명단'!C132="","",'학생명단'!C132)</f>
        <v/>
      </c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10">
        <f>IF(COUNTA(D132:W132)=0,"",SUMPRODUCT((D132:W132=$D$2:$W$2)*(D132:W132&lt;&gt;"")))</f>
        <v/>
      </c>
      <c r="Y132" s="27">
        <f>IF(COUNTA(D132:W132)=0,"",SUMPRODUCT((D132:W132=$D$2:$W$2)*(D132:W132&lt;&gt;"")*$D$3:$W$3))</f>
        <v/>
      </c>
      <c r="Z132" s="10">
        <f>IF($Y132="","",SUMPRODUCT(($D132:$W132=$D$2:$W$2)*($D132:$W132&lt;&gt;"")*$D$3:$W$3*($D$4:$W$4=Z$6)))</f>
        <v/>
      </c>
      <c r="AA132" s="10">
        <f>IF($Y132="","",SUMPRODUCT(($D132:$W132=$D$2:$W$2)*($D132:$W132&lt;&gt;"")*$D$3:$W$3*($D$4:$W$4=AA$6)))</f>
        <v/>
      </c>
      <c r="AB132" s="10">
        <f>IF($Y132="","",SUMPRODUCT(($D132:$W132=$D$2:$W$2)*($D132:$W132&lt;&gt;"")*$D$3:$W$3*($D$4:$W$4=AB$6)))</f>
        <v/>
      </c>
      <c r="AC132" s="10">
        <f>IF($Y132="","",SUMPRODUCT(($D132:$W132=$D$2:$W$2)*($D132:$W132&lt;&gt;"")*$D$3:$W$3*($D$4:$W$4=AC$6)))</f>
        <v/>
      </c>
    </row>
    <row r="133">
      <c r="A133" s="5" t="n">
        <v>127</v>
      </c>
      <c r="B133" s="5">
        <f>IF('학생명단'!B133="","",'학생명단'!B133)</f>
        <v/>
      </c>
      <c r="C133" s="17">
        <f>IF('학생명단'!C133="","",'학생명단'!C133)</f>
        <v/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10">
        <f>IF(COUNTA(D133:W133)=0,"",SUMPRODUCT((D133:W133=$D$2:$W$2)*(D133:W133&lt;&gt;"")))</f>
        <v/>
      </c>
      <c r="Y133" s="27">
        <f>IF(COUNTA(D133:W133)=0,"",SUMPRODUCT((D133:W133=$D$2:$W$2)*(D133:W133&lt;&gt;"")*$D$3:$W$3))</f>
        <v/>
      </c>
      <c r="Z133" s="10">
        <f>IF($Y133="","",SUMPRODUCT(($D133:$W133=$D$2:$W$2)*($D133:$W133&lt;&gt;"")*$D$3:$W$3*($D$4:$W$4=Z$6)))</f>
        <v/>
      </c>
      <c r="AA133" s="10">
        <f>IF($Y133="","",SUMPRODUCT(($D133:$W133=$D$2:$W$2)*($D133:$W133&lt;&gt;"")*$D$3:$W$3*($D$4:$W$4=AA$6)))</f>
        <v/>
      </c>
      <c r="AB133" s="10">
        <f>IF($Y133="","",SUMPRODUCT(($D133:$W133=$D$2:$W$2)*($D133:$W133&lt;&gt;"")*$D$3:$W$3*($D$4:$W$4=AB$6)))</f>
        <v/>
      </c>
      <c r="AC133" s="10">
        <f>IF($Y133="","",SUMPRODUCT(($D133:$W133=$D$2:$W$2)*($D133:$W133&lt;&gt;"")*$D$3:$W$3*($D$4:$W$4=AC$6)))</f>
        <v/>
      </c>
    </row>
    <row r="134">
      <c r="A134" s="5" t="n">
        <v>128</v>
      </c>
      <c r="B134" s="5">
        <f>IF('학생명단'!B134="","",'학생명단'!B134)</f>
        <v/>
      </c>
      <c r="C134" s="17">
        <f>IF('학생명단'!C134="","",'학생명단'!C134)</f>
        <v/>
      </c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10">
        <f>IF(COUNTA(D134:W134)=0,"",SUMPRODUCT((D134:W134=$D$2:$W$2)*(D134:W134&lt;&gt;"")))</f>
        <v/>
      </c>
      <c r="Y134" s="27">
        <f>IF(COUNTA(D134:W134)=0,"",SUMPRODUCT((D134:W134=$D$2:$W$2)*(D134:W134&lt;&gt;"")*$D$3:$W$3))</f>
        <v/>
      </c>
      <c r="Z134" s="10">
        <f>IF($Y134="","",SUMPRODUCT(($D134:$W134=$D$2:$W$2)*($D134:$W134&lt;&gt;"")*$D$3:$W$3*($D$4:$W$4=Z$6)))</f>
        <v/>
      </c>
      <c r="AA134" s="10">
        <f>IF($Y134="","",SUMPRODUCT(($D134:$W134=$D$2:$W$2)*($D134:$W134&lt;&gt;"")*$D$3:$W$3*($D$4:$W$4=AA$6)))</f>
        <v/>
      </c>
      <c r="AB134" s="10">
        <f>IF($Y134="","",SUMPRODUCT(($D134:$W134=$D$2:$W$2)*($D134:$W134&lt;&gt;"")*$D$3:$W$3*($D$4:$W$4=AB$6)))</f>
        <v/>
      </c>
      <c r="AC134" s="10">
        <f>IF($Y134="","",SUMPRODUCT(($D134:$W134=$D$2:$W$2)*($D134:$W134&lt;&gt;"")*$D$3:$W$3*($D$4:$W$4=AC$6)))</f>
        <v/>
      </c>
    </row>
    <row r="135">
      <c r="A135" s="5" t="n">
        <v>129</v>
      </c>
      <c r="B135" s="5">
        <f>IF('학생명단'!B135="","",'학생명단'!B135)</f>
        <v/>
      </c>
      <c r="C135" s="17">
        <f>IF('학생명단'!C135="","",'학생명단'!C135)</f>
        <v/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10">
        <f>IF(COUNTA(D135:W135)=0,"",SUMPRODUCT((D135:W135=$D$2:$W$2)*(D135:W135&lt;&gt;"")))</f>
        <v/>
      </c>
      <c r="Y135" s="27">
        <f>IF(COUNTA(D135:W135)=0,"",SUMPRODUCT((D135:W135=$D$2:$W$2)*(D135:W135&lt;&gt;"")*$D$3:$W$3))</f>
        <v/>
      </c>
      <c r="Z135" s="10">
        <f>IF($Y135="","",SUMPRODUCT(($D135:$W135=$D$2:$W$2)*($D135:$W135&lt;&gt;"")*$D$3:$W$3*($D$4:$W$4=Z$6)))</f>
        <v/>
      </c>
      <c r="AA135" s="10">
        <f>IF($Y135="","",SUMPRODUCT(($D135:$W135=$D$2:$W$2)*($D135:$W135&lt;&gt;"")*$D$3:$W$3*($D$4:$W$4=AA$6)))</f>
        <v/>
      </c>
      <c r="AB135" s="10">
        <f>IF($Y135="","",SUMPRODUCT(($D135:$W135=$D$2:$W$2)*($D135:$W135&lt;&gt;"")*$D$3:$W$3*($D$4:$W$4=AB$6)))</f>
        <v/>
      </c>
      <c r="AC135" s="10">
        <f>IF($Y135="","",SUMPRODUCT(($D135:$W135=$D$2:$W$2)*($D135:$W135&lt;&gt;"")*$D$3:$W$3*($D$4:$W$4=AC$6)))</f>
        <v/>
      </c>
    </row>
    <row r="136">
      <c r="A136" s="5" t="n">
        <v>130</v>
      </c>
      <c r="B136" s="5">
        <f>IF('학생명단'!B136="","",'학생명단'!B136)</f>
        <v/>
      </c>
      <c r="C136" s="17">
        <f>IF('학생명단'!C136="","",'학생명단'!C136)</f>
        <v/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10">
        <f>IF(COUNTA(D136:W136)=0,"",SUMPRODUCT((D136:W136=$D$2:$W$2)*(D136:W136&lt;&gt;"")))</f>
        <v/>
      </c>
      <c r="Y136" s="27">
        <f>IF(COUNTA(D136:W136)=0,"",SUMPRODUCT((D136:W136=$D$2:$W$2)*(D136:W136&lt;&gt;"")*$D$3:$W$3))</f>
        <v/>
      </c>
      <c r="Z136" s="10">
        <f>IF($Y136="","",SUMPRODUCT(($D136:$W136=$D$2:$W$2)*($D136:$W136&lt;&gt;"")*$D$3:$W$3*($D$4:$W$4=Z$6)))</f>
        <v/>
      </c>
      <c r="AA136" s="10">
        <f>IF($Y136="","",SUMPRODUCT(($D136:$W136=$D$2:$W$2)*($D136:$W136&lt;&gt;"")*$D$3:$W$3*($D$4:$W$4=AA$6)))</f>
        <v/>
      </c>
      <c r="AB136" s="10">
        <f>IF($Y136="","",SUMPRODUCT(($D136:$W136=$D$2:$W$2)*($D136:$W136&lt;&gt;"")*$D$3:$W$3*($D$4:$W$4=AB$6)))</f>
        <v/>
      </c>
      <c r="AC136" s="10">
        <f>IF($Y136="","",SUMPRODUCT(($D136:$W136=$D$2:$W$2)*($D136:$W136&lt;&gt;"")*$D$3:$W$3*($D$4:$W$4=AC$6)))</f>
        <v/>
      </c>
    </row>
    <row r="137">
      <c r="A137" s="5" t="n">
        <v>131</v>
      </c>
      <c r="B137" s="5">
        <f>IF('학생명단'!B137="","",'학생명단'!B137)</f>
        <v/>
      </c>
      <c r="C137" s="17">
        <f>IF('학생명단'!C137="","",'학생명단'!C137)</f>
        <v/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10">
        <f>IF(COUNTA(D137:W137)=0,"",SUMPRODUCT((D137:W137=$D$2:$W$2)*(D137:W137&lt;&gt;"")))</f>
        <v/>
      </c>
      <c r="Y137" s="27">
        <f>IF(COUNTA(D137:W137)=0,"",SUMPRODUCT((D137:W137=$D$2:$W$2)*(D137:W137&lt;&gt;"")*$D$3:$W$3))</f>
        <v/>
      </c>
      <c r="Z137" s="10">
        <f>IF($Y137="","",SUMPRODUCT(($D137:$W137=$D$2:$W$2)*($D137:$W137&lt;&gt;"")*$D$3:$W$3*($D$4:$W$4=Z$6)))</f>
        <v/>
      </c>
      <c r="AA137" s="10">
        <f>IF($Y137="","",SUMPRODUCT(($D137:$W137=$D$2:$W$2)*($D137:$W137&lt;&gt;"")*$D$3:$W$3*($D$4:$W$4=AA$6)))</f>
        <v/>
      </c>
      <c r="AB137" s="10">
        <f>IF($Y137="","",SUMPRODUCT(($D137:$W137=$D$2:$W$2)*($D137:$W137&lt;&gt;"")*$D$3:$W$3*($D$4:$W$4=AB$6)))</f>
        <v/>
      </c>
      <c r="AC137" s="10">
        <f>IF($Y137="","",SUMPRODUCT(($D137:$W137=$D$2:$W$2)*($D137:$W137&lt;&gt;"")*$D$3:$W$3*($D$4:$W$4=AC$6)))</f>
        <v/>
      </c>
    </row>
    <row r="138">
      <c r="A138" s="5" t="n">
        <v>132</v>
      </c>
      <c r="B138" s="5">
        <f>IF('학생명단'!B138="","",'학생명단'!B138)</f>
        <v/>
      </c>
      <c r="C138" s="17">
        <f>IF('학생명단'!C138="","",'학생명단'!C138)</f>
        <v/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10">
        <f>IF(COUNTA(D138:W138)=0,"",SUMPRODUCT((D138:W138=$D$2:$W$2)*(D138:W138&lt;&gt;"")))</f>
        <v/>
      </c>
      <c r="Y138" s="27">
        <f>IF(COUNTA(D138:W138)=0,"",SUMPRODUCT((D138:W138=$D$2:$W$2)*(D138:W138&lt;&gt;"")*$D$3:$W$3))</f>
        <v/>
      </c>
      <c r="Z138" s="10">
        <f>IF($Y138="","",SUMPRODUCT(($D138:$W138=$D$2:$W$2)*($D138:$W138&lt;&gt;"")*$D$3:$W$3*($D$4:$W$4=Z$6)))</f>
        <v/>
      </c>
      <c r="AA138" s="10">
        <f>IF($Y138="","",SUMPRODUCT(($D138:$W138=$D$2:$W$2)*($D138:$W138&lt;&gt;"")*$D$3:$W$3*($D$4:$W$4=AA$6)))</f>
        <v/>
      </c>
      <c r="AB138" s="10">
        <f>IF($Y138="","",SUMPRODUCT(($D138:$W138=$D$2:$W$2)*($D138:$W138&lt;&gt;"")*$D$3:$W$3*($D$4:$W$4=AB$6)))</f>
        <v/>
      </c>
      <c r="AC138" s="10">
        <f>IF($Y138="","",SUMPRODUCT(($D138:$W138=$D$2:$W$2)*($D138:$W138&lt;&gt;"")*$D$3:$W$3*($D$4:$W$4=AC$6)))</f>
        <v/>
      </c>
    </row>
    <row r="139">
      <c r="A139" s="5" t="n">
        <v>133</v>
      </c>
      <c r="B139" s="5">
        <f>IF('학생명단'!B139="","",'학생명단'!B139)</f>
        <v/>
      </c>
      <c r="C139" s="17">
        <f>IF('학생명단'!C139="","",'학생명단'!C139)</f>
        <v/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10">
        <f>IF(COUNTA(D139:W139)=0,"",SUMPRODUCT((D139:W139=$D$2:$W$2)*(D139:W139&lt;&gt;"")))</f>
        <v/>
      </c>
      <c r="Y139" s="27">
        <f>IF(COUNTA(D139:W139)=0,"",SUMPRODUCT((D139:W139=$D$2:$W$2)*(D139:W139&lt;&gt;"")*$D$3:$W$3))</f>
        <v/>
      </c>
      <c r="Z139" s="10">
        <f>IF($Y139="","",SUMPRODUCT(($D139:$W139=$D$2:$W$2)*($D139:$W139&lt;&gt;"")*$D$3:$W$3*($D$4:$W$4=Z$6)))</f>
        <v/>
      </c>
      <c r="AA139" s="10">
        <f>IF($Y139="","",SUMPRODUCT(($D139:$W139=$D$2:$W$2)*($D139:$W139&lt;&gt;"")*$D$3:$W$3*($D$4:$W$4=AA$6)))</f>
        <v/>
      </c>
      <c r="AB139" s="10">
        <f>IF($Y139="","",SUMPRODUCT(($D139:$W139=$D$2:$W$2)*($D139:$W139&lt;&gt;"")*$D$3:$W$3*($D$4:$W$4=AB$6)))</f>
        <v/>
      </c>
      <c r="AC139" s="10">
        <f>IF($Y139="","",SUMPRODUCT(($D139:$W139=$D$2:$W$2)*($D139:$W139&lt;&gt;"")*$D$3:$W$3*($D$4:$W$4=AC$6)))</f>
        <v/>
      </c>
    </row>
    <row r="140">
      <c r="A140" s="5" t="n">
        <v>134</v>
      </c>
      <c r="B140" s="5">
        <f>IF('학생명단'!B140="","",'학생명단'!B140)</f>
        <v/>
      </c>
      <c r="C140" s="17">
        <f>IF('학생명단'!C140="","",'학생명단'!C140)</f>
        <v/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10">
        <f>IF(COUNTA(D140:W140)=0,"",SUMPRODUCT((D140:W140=$D$2:$W$2)*(D140:W140&lt;&gt;"")))</f>
        <v/>
      </c>
      <c r="Y140" s="27">
        <f>IF(COUNTA(D140:W140)=0,"",SUMPRODUCT((D140:W140=$D$2:$W$2)*(D140:W140&lt;&gt;"")*$D$3:$W$3))</f>
        <v/>
      </c>
      <c r="Z140" s="10">
        <f>IF($Y140="","",SUMPRODUCT(($D140:$W140=$D$2:$W$2)*($D140:$W140&lt;&gt;"")*$D$3:$W$3*($D$4:$W$4=Z$6)))</f>
        <v/>
      </c>
      <c r="AA140" s="10">
        <f>IF($Y140="","",SUMPRODUCT(($D140:$W140=$D$2:$W$2)*($D140:$W140&lt;&gt;"")*$D$3:$W$3*($D$4:$W$4=AA$6)))</f>
        <v/>
      </c>
      <c r="AB140" s="10">
        <f>IF($Y140="","",SUMPRODUCT(($D140:$W140=$D$2:$W$2)*($D140:$W140&lt;&gt;"")*$D$3:$W$3*($D$4:$W$4=AB$6)))</f>
        <v/>
      </c>
      <c r="AC140" s="10">
        <f>IF($Y140="","",SUMPRODUCT(($D140:$W140=$D$2:$W$2)*($D140:$W140&lt;&gt;"")*$D$3:$W$3*($D$4:$W$4=AC$6)))</f>
        <v/>
      </c>
    </row>
    <row r="141">
      <c r="A141" s="5" t="n">
        <v>135</v>
      </c>
      <c r="B141" s="5">
        <f>IF('학생명단'!B141="","",'학생명단'!B141)</f>
        <v/>
      </c>
      <c r="C141" s="17">
        <f>IF('학생명단'!C141="","",'학생명단'!C141)</f>
        <v/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10">
        <f>IF(COUNTA(D141:W141)=0,"",SUMPRODUCT((D141:W141=$D$2:$W$2)*(D141:W141&lt;&gt;"")))</f>
        <v/>
      </c>
      <c r="Y141" s="27">
        <f>IF(COUNTA(D141:W141)=0,"",SUMPRODUCT((D141:W141=$D$2:$W$2)*(D141:W141&lt;&gt;"")*$D$3:$W$3))</f>
        <v/>
      </c>
      <c r="Z141" s="10">
        <f>IF($Y141="","",SUMPRODUCT(($D141:$W141=$D$2:$W$2)*($D141:$W141&lt;&gt;"")*$D$3:$W$3*($D$4:$W$4=Z$6)))</f>
        <v/>
      </c>
      <c r="AA141" s="10">
        <f>IF($Y141="","",SUMPRODUCT(($D141:$W141=$D$2:$W$2)*($D141:$W141&lt;&gt;"")*$D$3:$W$3*($D$4:$W$4=AA$6)))</f>
        <v/>
      </c>
      <c r="AB141" s="10">
        <f>IF($Y141="","",SUMPRODUCT(($D141:$W141=$D$2:$W$2)*($D141:$W141&lt;&gt;"")*$D$3:$W$3*($D$4:$W$4=AB$6)))</f>
        <v/>
      </c>
      <c r="AC141" s="10">
        <f>IF($Y141="","",SUMPRODUCT(($D141:$W141=$D$2:$W$2)*($D141:$W141&lt;&gt;"")*$D$3:$W$3*($D$4:$W$4=AC$6)))</f>
        <v/>
      </c>
    </row>
    <row r="142">
      <c r="A142" s="5" t="n">
        <v>136</v>
      </c>
      <c r="B142" s="5">
        <f>IF('학생명단'!B142="","",'학생명단'!B142)</f>
        <v/>
      </c>
      <c r="C142" s="17">
        <f>IF('학생명단'!C142="","",'학생명단'!C142)</f>
        <v/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10">
        <f>IF(COUNTA(D142:W142)=0,"",SUMPRODUCT((D142:W142=$D$2:$W$2)*(D142:W142&lt;&gt;"")))</f>
        <v/>
      </c>
      <c r="Y142" s="27">
        <f>IF(COUNTA(D142:W142)=0,"",SUMPRODUCT((D142:W142=$D$2:$W$2)*(D142:W142&lt;&gt;"")*$D$3:$W$3))</f>
        <v/>
      </c>
      <c r="Z142" s="10">
        <f>IF($Y142="","",SUMPRODUCT(($D142:$W142=$D$2:$W$2)*($D142:$W142&lt;&gt;"")*$D$3:$W$3*($D$4:$W$4=Z$6)))</f>
        <v/>
      </c>
      <c r="AA142" s="10">
        <f>IF($Y142="","",SUMPRODUCT(($D142:$W142=$D$2:$W$2)*($D142:$W142&lt;&gt;"")*$D$3:$W$3*($D$4:$W$4=AA$6)))</f>
        <v/>
      </c>
      <c r="AB142" s="10">
        <f>IF($Y142="","",SUMPRODUCT(($D142:$W142=$D$2:$W$2)*($D142:$W142&lt;&gt;"")*$D$3:$W$3*($D$4:$W$4=AB$6)))</f>
        <v/>
      </c>
      <c r="AC142" s="10">
        <f>IF($Y142="","",SUMPRODUCT(($D142:$W142=$D$2:$W$2)*($D142:$W142&lt;&gt;"")*$D$3:$W$3*($D$4:$W$4=AC$6)))</f>
        <v/>
      </c>
    </row>
    <row r="143">
      <c r="A143" s="5" t="n">
        <v>137</v>
      </c>
      <c r="B143" s="5">
        <f>IF('학생명단'!B143="","",'학생명단'!B143)</f>
        <v/>
      </c>
      <c r="C143" s="17">
        <f>IF('학생명단'!C143="","",'학생명단'!C143)</f>
        <v/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10">
        <f>IF(COUNTA(D143:W143)=0,"",SUMPRODUCT((D143:W143=$D$2:$W$2)*(D143:W143&lt;&gt;"")))</f>
        <v/>
      </c>
      <c r="Y143" s="27">
        <f>IF(COUNTA(D143:W143)=0,"",SUMPRODUCT((D143:W143=$D$2:$W$2)*(D143:W143&lt;&gt;"")*$D$3:$W$3))</f>
        <v/>
      </c>
      <c r="Z143" s="10">
        <f>IF($Y143="","",SUMPRODUCT(($D143:$W143=$D$2:$W$2)*($D143:$W143&lt;&gt;"")*$D$3:$W$3*($D$4:$W$4=Z$6)))</f>
        <v/>
      </c>
      <c r="AA143" s="10">
        <f>IF($Y143="","",SUMPRODUCT(($D143:$W143=$D$2:$W$2)*($D143:$W143&lt;&gt;"")*$D$3:$W$3*($D$4:$W$4=AA$6)))</f>
        <v/>
      </c>
      <c r="AB143" s="10">
        <f>IF($Y143="","",SUMPRODUCT(($D143:$W143=$D$2:$W$2)*($D143:$W143&lt;&gt;"")*$D$3:$W$3*($D$4:$W$4=AB$6)))</f>
        <v/>
      </c>
      <c r="AC143" s="10">
        <f>IF($Y143="","",SUMPRODUCT(($D143:$W143=$D$2:$W$2)*($D143:$W143&lt;&gt;"")*$D$3:$W$3*($D$4:$W$4=AC$6)))</f>
        <v/>
      </c>
    </row>
    <row r="144">
      <c r="A144" s="5" t="n">
        <v>138</v>
      </c>
      <c r="B144" s="5">
        <f>IF('학생명단'!B144="","",'학생명단'!B144)</f>
        <v/>
      </c>
      <c r="C144" s="17">
        <f>IF('학생명단'!C144="","",'학생명단'!C144)</f>
        <v/>
      </c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10">
        <f>IF(COUNTA(D144:W144)=0,"",SUMPRODUCT((D144:W144=$D$2:$W$2)*(D144:W144&lt;&gt;"")))</f>
        <v/>
      </c>
      <c r="Y144" s="27">
        <f>IF(COUNTA(D144:W144)=0,"",SUMPRODUCT((D144:W144=$D$2:$W$2)*(D144:W144&lt;&gt;"")*$D$3:$W$3))</f>
        <v/>
      </c>
      <c r="Z144" s="10">
        <f>IF($Y144="","",SUMPRODUCT(($D144:$W144=$D$2:$W$2)*($D144:$W144&lt;&gt;"")*$D$3:$W$3*($D$4:$W$4=Z$6)))</f>
        <v/>
      </c>
      <c r="AA144" s="10">
        <f>IF($Y144="","",SUMPRODUCT(($D144:$W144=$D$2:$W$2)*($D144:$W144&lt;&gt;"")*$D$3:$W$3*($D$4:$W$4=AA$6)))</f>
        <v/>
      </c>
      <c r="AB144" s="10">
        <f>IF($Y144="","",SUMPRODUCT(($D144:$W144=$D$2:$W$2)*($D144:$W144&lt;&gt;"")*$D$3:$W$3*($D$4:$W$4=AB$6)))</f>
        <v/>
      </c>
      <c r="AC144" s="10">
        <f>IF($Y144="","",SUMPRODUCT(($D144:$W144=$D$2:$W$2)*($D144:$W144&lt;&gt;"")*$D$3:$W$3*($D$4:$W$4=AC$6)))</f>
        <v/>
      </c>
    </row>
    <row r="145">
      <c r="A145" s="5" t="n">
        <v>139</v>
      </c>
      <c r="B145" s="5">
        <f>IF('학생명단'!B145="","",'학생명단'!B145)</f>
        <v/>
      </c>
      <c r="C145" s="17">
        <f>IF('학생명단'!C145="","",'학생명단'!C145)</f>
        <v/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10">
        <f>IF(COUNTA(D145:W145)=0,"",SUMPRODUCT((D145:W145=$D$2:$W$2)*(D145:W145&lt;&gt;"")))</f>
        <v/>
      </c>
      <c r="Y145" s="27">
        <f>IF(COUNTA(D145:W145)=0,"",SUMPRODUCT((D145:W145=$D$2:$W$2)*(D145:W145&lt;&gt;"")*$D$3:$W$3))</f>
        <v/>
      </c>
      <c r="Z145" s="10">
        <f>IF($Y145="","",SUMPRODUCT(($D145:$W145=$D$2:$W$2)*($D145:$W145&lt;&gt;"")*$D$3:$W$3*($D$4:$W$4=Z$6)))</f>
        <v/>
      </c>
      <c r="AA145" s="10">
        <f>IF($Y145="","",SUMPRODUCT(($D145:$W145=$D$2:$W$2)*($D145:$W145&lt;&gt;"")*$D$3:$W$3*($D$4:$W$4=AA$6)))</f>
        <v/>
      </c>
      <c r="AB145" s="10">
        <f>IF($Y145="","",SUMPRODUCT(($D145:$W145=$D$2:$W$2)*($D145:$W145&lt;&gt;"")*$D$3:$W$3*($D$4:$W$4=AB$6)))</f>
        <v/>
      </c>
      <c r="AC145" s="10">
        <f>IF($Y145="","",SUMPRODUCT(($D145:$W145=$D$2:$W$2)*($D145:$W145&lt;&gt;"")*$D$3:$W$3*($D$4:$W$4=AC$6)))</f>
        <v/>
      </c>
    </row>
    <row r="146">
      <c r="A146" s="5" t="n">
        <v>140</v>
      </c>
      <c r="B146" s="5">
        <f>IF('학생명단'!B146="","",'학생명단'!B146)</f>
        <v/>
      </c>
      <c r="C146" s="17">
        <f>IF('학생명단'!C146="","",'학생명단'!C146)</f>
        <v/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10">
        <f>IF(COUNTA(D146:W146)=0,"",SUMPRODUCT((D146:W146=$D$2:$W$2)*(D146:W146&lt;&gt;"")))</f>
        <v/>
      </c>
      <c r="Y146" s="27">
        <f>IF(COUNTA(D146:W146)=0,"",SUMPRODUCT((D146:W146=$D$2:$W$2)*(D146:W146&lt;&gt;"")*$D$3:$W$3))</f>
        <v/>
      </c>
      <c r="Z146" s="10">
        <f>IF($Y146="","",SUMPRODUCT(($D146:$W146=$D$2:$W$2)*($D146:$W146&lt;&gt;"")*$D$3:$W$3*($D$4:$W$4=Z$6)))</f>
        <v/>
      </c>
      <c r="AA146" s="10">
        <f>IF($Y146="","",SUMPRODUCT(($D146:$W146=$D$2:$W$2)*($D146:$W146&lt;&gt;"")*$D$3:$W$3*($D$4:$W$4=AA$6)))</f>
        <v/>
      </c>
      <c r="AB146" s="10">
        <f>IF($Y146="","",SUMPRODUCT(($D146:$W146=$D$2:$W$2)*($D146:$W146&lt;&gt;"")*$D$3:$W$3*($D$4:$W$4=AB$6)))</f>
        <v/>
      </c>
      <c r="AC146" s="10">
        <f>IF($Y146="","",SUMPRODUCT(($D146:$W146=$D$2:$W$2)*($D146:$W146&lt;&gt;"")*$D$3:$W$3*($D$4:$W$4=AC$6)))</f>
        <v/>
      </c>
    </row>
    <row r="147">
      <c r="A147" s="5" t="n">
        <v>141</v>
      </c>
      <c r="B147" s="5">
        <f>IF('학생명단'!B147="","",'학생명단'!B147)</f>
        <v/>
      </c>
      <c r="C147" s="17">
        <f>IF('학생명단'!C147="","",'학생명단'!C147)</f>
        <v/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10">
        <f>IF(COUNTA(D147:W147)=0,"",SUMPRODUCT((D147:W147=$D$2:$W$2)*(D147:W147&lt;&gt;"")))</f>
        <v/>
      </c>
      <c r="Y147" s="27">
        <f>IF(COUNTA(D147:W147)=0,"",SUMPRODUCT((D147:W147=$D$2:$W$2)*(D147:W147&lt;&gt;"")*$D$3:$W$3))</f>
        <v/>
      </c>
      <c r="Z147" s="10">
        <f>IF($Y147="","",SUMPRODUCT(($D147:$W147=$D$2:$W$2)*($D147:$W147&lt;&gt;"")*$D$3:$W$3*($D$4:$W$4=Z$6)))</f>
        <v/>
      </c>
      <c r="AA147" s="10">
        <f>IF($Y147="","",SUMPRODUCT(($D147:$W147=$D$2:$W$2)*($D147:$W147&lt;&gt;"")*$D$3:$W$3*($D$4:$W$4=AA$6)))</f>
        <v/>
      </c>
      <c r="AB147" s="10">
        <f>IF($Y147="","",SUMPRODUCT(($D147:$W147=$D$2:$W$2)*($D147:$W147&lt;&gt;"")*$D$3:$W$3*($D$4:$W$4=AB$6)))</f>
        <v/>
      </c>
      <c r="AC147" s="10">
        <f>IF($Y147="","",SUMPRODUCT(($D147:$W147=$D$2:$W$2)*($D147:$W147&lt;&gt;"")*$D$3:$W$3*($D$4:$W$4=AC$6)))</f>
        <v/>
      </c>
    </row>
    <row r="148">
      <c r="A148" s="5" t="n">
        <v>142</v>
      </c>
      <c r="B148" s="5">
        <f>IF('학생명단'!B148="","",'학생명단'!B148)</f>
        <v/>
      </c>
      <c r="C148" s="17">
        <f>IF('학생명단'!C148="","",'학생명단'!C148)</f>
        <v/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10">
        <f>IF(COUNTA(D148:W148)=0,"",SUMPRODUCT((D148:W148=$D$2:$W$2)*(D148:W148&lt;&gt;"")))</f>
        <v/>
      </c>
      <c r="Y148" s="27">
        <f>IF(COUNTA(D148:W148)=0,"",SUMPRODUCT((D148:W148=$D$2:$W$2)*(D148:W148&lt;&gt;"")*$D$3:$W$3))</f>
        <v/>
      </c>
      <c r="Z148" s="10">
        <f>IF($Y148="","",SUMPRODUCT(($D148:$W148=$D$2:$W$2)*($D148:$W148&lt;&gt;"")*$D$3:$W$3*($D$4:$W$4=Z$6)))</f>
        <v/>
      </c>
      <c r="AA148" s="10">
        <f>IF($Y148="","",SUMPRODUCT(($D148:$W148=$D$2:$W$2)*($D148:$W148&lt;&gt;"")*$D$3:$W$3*($D$4:$W$4=AA$6)))</f>
        <v/>
      </c>
      <c r="AB148" s="10">
        <f>IF($Y148="","",SUMPRODUCT(($D148:$W148=$D$2:$W$2)*($D148:$W148&lt;&gt;"")*$D$3:$W$3*($D$4:$W$4=AB$6)))</f>
        <v/>
      </c>
      <c r="AC148" s="10">
        <f>IF($Y148="","",SUMPRODUCT(($D148:$W148=$D$2:$W$2)*($D148:$W148&lt;&gt;"")*$D$3:$W$3*($D$4:$W$4=AC$6)))</f>
        <v/>
      </c>
    </row>
    <row r="149">
      <c r="A149" s="5" t="n">
        <v>143</v>
      </c>
      <c r="B149" s="5">
        <f>IF('학생명단'!B149="","",'학생명단'!B149)</f>
        <v/>
      </c>
      <c r="C149" s="17">
        <f>IF('학생명단'!C149="","",'학생명단'!C149)</f>
        <v/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10">
        <f>IF(COUNTA(D149:W149)=0,"",SUMPRODUCT((D149:W149=$D$2:$W$2)*(D149:W149&lt;&gt;"")))</f>
        <v/>
      </c>
      <c r="Y149" s="27">
        <f>IF(COUNTA(D149:W149)=0,"",SUMPRODUCT((D149:W149=$D$2:$W$2)*(D149:W149&lt;&gt;"")*$D$3:$W$3))</f>
        <v/>
      </c>
      <c r="Z149" s="10">
        <f>IF($Y149="","",SUMPRODUCT(($D149:$W149=$D$2:$W$2)*($D149:$W149&lt;&gt;"")*$D$3:$W$3*($D$4:$W$4=Z$6)))</f>
        <v/>
      </c>
      <c r="AA149" s="10">
        <f>IF($Y149="","",SUMPRODUCT(($D149:$W149=$D$2:$W$2)*($D149:$W149&lt;&gt;"")*$D$3:$W$3*($D$4:$W$4=AA$6)))</f>
        <v/>
      </c>
      <c r="AB149" s="10">
        <f>IF($Y149="","",SUMPRODUCT(($D149:$W149=$D$2:$W$2)*($D149:$W149&lt;&gt;"")*$D$3:$W$3*($D$4:$W$4=AB$6)))</f>
        <v/>
      </c>
      <c r="AC149" s="10">
        <f>IF($Y149="","",SUMPRODUCT(($D149:$W149=$D$2:$W$2)*($D149:$W149&lt;&gt;"")*$D$3:$W$3*($D$4:$W$4=AC$6)))</f>
        <v/>
      </c>
    </row>
    <row r="150">
      <c r="A150" s="5" t="n">
        <v>144</v>
      </c>
      <c r="B150" s="5">
        <f>IF('학생명단'!B150="","",'학생명단'!B150)</f>
        <v/>
      </c>
      <c r="C150" s="17">
        <f>IF('학생명단'!C150="","",'학생명단'!C150)</f>
        <v/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10">
        <f>IF(COUNTA(D150:W150)=0,"",SUMPRODUCT((D150:W150=$D$2:$W$2)*(D150:W150&lt;&gt;"")))</f>
        <v/>
      </c>
      <c r="Y150" s="27">
        <f>IF(COUNTA(D150:W150)=0,"",SUMPRODUCT((D150:W150=$D$2:$W$2)*(D150:W150&lt;&gt;"")*$D$3:$W$3))</f>
        <v/>
      </c>
      <c r="Z150" s="10">
        <f>IF($Y150="","",SUMPRODUCT(($D150:$W150=$D$2:$W$2)*($D150:$W150&lt;&gt;"")*$D$3:$W$3*($D$4:$W$4=Z$6)))</f>
        <v/>
      </c>
      <c r="AA150" s="10">
        <f>IF($Y150="","",SUMPRODUCT(($D150:$W150=$D$2:$W$2)*($D150:$W150&lt;&gt;"")*$D$3:$W$3*($D$4:$W$4=AA$6)))</f>
        <v/>
      </c>
      <c r="AB150" s="10">
        <f>IF($Y150="","",SUMPRODUCT(($D150:$W150=$D$2:$W$2)*($D150:$W150&lt;&gt;"")*$D$3:$W$3*($D$4:$W$4=AB$6)))</f>
        <v/>
      </c>
      <c r="AC150" s="10">
        <f>IF($Y150="","",SUMPRODUCT(($D150:$W150=$D$2:$W$2)*($D150:$W150&lt;&gt;"")*$D$3:$W$3*($D$4:$W$4=AC$6)))</f>
        <v/>
      </c>
    </row>
    <row r="151">
      <c r="A151" s="5" t="n">
        <v>145</v>
      </c>
      <c r="B151" s="5">
        <f>IF('학생명단'!B151="","",'학생명단'!B151)</f>
        <v/>
      </c>
      <c r="C151" s="17">
        <f>IF('학생명단'!C151="","",'학생명단'!C151)</f>
        <v/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10">
        <f>IF(COUNTA(D151:W151)=0,"",SUMPRODUCT((D151:W151=$D$2:$W$2)*(D151:W151&lt;&gt;"")))</f>
        <v/>
      </c>
      <c r="Y151" s="27">
        <f>IF(COUNTA(D151:W151)=0,"",SUMPRODUCT((D151:W151=$D$2:$W$2)*(D151:W151&lt;&gt;"")*$D$3:$W$3))</f>
        <v/>
      </c>
      <c r="Z151" s="10">
        <f>IF($Y151="","",SUMPRODUCT(($D151:$W151=$D$2:$W$2)*($D151:$W151&lt;&gt;"")*$D$3:$W$3*($D$4:$W$4=Z$6)))</f>
        <v/>
      </c>
      <c r="AA151" s="10">
        <f>IF($Y151="","",SUMPRODUCT(($D151:$W151=$D$2:$W$2)*($D151:$W151&lt;&gt;"")*$D$3:$W$3*($D$4:$W$4=AA$6)))</f>
        <v/>
      </c>
      <c r="AB151" s="10">
        <f>IF($Y151="","",SUMPRODUCT(($D151:$W151=$D$2:$W$2)*($D151:$W151&lt;&gt;"")*$D$3:$W$3*($D$4:$W$4=AB$6)))</f>
        <v/>
      </c>
      <c r="AC151" s="10">
        <f>IF($Y151="","",SUMPRODUCT(($D151:$W151=$D$2:$W$2)*($D151:$W151&lt;&gt;"")*$D$3:$W$3*($D$4:$W$4=AC$6)))</f>
        <v/>
      </c>
    </row>
    <row r="152">
      <c r="A152" s="5" t="n">
        <v>146</v>
      </c>
      <c r="B152" s="5">
        <f>IF('학생명단'!B152="","",'학생명단'!B152)</f>
        <v/>
      </c>
      <c r="C152" s="17">
        <f>IF('학생명단'!C152="","",'학생명단'!C152)</f>
        <v/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10">
        <f>IF(COUNTA(D152:W152)=0,"",SUMPRODUCT((D152:W152=$D$2:$W$2)*(D152:W152&lt;&gt;"")))</f>
        <v/>
      </c>
      <c r="Y152" s="27">
        <f>IF(COUNTA(D152:W152)=0,"",SUMPRODUCT((D152:W152=$D$2:$W$2)*(D152:W152&lt;&gt;"")*$D$3:$W$3))</f>
        <v/>
      </c>
      <c r="Z152" s="10">
        <f>IF($Y152="","",SUMPRODUCT(($D152:$W152=$D$2:$W$2)*($D152:$W152&lt;&gt;"")*$D$3:$W$3*($D$4:$W$4=Z$6)))</f>
        <v/>
      </c>
      <c r="AA152" s="10">
        <f>IF($Y152="","",SUMPRODUCT(($D152:$W152=$D$2:$W$2)*($D152:$W152&lt;&gt;"")*$D$3:$W$3*($D$4:$W$4=AA$6)))</f>
        <v/>
      </c>
      <c r="AB152" s="10">
        <f>IF($Y152="","",SUMPRODUCT(($D152:$W152=$D$2:$W$2)*($D152:$W152&lt;&gt;"")*$D$3:$W$3*($D$4:$W$4=AB$6)))</f>
        <v/>
      </c>
      <c r="AC152" s="10">
        <f>IF($Y152="","",SUMPRODUCT(($D152:$W152=$D$2:$W$2)*($D152:$W152&lt;&gt;"")*$D$3:$W$3*($D$4:$W$4=AC$6)))</f>
        <v/>
      </c>
    </row>
    <row r="153">
      <c r="A153" s="5" t="n">
        <v>147</v>
      </c>
      <c r="B153" s="5">
        <f>IF('학생명단'!B153="","",'학생명단'!B153)</f>
        <v/>
      </c>
      <c r="C153" s="17">
        <f>IF('학생명단'!C153="","",'학생명단'!C153)</f>
        <v/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10">
        <f>IF(COUNTA(D153:W153)=0,"",SUMPRODUCT((D153:W153=$D$2:$W$2)*(D153:W153&lt;&gt;"")))</f>
        <v/>
      </c>
      <c r="Y153" s="27">
        <f>IF(COUNTA(D153:W153)=0,"",SUMPRODUCT((D153:W153=$D$2:$W$2)*(D153:W153&lt;&gt;"")*$D$3:$W$3))</f>
        <v/>
      </c>
      <c r="Z153" s="10">
        <f>IF($Y153="","",SUMPRODUCT(($D153:$W153=$D$2:$W$2)*($D153:$W153&lt;&gt;"")*$D$3:$W$3*($D$4:$W$4=Z$6)))</f>
        <v/>
      </c>
      <c r="AA153" s="10">
        <f>IF($Y153="","",SUMPRODUCT(($D153:$W153=$D$2:$W$2)*($D153:$W153&lt;&gt;"")*$D$3:$W$3*($D$4:$W$4=AA$6)))</f>
        <v/>
      </c>
      <c r="AB153" s="10">
        <f>IF($Y153="","",SUMPRODUCT(($D153:$W153=$D$2:$W$2)*($D153:$W153&lt;&gt;"")*$D$3:$W$3*($D$4:$W$4=AB$6)))</f>
        <v/>
      </c>
      <c r="AC153" s="10">
        <f>IF($Y153="","",SUMPRODUCT(($D153:$W153=$D$2:$W$2)*($D153:$W153&lt;&gt;"")*$D$3:$W$3*($D$4:$W$4=AC$6)))</f>
        <v/>
      </c>
    </row>
    <row r="154">
      <c r="A154" s="5" t="n">
        <v>148</v>
      </c>
      <c r="B154" s="5">
        <f>IF('학생명단'!B154="","",'학생명단'!B154)</f>
        <v/>
      </c>
      <c r="C154" s="17">
        <f>IF('학생명단'!C154="","",'학생명단'!C154)</f>
        <v/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10">
        <f>IF(COUNTA(D154:W154)=0,"",SUMPRODUCT((D154:W154=$D$2:$W$2)*(D154:W154&lt;&gt;"")))</f>
        <v/>
      </c>
      <c r="Y154" s="27">
        <f>IF(COUNTA(D154:W154)=0,"",SUMPRODUCT((D154:W154=$D$2:$W$2)*(D154:W154&lt;&gt;"")*$D$3:$W$3))</f>
        <v/>
      </c>
      <c r="Z154" s="10">
        <f>IF($Y154="","",SUMPRODUCT(($D154:$W154=$D$2:$W$2)*($D154:$W154&lt;&gt;"")*$D$3:$W$3*($D$4:$W$4=Z$6)))</f>
        <v/>
      </c>
      <c r="AA154" s="10">
        <f>IF($Y154="","",SUMPRODUCT(($D154:$W154=$D$2:$W$2)*($D154:$W154&lt;&gt;"")*$D$3:$W$3*($D$4:$W$4=AA$6)))</f>
        <v/>
      </c>
      <c r="AB154" s="10">
        <f>IF($Y154="","",SUMPRODUCT(($D154:$W154=$D$2:$W$2)*($D154:$W154&lt;&gt;"")*$D$3:$W$3*($D$4:$W$4=AB$6)))</f>
        <v/>
      </c>
      <c r="AC154" s="10">
        <f>IF($Y154="","",SUMPRODUCT(($D154:$W154=$D$2:$W$2)*($D154:$W154&lt;&gt;"")*$D$3:$W$3*($D$4:$W$4=AC$6)))</f>
        <v/>
      </c>
    </row>
    <row r="155">
      <c r="A155" s="5" t="n">
        <v>149</v>
      </c>
      <c r="B155" s="5">
        <f>IF('학생명단'!B155="","",'학생명단'!B155)</f>
        <v/>
      </c>
      <c r="C155" s="17">
        <f>IF('학생명단'!C155="","",'학생명단'!C155)</f>
        <v/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10">
        <f>IF(COUNTA(D155:W155)=0,"",SUMPRODUCT((D155:W155=$D$2:$W$2)*(D155:W155&lt;&gt;"")))</f>
        <v/>
      </c>
      <c r="Y155" s="27">
        <f>IF(COUNTA(D155:W155)=0,"",SUMPRODUCT((D155:W155=$D$2:$W$2)*(D155:W155&lt;&gt;"")*$D$3:$W$3))</f>
        <v/>
      </c>
      <c r="Z155" s="10">
        <f>IF($Y155="","",SUMPRODUCT(($D155:$W155=$D$2:$W$2)*($D155:$W155&lt;&gt;"")*$D$3:$W$3*($D$4:$W$4=Z$6)))</f>
        <v/>
      </c>
      <c r="AA155" s="10">
        <f>IF($Y155="","",SUMPRODUCT(($D155:$W155=$D$2:$W$2)*($D155:$W155&lt;&gt;"")*$D$3:$W$3*($D$4:$W$4=AA$6)))</f>
        <v/>
      </c>
      <c r="AB155" s="10">
        <f>IF($Y155="","",SUMPRODUCT(($D155:$W155=$D$2:$W$2)*($D155:$W155&lt;&gt;"")*$D$3:$W$3*($D$4:$W$4=AB$6)))</f>
        <v/>
      </c>
      <c r="AC155" s="10">
        <f>IF($Y155="","",SUMPRODUCT(($D155:$W155=$D$2:$W$2)*($D155:$W155&lt;&gt;"")*$D$3:$W$3*($D$4:$W$4=AC$6)))</f>
        <v/>
      </c>
    </row>
    <row r="156">
      <c r="A156" s="5" t="n">
        <v>150</v>
      </c>
      <c r="B156" s="5">
        <f>IF('학생명단'!B156="","",'학생명단'!B156)</f>
        <v/>
      </c>
      <c r="C156" s="17">
        <f>IF('학생명단'!C156="","",'학생명단'!C156)</f>
        <v/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10">
        <f>IF(COUNTA(D156:W156)=0,"",SUMPRODUCT((D156:W156=$D$2:$W$2)*(D156:W156&lt;&gt;"")))</f>
        <v/>
      </c>
      <c r="Y156" s="27">
        <f>IF(COUNTA(D156:W156)=0,"",SUMPRODUCT((D156:W156=$D$2:$W$2)*(D156:W156&lt;&gt;"")*$D$3:$W$3))</f>
        <v/>
      </c>
      <c r="Z156" s="10">
        <f>IF($Y156="","",SUMPRODUCT(($D156:$W156=$D$2:$W$2)*($D156:$W156&lt;&gt;"")*$D$3:$W$3*($D$4:$W$4=Z$6)))</f>
        <v/>
      </c>
      <c r="AA156" s="10">
        <f>IF($Y156="","",SUMPRODUCT(($D156:$W156=$D$2:$W$2)*($D156:$W156&lt;&gt;"")*$D$3:$W$3*($D$4:$W$4=AA$6)))</f>
        <v/>
      </c>
      <c r="AB156" s="10">
        <f>IF($Y156="","",SUMPRODUCT(($D156:$W156=$D$2:$W$2)*($D156:$W156&lt;&gt;"")*$D$3:$W$3*($D$4:$W$4=AB$6)))</f>
        <v/>
      </c>
      <c r="AC156" s="10">
        <f>IF($Y156="","",SUMPRODUCT(($D156:$W156=$D$2:$W$2)*($D156:$W156&lt;&gt;"")*$D$3:$W$3*($D$4:$W$4=AC$6)))</f>
        <v/>
      </c>
    </row>
  </sheetData>
  <mergeCells count="6">
    <mergeCell ref="A1:C1"/>
    <mergeCell ref="A5:C5"/>
    <mergeCell ref="A3:C3"/>
    <mergeCell ref="A4:C4"/>
    <mergeCell ref="D1:AC1"/>
    <mergeCell ref="A2:C2"/>
  </mergeCells>
  <conditionalFormatting sqref="D7:W156">
    <cfRule type="expression" priority="1" dxfId="0">
      <formula>AND(D7&lt;&gt;"",D$2&lt;&gt;"",D7&lt;&gt;D$2)</formula>
    </cfRule>
  </conditionalFormatting>
  <conditionalFormatting sqref="D2:W2">
    <cfRule type="expression" priority="2" dxfId="1">
      <formula>D2=""</formula>
    </cfRule>
  </conditionalFormatting>
  <dataValidations count="4">
    <dataValidation sqref="D4:W4" showDropDown="0" showInputMessage="0" showErrorMessage="0" allowBlank="1" type="list">
      <formula1>='설정'!$B$19:$B$22</formula1>
    </dataValidation>
    <dataValidation sqref="D5:W5" showDropDown="0" showInputMessage="0" showErrorMessage="0" allowBlank="1" type="list">
      <formula1>"하,중하,중,중상,상,최상"</formula1>
    </dataValidation>
    <dataValidation sqref="D2 D7:D156 E2 E7:E156 F2 F7:F156 G2 G7:G156 H2 H7:H156 I2 I7:I156 J2 J7:J156 K2 K7:K156 L2 L7:L156 M2 M7:M156 N2 N7:N156 O2 O7:O156 P2 P7:P156 Q2 Q7:Q156" showDropDown="0" showInputMessage="0" showErrorMessage="1" allowBlank="1" errorTitle="입력 오류" error="객관식은 1~5 사이 정수만 입력" type="whole" operator="between">
      <formula1>1</formula1>
      <formula2>5</formula2>
    </dataValidation>
    <dataValidation sqref="R7:R156 S7:S156 T7:T156 U7:U156 V7:V156 W7:W156" showDropDown="0" showInputMessage="0" showErrorMessage="1" allowBlank="1" errorTitle="입력 오류" error="단답형은 맞으면 1, 틀리면 0을 입력" type="whole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5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7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 ht="34" customHeight="1">
      <c r="A1" s="1" t="inlineStr">
        <is>
          <t>공통수학2 채점표</t>
        </is>
      </c>
      <c r="D1" s="2" t="inlineStr">
        <is>
          <t>객관식 1~14번: 학생이 고른 번호(1~5, 답안지 스캔으로 자동 입력 가능)  단답형 15~20번: 직접 채점해 맞으면 1, 틀리면 0 → 틀린 칸은 빨간색, 점수 자동 계산. 결시생은 비워두면 미응시 처리.</t>
        </is>
      </c>
    </row>
    <row r="2">
      <c r="A2" s="18" t="inlineStr">
        <is>
          <t>정답 ▶</t>
        </is>
      </c>
      <c r="D2" s="19" t="n">
        <v>2</v>
      </c>
      <c r="E2" s="19" t="n">
        <v>4</v>
      </c>
      <c r="F2" s="19" t="n">
        <v>1</v>
      </c>
      <c r="G2" s="19" t="n">
        <v>3</v>
      </c>
      <c r="H2" s="19" t="n">
        <v>5</v>
      </c>
      <c r="I2" s="19" t="n">
        <v>2</v>
      </c>
      <c r="J2" s="19" t="n">
        <v>5</v>
      </c>
      <c r="K2" s="19" t="n">
        <v>2</v>
      </c>
      <c r="L2" s="19" t="n">
        <v>4</v>
      </c>
      <c r="M2" s="19" t="n">
        <v>4</v>
      </c>
      <c r="N2" s="19" t="n">
        <v>5</v>
      </c>
      <c r="O2" s="19" t="n">
        <v>3</v>
      </c>
      <c r="P2" s="19" t="n">
        <v>1</v>
      </c>
      <c r="Q2" s="19" t="n">
        <v>1</v>
      </c>
      <c r="R2" s="20" t="n">
        <v>1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</row>
    <row r="3">
      <c r="A3" s="18" t="inlineStr">
        <is>
          <t>배점 ▶</t>
        </is>
      </c>
      <c r="D3" s="7" t="n">
        <v>4</v>
      </c>
      <c r="E3" s="7" t="n">
        <v>4</v>
      </c>
      <c r="F3" s="7" t="n">
        <v>4</v>
      </c>
      <c r="G3" s="7" t="n">
        <v>4</v>
      </c>
      <c r="H3" s="7" t="n">
        <v>4</v>
      </c>
      <c r="I3" s="7" t="n">
        <v>4</v>
      </c>
      <c r="J3" s="7" t="n">
        <v>5</v>
      </c>
      <c r="K3" s="7" t="n">
        <v>5</v>
      </c>
      <c r="L3" s="7" t="n">
        <v>5</v>
      </c>
      <c r="M3" s="7" t="n">
        <v>5</v>
      </c>
      <c r="N3" s="7" t="n">
        <v>6</v>
      </c>
      <c r="O3" s="7" t="n">
        <v>6</v>
      </c>
      <c r="P3" s="7" t="n">
        <v>6</v>
      </c>
      <c r="Q3" s="7" t="n">
        <v>7</v>
      </c>
      <c r="R3" s="7" t="n">
        <v>4</v>
      </c>
      <c r="S3" s="7" t="n">
        <v>4</v>
      </c>
      <c r="T3" s="7" t="n">
        <v>5</v>
      </c>
      <c r="U3" s="7" t="n">
        <v>5</v>
      </c>
      <c r="V3" s="7" t="n">
        <v>6</v>
      </c>
      <c r="W3" s="7" t="n">
        <v>7</v>
      </c>
      <c r="X3" s="17">
        <f>COUNT(D2:W2)</f>
        <v/>
      </c>
      <c r="Y3" s="21">
        <f>SUM(D3:W3)</f>
        <v/>
      </c>
      <c r="Z3" s="17">
        <f>SUMIF($D$4:$W$4,Z$6,$D$3:$W$3)</f>
        <v/>
      </c>
      <c r="AA3" s="17">
        <f>SUMIF($D$4:$W$4,AA$6,$D$3:$W$3)</f>
        <v/>
      </c>
      <c r="AB3" s="17">
        <f>SUMIF($D$4:$W$4,AB$6,$D$3:$W$3)</f>
        <v/>
      </c>
    </row>
    <row r="4" ht="42" customHeight="1">
      <c r="A4" s="18" t="inlineStr">
        <is>
          <t>단원 ▶</t>
        </is>
      </c>
      <c r="D4" s="22" t="inlineStr">
        <is>
          <t>도형의 방정식</t>
        </is>
      </c>
      <c r="E4" s="22" t="inlineStr">
        <is>
          <t>함수와 그래프</t>
        </is>
      </c>
      <c r="F4" s="22" t="inlineStr">
        <is>
          <t>도형의 방정식</t>
        </is>
      </c>
      <c r="G4" s="22" t="inlineStr">
        <is>
          <t>도형의 방정식</t>
        </is>
      </c>
      <c r="H4" s="22" t="inlineStr">
        <is>
          <t>도형의 방정식</t>
        </is>
      </c>
      <c r="I4" s="22" t="inlineStr">
        <is>
          <t>집합과 명제</t>
        </is>
      </c>
      <c r="J4" s="22" t="inlineStr">
        <is>
          <t>집합과 명제</t>
        </is>
      </c>
      <c r="K4" s="22" t="inlineStr">
        <is>
          <t>도형의 방정식</t>
        </is>
      </c>
      <c r="L4" s="22" t="inlineStr">
        <is>
          <t>도형의 방정식</t>
        </is>
      </c>
      <c r="M4" s="22" t="inlineStr">
        <is>
          <t>함수와 그래프</t>
        </is>
      </c>
      <c r="N4" s="22" t="inlineStr">
        <is>
          <t>함수와 그래프</t>
        </is>
      </c>
      <c r="O4" s="22" t="inlineStr">
        <is>
          <t>함수와 그래프</t>
        </is>
      </c>
      <c r="P4" s="22" t="inlineStr">
        <is>
          <t>도형의 방정식</t>
        </is>
      </c>
      <c r="Q4" s="22" t="inlineStr">
        <is>
          <t>도형의 방정식</t>
        </is>
      </c>
      <c r="R4" s="22" t="inlineStr">
        <is>
          <t>집합과 명제</t>
        </is>
      </c>
      <c r="S4" s="22" t="inlineStr">
        <is>
          <t>도형의 방정식</t>
        </is>
      </c>
      <c r="T4" s="22" t="inlineStr">
        <is>
          <t>집합과 명제</t>
        </is>
      </c>
      <c r="U4" s="22" t="inlineStr">
        <is>
          <t>함수와 그래프</t>
        </is>
      </c>
      <c r="V4" s="22" t="inlineStr">
        <is>
          <t>집합과 명제</t>
        </is>
      </c>
      <c r="W4" s="22" t="inlineStr">
        <is>
          <t>함수와 그래프</t>
        </is>
      </c>
    </row>
    <row r="5">
      <c r="A5" s="18" t="inlineStr">
        <is>
          <t>난이도 ▶</t>
        </is>
      </c>
      <c r="D5" s="7" t="inlineStr">
        <is>
          <t>하</t>
        </is>
      </c>
      <c r="E5" s="7" t="inlineStr">
        <is>
          <t>하</t>
        </is>
      </c>
      <c r="F5" s="7" t="inlineStr">
        <is>
          <t>하</t>
        </is>
      </c>
      <c r="G5" s="7" t="inlineStr">
        <is>
          <t>중하</t>
        </is>
      </c>
      <c r="H5" s="7" t="inlineStr">
        <is>
          <t>중하</t>
        </is>
      </c>
      <c r="I5" s="7" t="inlineStr">
        <is>
          <t>중하</t>
        </is>
      </c>
      <c r="J5" s="7" t="inlineStr">
        <is>
          <t>중상</t>
        </is>
      </c>
      <c r="K5" s="7" t="inlineStr">
        <is>
          <t>상</t>
        </is>
      </c>
      <c r="L5" s="7" t="inlineStr">
        <is>
          <t>중상</t>
        </is>
      </c>
      <c r="M5" s="7" t="inlineStr">
        <is>
          <t>상</t>
        </is>
      </c>
      <c r="N5" s="7" t="inlineStr">
        <is>
          <t>상</t>
        </is>
      </c>
      <c r="O5" s="7" t="inlineStr">
        <is>
          <t>상</t>
        </is>
      </c>
      <c r="P5" s="7" t="inlineStr">
        <is>
          <t>상</t>
        </is>
      </c>
      <c r="Q5" s="7" t="inlineStr">
        <is>
          <t>최상</t>
        </is>
      </c>
      <c r="R5" s="7" t="inlineStr">
        <is>
          <t>중상</t>
        </is>
      </c>
      <c r="S5" s="7" t="inlineStr">
        <is>
          <t>중상</t>
        </is>
      </c>
      <c r="T5" s="7" t="inlineStr">
        <is>
          <t>중상</t>
        </is>
      </c>
      <c r="U5" s="7" t="inlineStr">
        <is>
          <t>상</t>
        </is>
      </c>
      <c r="V5" s="7" t="inlineStr">
        <is>
          <t>최상</t>
        </is>
      </c>
      <c r="W5" s="7" t="inlineStr">
        <is>
          <t>최상</t>
        </is>
      </c>
      <c r="X5" s="23" t="inlineStr">
        <is>
          <t>정답입력수▲</t>
        </is>
      </c>
      <c r="Y5" s="23" t="inlineStr">
        <is>
          <t>만점 ▲</t>
        </is>
      </c>
      <c r="Z5" s="23" t="inlineStr">
        <is>
          <t>만점 ▲</t>
        </is>
      </c>
      <c r="AA5" s="23" t="inlineStr">
        <is>
          <t>만점 ▲</t>
        </is>
      </c>
      <c r="AB5" s="23" t="inlineStr">
        <is>
          <t>만점 ▲</t>
        </is>
      </c>
    </row>
    <row r="6" ht="44" customHeight="1">
      <c r="A6" s="4" t="inlineStr">
        <is>
          <t>No</t>
        </is>
      </c>
      <c r="B6" s="4" t="inlineStr">
        <is>
          <t>이름</t>
        </is>
      </c>
      <c r="C6" s="4" t="inlineStr">
        <is>
          <t>학교</t>
        </is>
      </c>
      <c r="D6" s="24" t="inlineStr">
        <is>
          <t>1
객관식</t>
        </is>
      </c>
      <c r="E6" s="24" t="inlineStr">
        <is>
          <t>2
객관식</t>
        </is>
      </c>
      <c r="F6" s="24" t="inlineStr">
        <is>
          <t>3
객관식</t>
        </is>
      </c>
      <c r="G6" s="24" t="inlineStr">
        <is>
          <t>4
객관식</t>
        </is>
      </c>
      <c r="H6" s="24" t="inlineStr">
        <is>
          <t>5
객관식</t>
        </is>
      </c>
      <c r="I6" s="24" t="inlineStr">
        <is>
          <t>6
객관식</t>
        </is>
      </c>
      <c r="J6" s="24" t="inlineStr">
        <is>
          <t>7
객관식</t>
        </is>
      </c>
      <c r="K6" s="24" t="inlineStr">
        <is>
          <t>8
객관식</t>
        </is>
      </c>
      <c r="L6" s="24" t="inlineStr">
        <is>
          <t>9
객관식</t>
        </is>
      </c>
      <c r="M6" s="24" t="inlineStr">
        <is>
          <t>10
객관식</t>
        </is>
      </c>
      <c r="N6" s="24" t="inlineStr">
        <is>
          <t>11
객관식</t>
        </is>
      </c>
      <c r="O6" s="24" t="inlineStr">
        <is>
          <t>12
객관식</t>
        </is>
      </c>
      <c r="P6" s="24" t="inlineStr">
        <is>
          <t>13
객관식</t>
        </is>
      </c>
      <c r="Q6" s="24" t="inlineStr">
        <is>
          <t>14
객관식</t>
        </is>
      </c>
      <c r="R6" s="25" t="inlineStr">
        <is>
          <t>15
단답형
답 9</t>
        </is>
      </c>
      <c r="S6" s="25" t="inlineStr">
        <is>
          <t>16
단답형
답 160</t>
        </is>
      </c>
      <c r="T6" s="25" t="inlineStr">
        <is>
          <t>17
단답형
답 12</t>
        </is>
      </c>
      <c r="U6" s="25" t="inlineStr">
        <is>
          <t>18
단답형
답 14</t>
        </is>
      </c>
      <c r="V6" s="25" t="inlineStr">
        <is>
          <t>19
단답형
답 15</t>
        </is>
      </c>
      <c r="W6" s="25" t="inlineStr">
        <is>
          <t>20
단답형
답 13</t>
        </is>
      </c>
      <c r="X6" s="4" t="inlineStr">
        <is>
          <t>맞힌
개수</t>
        </is>
      </c>
      <c r="Y6" s="4" t="inlineStr">
        <is>
          <t>총점</t>
        </is>
      </c>
      <c r="Z6" s="26">
        <f>'설정'!B24</f>
        <v/>
      </c>
      <c r="AA6" s="26">
        <f>'설정'!B25</f>
        <v/>
      </c>
      <c r="AB6" s="26">
        <f>'설정'!B26</f>
        <v/>
      </c>
    </row>
    <row r="7">
      <c r="A7" s="5" t="n">
        <v>1</v>
      </c>
      <c r="B7" s="5">
        <f>IF('학생명단'!B7="","",'학생명단'!B7)</f>
        <v/>
      </c>
      <c r="C7" s="17">
        <f>IF('학생명단'!C7="","",'학생명단'!C7)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10">
        <f>IF(COUNTA(D7:W7)=0,"",SUMPRODUCT((D7:W7=$D$2:$W$2)*(D7:W7&lt;&gt;"")))</f>
        <v/>
      </c>
      <c r="Y7" s="27">
        <f>IF(COUNTA(D7:W7)=0,"",SUMPRODUCT((D7:W7=$D$2:$W$2)*(D7:W7&lt;&gt;"")*$D$3:$W$3))</f>
        <v/>
      </c>
      <c r="Z7" s="10">
        <f>IF($Y7="","",SUMPRODUCT(($D7:$W7=$D$2:$W$2)*($D7:$W7&lt;&gt;"")*$D$3:$W$3*($D$4:$W$4=Z$6)))</f>
        <v/>
      </c>
      <c r="AA7" s="10">
        <f>IF($Y7="","",SUMPRODUCT(($D7:$W7=$D$2:$W$2)*($D7:$W7&lt;&gt;"")*$D$3:$W$3*($D$4:$W$4=AA$6)))</f>
        <v/>
      </c>
      <c r="AB7" s="10">
        <f>IF($Y7="","",SUMPRODUCT(($D7:$W7=$D$2:$W$2)*($D7:$W7&lt;&gt;"")*$D$3:$W$3*($D$4:$W$4=AB$6)))</f>
        <v/>
      </c>
    </row>
    <row r="8">
      <c r="A8" s="5" t="n">
        <v>2</v>
      </c>
      <c r="B8" s="5">
        <f>IF('학생명단'!B8="","",'학생명단'!B8)</f>
        <v/>
      </c>
      <c r="C8" s="17">
        <f>IF('학생명단'!C8="","",'학생명단'!C8)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10">
        <f>IF(COUNTA(D8:W8)=0,"",SUMPRODUCT((D8:W8=$D$2:$W$2)*(D8:W8&lt;&gt;"")))</f>
        <v/>
      </c>
      <c r="Y8" s="27">
        <f>IF(COUNTA(D8:W8)=0,"",SUMPRODUCT((D8:W8=$D$2:$W$2)*(D8:W8&lt;&gt;"")*$D$3:$W$3))</f>
        <v/>
      </c>
      <c r="Z8" s="10">
        <f>IF($Y8="","",SUMPRODUCT(($D8:$W8=$D$2:$W$2)*($D8:$W8&lt;&gt;"")*$D$3:$W$3*($D$4:$W$4=Z$6)))</f>
        <v/>
      </c>
      <c r="AA8" s="10">
        <f>IF($Y8="","",SUMPRODUCT(($D8:$W8=$D$2:$W$2)*($D8:$W8&lt;&gt;"")*$D$3:$W$3*($D$4:$W$4=AA$6)))</f>
        <v/>
      </c>
      <c r="AB8" s="10">
        <f>IF($Y8="","",SUMPRODUCT(($D8:$W8=$D$2:$W$2)*($D8:$W8&lt;&gt;"")*$D$3:$W$3*($D$4:$W$4=AB$6)))</f>
        <v/>
      </c>
    </row>
    <row r="9">
      <c r="A9" s="5" t="n">
        <v>3</v>
      </c>
      <c r="B9" s="5">
        <f>IF('학생명단'!B9="","",'학생명단'!B9)</f>
        <v/>
      </c>
      <c r="C9" s="17">
        <f>IF('학생명단'!C9="","",'학생명단'!C9)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10">
        <f>IF(COUNTA(D9:W9)=0,"",SUMPRODUCT((D9:W9=$D$2:$W$2)*(D9:W9&lt;&gt;"")))</f>
        <v/>
      </c>
      <c r="Y9" s="27">
        <f>IF(COUNTA(D9:W9)=0,"",SUMPRODUCT((D9:W9=$D$2:$W$2)*(D9:W9&lt;&gt;"")*$D$3:$W$3))</f>
        <v/>
      </c>
      <c r="Z9" s="10">
        <f>IF($Y9="","",SUMPRODUCT(($D9:$W9=$D$2:$W$2)*($D9:$W9&lt;&gt;"")*$D$3:$W$3*($D$4:$W$4=Z$6)))</f>
        <v/>
      </c>
      <c r="AA9" s="10">
        <f>IF($Y9="","",SUMPRODUCT(($D9:$W9=$D$2:$W$2)*($D9:$W9&lt;&gt;"")*$D$3:$W$3*($D$4:$W$4=AA$6)))</f>
        <v/>
      </c>
      <c r="AB9" s="10">
        <f>IF($Y9="","",SUMPRODUCT(($D9:$W9=$D$2:$W$2)*($D9:$W9&lt;&gt;"")*$D$3:$W$3*($D$4:$W$4=AB$6)))</f>
        <v/>
      </c>
    </row>
    <row r="10">
      <c r="A10" s="5" t="n">
        <v>4</v>
      </c>
      <c r="B10" s="5">
        <f>IF('학생명단'!B10="","",'학생명단'!B10)</f>
        <v/>
      </c>
      <c r="C10" s="17">
        <f>IF('학생명단'!C10="","",'학생명단'!C10)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10">
        <f>IF(COUNTA(D10:W10)=0,"",SUMPRODUCT((D10:W10=$D$2:$W$2)*(D10:W10&lt;&gt;"")))</f>
        <v/>
      </c>
      <c r="Y10" s="27">
        <f>IF(COUNTA(D10:W10)=0,"",SUMPRODUCT((D10:W10=$D$2:$W$2)*(D10:W10&lt;&gt;"")*$D$3:$W$3))</f>
        <v/>
      </c>
      <c r="Z10" s="10">
        <f>IF($Y10="","",SUMPRODUCT(($D10:$W10=$D$2:$W$2)*($D10:$W10&lt;&gt;"")*$D$3:$W$3*($D$4:$W$4=Z$6)))</f>
        <v/>
      </c>
      <c r="AA10" s="10">
        <f>IF($Y10="","",SUMPRODUCT(($D10:$W10=$D$2:$W$2)*($D10:$W10&lt;&gt;"")*$D$3:$W$3*($D$4:$W$4=AA$6)))</f>
        <v/>
      </c>
      <c r="AB10" s="10">
        <f>IF($Y10="","",SUMPRODUCT(($D10:$W10=$D$2:$W$2)*($D10:$W10&lt;&gt;"")*$D$3:$W$3*($D$4:$W$4=AB$6)))</f>
        <v/>
      </c>
    </row>
    <row r="11">
      <c r="A11" s="5" t="n">
        <v>5</v>
      </c>
      <c r="B11" s="5">
        <f>IF('학생명단'!B11="","",'학생명단'!B11)</f>
        <v/>
      </c>
      <c r="C11" s="17">
        <f>IF('학생명단'!C11="","",'학생명단'!C11)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10">
        <f>IF(COUNTA(D11:W11)=0,"",SUMPRODUCT((D11:W11=$D$2:$W$2)*(D11:W11&lt;&gt;"")))</f>
        <v/>
      </c>
      <c r="Y11" s="27">
        <f>IF(COUNTA(D11:W11)=0,"",SUMPRODUCT((D11:W11=$D$2:$W$2)*(D11:W11&lt;&gt;"")*$D$3:$W$3))</f>
        <v/>
      </c>
      <c r="Z11" s="10">
        <f>IF($Y11="","",SUMPRODUCT(($D11:$W11=$D$2:$W$2)*($D11:$W11&lt;&gt;"")*$D$3:$W$3*($D$4:$W$4=Z$6)))</f>
        <v/>
      </c>
      <c r="AA11" s="10">
        <f>IF($Y11="","",SUMPRODUCT(($D11:$W11=$D$2:$W$2)*($D11:$W11&lt;&gt;"")*$D$3:$W$3*($D$4:$W$4=AA$6)))</f>
        <v/>
      </c>
      <c r="AB11" s="10">
        <f>IF($Y11="","",SUMPRODUCT(($D11:$W11=$D$2:$W$2)*($D11:$W11&lt;&gt;"")*$D$3:$W$3*($D$4:$W$4=AB$6)))</f>
        <v/>
      </c>
    </row>
    <row r="12">
      <c r="A12" s="5" t="n">
        <v>6</v>
      </c>
      <c r="B12" s="5">
        <f>IF('학생명단'!B12="","",'학생명단'!B12)</f>
        <v/>
      </c>
      <c r="C12" s="17">
        <f>IF('학생명단'!C12="","",'학생명단'!C12)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10">
        <f>IF(COUNTA(D12:W12)=0,"",SUMPRODUCT((D12:W12=$D$2:$W$2)*(D12:W12&lt;&gt;"")))</f>
        <v/>
      </c>
      <c r="Y12" s="27">
        <f>IF(COUNTA(D12:W12)=0,"",SUMPRODUCT((D12:W12=$D$2:$W$2)*(D12:W12&lt;&gt;"")*$D$3:$W$3))</f>
        <v/>
      </c>
      <c r="Z12" s="10">
        <f>IF($Y12="","",SUMPRODUCT(($D12:$W12=$D$2:$W$2)*($D12:$W12&lt;&gt;"")*$D$3:$W$3*($D$4:$W$4=Z$6)))</f>
        <v/>
      </c>
      <c r="AA12" s="10">
        <f>IF($Y12="","",SUMPRODUCT(($D12:$W12=$D$2:$W$2)*($D12:$W12&lt;&gt;"")*$D$3:$W$3*($D$4:$W$4=AA$6)))</f>
        <v/>
      </c>
      <c r="AB12" s="10">
        <f>IF($Y12="","",SUMPRODUCT(($D12:$W12=$D$2:$W$2)*($D12:$W12&lt;&gt;"")*$D$3:$W$3*($D$4:$W$4=AB$6)))</f>
        <v/>
      </c>
    </row>
    <row r="13">
      <c r="A13" s="5" t="n">
        <v>7</v>
      </c>
      <c r="B13" s="5">
        <f>IF('학생명단'!B13="","",'학생명단'!B13)</f>
        <v/>
      </c>
      <c r="C13" s="17">
        <f>IF('학생명단'!C13="","",'학생명단'!C13)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0">
        <f>IF(COUNTA(D13:W13)=0,"",SUMPRODUCT((D13:W13=$D$2:$W$2)*(D13:W13&lt;&gt;"")))</f>
        <v/>
      </c>
      <c r="Y13" s="27">
        <f>IF(COUNTA(D13:W13)=0,"",SUMPRODUCT((D13:W13=$D$2:$W$2)*(D13:W13&lt;&gt;"")*$D$3:$W$3))</f>
        <v/>
      </c>
      <c r="Z13" s="10">
        <f>IF($Y13="","",SUMPRODUCT(($D13:$W13=$D$2:$W$2)*($D13:$W13&lt;&gt;"")*$D$3:$W$3*($D$4:$W$4=Z$6)))</f>
        <v/>
      </c>
      <c r="AA13" s="10">
        <f>IF($Y13="","",SUMPRODUCT(($D13:$W13=$D$2:$W$2)*($D13:$W13&lt;&gt;"")*$D$3:$W$3*($D$4:$W$4=AA$6)))</f>
        <v/>
      </c>
      <c r="AB13" s="10">
        <f>IF($Y13="","",SUMPRODUCT(($D13:$W13=$D$2:$W$2)*($D13:$W13&lt;&gt;"")*$D$3:$W$3*($D$4:$W$4=AB$6)))</f>
        <v/>
      </c>
    </row>
    <row r="14">
      <c r="A14" s="5" t="n">
        <v>8</v>
      </c>
      <c r="B14" s="5">
        <f>IF('학생명단'!B14="","",'학생명단'!B14)</f>
        <v/>
      </c>
      <c r="C14" s="17">
        <f>IF('학생명단'!C14="","",'학생명단'!C14)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10">
        <f>IF(COUNTA(D14:W14)=0,"",SUMPRODUCT((D14:W14=$D$2:$W$2)*(D14:W14&lt;&gt;"")))</f>
        <v/>
      </c>
      <c r="Y14" s="27">
        <f>IF(COUNTA(D14:W14)=0,"",SUMPRODUCT((D14:W14=$D$2:$W$2)*(D14:W14&lt;&gt;"")*$D$3:$W$3))</f>
        <v/>
      </c>
      <c r="Z14" s="10">
        <f>IF($Y14="","",SUMPRODUCT(($D14:$W14=$D$2:$W$2)*($D14:$W14&lt;&gt;"")*$D$3:$W$3*($D$4:$W$4=Z$6)))</f>
        <v/>
      </c>
      <c r="AA14" s="10">
        <f>IF($Y14="","",SUMPRODUCT(($D14:$W14=$D$2:$W$2)*($D14:$W14&lt;&gt;"")*$D$3:$W$3*($D$4:$W$4=AA$6)))</f>
        <v/>
      </c>
      <c r="AB14" s="10">
        <f>IF($Y14="","",SUMPRODUCT(($D14:$W14=$D$2:$W$2)*($D14:$W14&lt;&gt;"")*$D$3:$W$3*($D$4:$W$4=AB$6)))</f>
        <v/>
      </c>
    </row>
    <row r="15">
      <c r="A15" s="5" t="n">
        <v>9</v>
      </c>
      <c r="B15" s="5">
        <f>IF('학생명단'!B15="","",'학생명단'!B15)</f>
        <v/>
      </c>
      <c r="C15" s="17">
        <f>IF('학생명단'!C15="","",'학생명단'!C15)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10">
        <f>IF(COUNTA(D15:W15)=0,"",SUMPRODUCT((D15:W15=$D$2:$W$2)*(D15:W15&lt;&gt;"")))</f>
        <v/>
      </c>
      <c r="Y15" s="27">
        <f>IF(COUNTA(D15:W15)=0,"",SUMPRODUCT((D15:W15=$D$2:$W$2)*(D15:W15&lt;&gt;"")*$D$3:$W$3))</f>
        <v/>
      </c>
      <c r="Z15" s="10">
        <f>IF($Y15="","",SUMPRODUCT(($D15:$W15=$D$2:$W$2)*($D15:$W15&lt;&gt;"")*$D$3:$W$3*($D$4:$W$4=Z$6)))</f>
        <v/>
      </c>
      <c r="AA15" s="10">
        <f>IF($Y15="","",SUMPRODUCT(($D15:$W15=$D$2:$W$2)*($D15:$W15&lt;&gt;"")*$D$3:$W$3*($D$4:$W$4=AA$6)))</f>
        <v/>
      </c>
      <c r="AB15" s="10">
        <f>IF($Y15="","",SUMPRODUCT(($D15:$W15=$D$2:$W$2)*($D15:$W15&lt;&gt;"")*$D$3:$W$3*($D$4:$W$4=AB$6)))</f>
        <v/>
      </c>
    </row>
    <row r="16">
      <c r="A16" s="5" t="n">
        <v>10</v>
      </c>
      <c r="B16" s="5">
        <f>IF('학생명단'!B16="","",'학생명단'!B16)</f>
        <v/>
      </c>
      <c r="C16" s="17">
        <f>IF('학생명단'!C16="","",'학생명단'!C16)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10">
        <f>IF(COUNTA(D16:W16)=0,"",SUMPRODUCT((D16:W16=$D$2:$W$2)*(D16:W16&lt;&gt;"")))</f>
        <v/>
      </c>
      <c r="Y16" s="27">
        <f>IF(COUNTA(D16:W16)=0,"",SUMPRODUCT((D16:W16=$D$2:$W$2)*(D16:W16&lt;&gt;"")*$D$3:$W$3))</f>
        <v/>
      </c>
      <c r="Z16" s="10">
        <f>IF($Y16="","",SUMPRODUCT(($D16:$W16=$D$2:$W$2)*($D16:$W16&lt;&gt;"")*$D$3:$W$3*($D$4:$W$4=Z$6)))</f>
        <v/>
      </c>
      <c r="AA16" s="10">
        <f>IF($Y16="","",SUMPRODUCT(($D16:$W16=$D$2:$W$2)*($D16:$W16&lt;&gt;"")*$D$3:$W$3*($D$4:$W$4=AA$6)))</f>
        <v/>
      </c>
      <c r="AB16" s="10">
        <f>IF($Y16="","",SUMPRODUCT(($D16:$W16=$D$2:$W$2)*($D16:$W16&lt;&gt;"")*$D$3:$W$3*($D$4:$W$4=AB$6)))</f>
        <v/>
      </c>
    </row>
    <row r="17">
      <c r="A17" s="5" t="n">
        <v>11</v>
      </c>
      <c r="B17" s="5">
        <f>IF('학생명단'!B17="","",'학생명단'!B17)</f>
        <v/>
      </c>
      <c r="C17" s="17">
        <f>IF('학생명단'!C17="","",'학생명단'!C17)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10">
        <f>IF(COUNTA(D17:W17)=0,"",SUMPRODUCT((D17:W17=$D$2:$W$2)*(D17:W17&lt;&gt;"")))</f>
        <v/>
      </c>
      <c r="Y17" s="27">
        <f>IF(COUNTA(D17:W17)=0,"",SUMPRODUCT((D17:W17=$D$2:$W$2)*(D17:W17&lt;&gt;"")*$D$3:$W$3))</f>
        <v/>
      </c>
      <c r="Z17" s="10">
        <f>IF($Y17="","",SUMPRODUCT(($D17:$W17=$D$2:$W$2)*($D17:$W17&lt;&gt;"")*$D$3:$W$3*($D$4:$W$4=Z$6)))</f>
        <v/>
      </c>
      <c r="AA17" s="10">
        <f>IF($Y17="","",SUMPRODUCT(($D17:$W17=$D$2:$W$2)*($D17:$W17&lt;&gt;"")*$D$3:$W$3*($D$4:$W$4=AA$6)))</f>
        <v/>
      </c>
      <c r="AB17" s="10">
        <f>IF($Y17="","",SUMPRODUCT(($D17:$W17=$D$2:$W$2)*($D17:$W17&lt;&gt;"")*$D$3:$W$3*($D$4:$W$4=AB$6)))</f>
        <v/>
      </c>
    </row>
    <row r="18">
      <c r="A18" s="5" t="n">
        <v>12</v>
      </c>
      <c r="B18" s="5">
        <f>IF('학생명단'!B18="","",'학생명단'!B18)</f>
        <v/>
      </c>
      <c r="C18" s="17">
        <f>IF('학생명단'!C18="","",'학생명단'!C18)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10">
        <f>IF(COUNTA(D18:W18)=0,"",SUMPRODUCT((D18:W18=$D$2:$W$2)*(D18:W18&lt;&gt;"")))</f>
        <v/>
      </c>
      <c r="Y18" s="27">
        <f>IF(COUNTA(D18:W18)=0,"",SUMPRODUCT((D18:W18=$D$2:$W$2)*(D18:W18&lt;&gt;"")*$D$3:$W$3))</f>
        <v/>
      </c>
      <c r="Z18" s="10">
        <f>IF($Y18="","",SUMPRODUCT(($D18:$W18=$D$2:$W$2)*($D18:$W18&lt;&gt;"")*$D$3:$W$3*($D$4:$W$4=Z$6)))</f>
        <v/>
      </c>
      <c r="AA18" s="10">
        <f>IF($Y18="","",SUMPRODUCT(($D18:$W18=$D$2:$W$2)*($D18:$W18&lt;&gt;"")*$D$3:$W$3*($D$4:$W$4=AA$6)))</f>
        <v/>
      </c>
      <c r="AB18" s="10">
        <f>IF($Y18="","",SUMPRODUCT(($D18:$W18=$D$2:$W$2)*($D18:$W18&lt;&gt;"")*$D$3:$W$3*($D$4:$W$4=AB$6)))</f>
        <v/>
      </c>
    </row>
    <row r="19">
      <c r="A19" s="5" t="n">
        <v>13</v>
      </c>
      <c r="B19" s="5">
        <f>IF('학생명단'!B19="","",'학생명단'!B19)</f>
        <v/>
      </c>
      <c r="C19" s="17">
        <f>IF('학생명단'!C19="","",'학생명단'!C19)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10">
        <f>IF(COUNTA(D19:W19)=0,"",SUMPRODUCT((D19:W19=$D$2:$W$2)*(D19:W19&lt;&gt;"")))</f>
        <v/>
      </c>
      <c r="Y19" s="27">
        <f>IF(COUNTA(D19:W19)=0,"",SUMPRODUCT((D19:W19=$D$2:$W$2)*(D19:W19&lt;&gt;"")*$D$3:$W$3))</f>
        <v/>
      </c>
      <c r="Z19" s="10">
        <f>IF($Y19="","",SUMPRODUCT(($D19:$W19=$D$2:$W$2)*($D19:$W19&lt;&gt;"")*$D$3:$W$3*($D$4:$W$4=Z$6)))</f>
        <v/>
      </c>
      <c r="AA19" s="10">
        <f>IF($Y19="","",SUMPRODUCT(($D19:$W19=$D$2:$W$2)*($D19:$W19&lt;&gt;"")*$D$3:$W$3*($D$4:$W$4=AA$6)))</f>
        <v/>
      </c>
      <c r="AB19" s="10">
        <f>IF($Y19="","",SUMPRODUCT(($D19:$W19=$D$2:$W$2)*($D19:$W19&lt;&gt;"")*$D$3:$W$3*($D$4:$W$4=AB$6)))</f>
        <v/>
      </c>
    </row>
    <row r="20">
      <c r="A20" s="5" t="n">
        <v>14</v>
      </c>
      <c r="B20" s="5">
        <f>IF('학생명단'!B20="","",'학생명단'!B20)</f>
        <v/>
      </c>
      <c r="C20" s="17">
        <f>IF('학생명단'!C20="","",'학생명단'!C20)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10">
        <f>IF(COUNTA(D20:W20)=0,"",SUMPRODUCT((D20:W20=$D$2:$W$2)*(D20:W20&lt;&gt;"")))</f>
        <v/>
      </c>
      <c r="Y20" s="27">
        <f>IF(COUNTA(D20:W20)=0,"",SUMPRODUCT((D20:W20=$D$2:$W$2)*(D20:W20&lt;&gt;"")*$D$3:$W$3))</f>
        <v/>
      </c>
      <c r="Z20" s="10">
        <f>IF($Y20="","",SUMPRODUCT(($D20:$W20=$D$2:$W$2)*($D20:$W20&lt;&gt;"")*$D$3:$W$3*($D$4:$W$4=Z$6)))</f>
        <v/>
      </c>
      <c r="AA20" s="10">
        <f>IF($Y20="","",SUMPRODUCT(($D20:$W20=$D$2:$W$2)*($D20:$W20&lt;&gt;"")*$D$3:$W$3*($D$4:$W$4=AA$6)))</f>
        <v/>
      </c>
      <c r="AB20" s="10">
        <f>IF($Y20="","",SUMPRODUCT(($D20:$W20=$D$2:$W$2)*($D20:$W20&lt;&gt;"")*$D$3:$W$3*($D$4:$W$4=AB$6)))</f>
        <v/>
      </c>
    </row>
    <row r="21">
      <c r="A21" s="5" t="n">
        <v>15</v>
      </c>
      <c r="B21" s="5">
        <f>IF('학생명단'!B21="","",'학생명단'!B21)</f>
        <v/>
      </c>
      <c r="C21" s="17">
        <f>IF('학생명단'!C21="","",'학생명단'!C21)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10">
        <f>IF(COUNTA(D21:W21)=0,"",SUMPRODUCT((D21:W21=$D$2:$W$2)*(D21:W21&lt;&gt;"")))</f>
        <v/>
      </c>
      <c r="Y21" s="27">
        <f>IF(COUNTA(D21:W21)=0,"",SUMPRODUCT((D21:W21=$D$2:$W$2)*(D21:W21&lt;&gt;"")*$D$3:$W$3))</f>
        <v/>
      </c>
      <c r="Z21" s="10">
        <f>IF($Y21="","",SUMPRODUCT(($D21:$W21=$D$2:$W$2)*($D21:$W21&lt;&gt;"")*$D$3:$W$3*($D$4:$W$4=Z$6)))</f>
        <v/>
      </c>
      <c r="AA21" s="10">
        <f>IF($Y21="","",SUMPRODUCT(($D21:$W21=$D$2:$W$2)*($D21:$W21&lt;&gt;"")*$D$3:$W$3*($D$4:$W$4=AA$6)))</f>
        <v/>
      </c>
      <c r="AB21" s="10">
        <f>IF($Y21="","",SUMPRODUCT(($D21:$W21=$D$2:$W$2)*($D21:$W21&lt;&gt;"")*$D$3:$W$3*($D$4:$W$4=AB$6)))</f>
        <v/>
      </c>
    </row>
    <row r="22">
      <c r="A22" s="5" t="n">
        <v>16</v>
      </c>
      <c r="B22" s="5">
        <f>IF('학생명단'!B22="","",'학생명단'!B22)</f>
        <v/>
      </c>
      <c r="C22" s="17">
        <f>IF('학생명단'!C22="","",'학생명단'!C22)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10">
        <f>IF(COUNTA(D22:W22)=0,"",SUMPRODUCT((D22:W22=$D$2:$W$2)*(D22:W22&lt;&gt;"")))</f>
        <v/>
      </c>
      <c r="Y22" s="27">
        <f>IF(COUNTA(D22:W22)=0,"",SUMPRODUCT((D22:W22=$D$2:$W$2)*(D22:W22&lt;&gt;"")*$D$3:$W$3))</f>
        <v/>
      </c>
      <c r="Z22" s="10">
        <f>IF($Y22="","",SUMPRODUCT(($D22:$W22=$D$2:$W$2)*($D22:$W22&lt;&gt;"")*$D$3:$W$3*($D$4:$W$4=Z$6)))</f>
        <v/>
      </c>
      <c r="AA22" s="10">
        <f>IF($Y22="","",SUMPRODUCT(($D22:$W22=$D$2:$W$2)*($D22:$W22&lt;&gt;"")*$D$3:$W$3*($D$4:$W$4=AA$6)))</f>
        <v/>
      </c>
      <c r="AB22" s="10">
        <f>IF($Y22="","",SUMPRODUCT(($D22:$W22=$D$2:$W$2)*($D22:$W22&lt;&gt;"")*$D$3:$W$3*($D$4:$W$4=AB$6)))</f>
        <v/>
      </c>
    </row>
    <row r="23">
      <c r="A23" s="5" t="n">
        <v>17</v>
      </c>
      <c r="B23" s="5">
        <f>IF('학생명단'!B23="","",'학생명단'!B23)</f>
        <v/>
      </c>
      <c r="C23" s="17">
        <f>IF('학생명단'!C23="","",'학생명단'!C23)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10">
        <f>IF(COUNTA(D23:W23)=0,"",SUMPRODUCT((D23:W23=$D$2:$W$2)*(D23:W23&lt;&gt;"")))</f>
        <v/>
      </c>
      <c r="Y23" s="27">
        <f>IF(COUNTA(D23:W23)=0,"",SUMPRODUCT((D23:W23=$D$2:$W$2)*(D23:W23&lt;&gt;"")*$D$3:$W$3))</f>
        <v/>
      </c>
      <c r="Z23" s="10">
        <f>IF($Y23="","",SUMPRODUCT(($D23:$W23=$D$2:$W$2)*($D23:$W23&lt;&gt;"")*$D$3:$W$3*($D$4:$W$4=Z$6)))</f>
        <v/>
      </c>
      <c r="AA23" s="10">
        <f>IF($Y23="","",SUMPRODUCT(($D23:$W23=$D$2:$W$2)*($D23:$W23&lt;&gt;"")*$D$3:$W$3*($D$4:$W$4=AA$6)))</f>
        <v/>
      </c>
      <c r="AB23" s="10">
        <f>IF($Y23="","",SUMPRODUCT(($D23:$W23=$D$2:$W$2)*($D23:$W23&lt;&gt;"")*$D$3:$W$3*($D$4:$W$4=AB$6)))</f>
        <v/>
      </c>
    </row>
    <row r="24">
      <c r="A24" s="5" t="n">
        <v>18</v>
      </c>
      <c r="B24" s="5">
        <f>IF('학생명단'!B24="","",'학생명단'!B24)</f>
        <v/>
      </c>
      <c r="C24" s="17">
        <f>IF('학생명단'!C24="","",'학생명단'!C24)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10">
        <f>IF(COUNTA(D24:W24)=0,"",SUMPRODUCT((D24:W24=$D$2:$W$2)*(D24:W24&lt;&gt;"")))</f>
        <v/>
      </c>
      <c r="Y24" s="27">
        <f>IF(COUNTA(D24:W24)=0,"",SUMPRODUCT((D24:W24=$D$2:$W$2)*(D24:W24&lt;&gt;"")*$D$3:$W$3))</f>
        <v/>
      </c>
      <c r="Z24" s="10">
        <f>IF($Y24="","",SUMPRODUCT(($D24:$W24=$D$2:$W$2)*($D24:$W24&lt;&gt;"")*$D$3:$W$3*($D$4:$W$4=Z$6)))</f>
        <v/>
      </c>
      <c r="AA24" s="10">
        <f>IF($Y24="","",SUMPRODUCT(($D24:$W24=$D$2:$W$2)*($D24:$W24&lt;&gt;"")*$D$3:$W$3*($D$4:$W$4=AA$6)))</f>
        <v/>
      </c>
      <c r="AB24" s="10">
        <f>IF($Y24="","",SUMPRODUCT(($D24:$W24=$D$2:$W$2)*($D24:$W24&lt;&gt;"")*$D$3:$W$3*($D$4:$W$4=AB$6)))</f>
        <v/>
      </c>
    </row>
    <row r="25">
      <c r="A25" s="5" t="n">
        <v>19</v>
      </c>
      <c r="B25" s="5">
        <f>IF('학생명단'!B25="","",'학생명단'!B25)</f>
        <v/>
      </c>
      <c r="C25" s="17">
        <f>IF('학생명단'!C25="","",'학생명단'!C25)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10">
        <f>IF(COUNTA(D25:W25)=0,"",SUMPRODUCT((D25:W25=$D$2:$W$2)*(D25:W25&lt;&gt;"")))</f>
        <v/>
      </c>
      <c r="Y25" s="27">
        <f>IF(COUNTA(D25:W25)=0,"",SUMPRODUCT((D25:W25=$D$2:$W$2)*(D25:W25&lt;&gt;"")*$D$3:$W$3))</f>
        <v/>
      </c>
      <c r="Z25" s="10">
        <f>IF($Y25="","",SUMPRODUCT(($D25:$W25=$D$2:$W$2)*($D25:$W25&lt;&gt;"")*$D$3:$W$3*($D$4:$W$4=Z$6)))</f>
        <v/>
      </c>
      <c r="AA25" s="10">
        <f>IF($Y25="","",SUMPRODUCT(($D25:$W25=$D$2:$W$2)*($D25:$W25&lt;&gt;"")*$D$3:$W$3*($D$4:$W$4=AA$6)))</f>
        <v/>
      </c>
      <c r="AB25" s="10">
        <f>IF($Y25="","",SUMPRODUCT(($D25:$W25=$D$2:$W$2)*($D25:$W25&lt;&gt;"")*$D$3:$W$3*($D$4:$W$4=AB$6)))</f>
        <v/>
      </c>
    </row>
    <row r="26">
      <c r="A26" s="5" t="n">
        <v>20</v>
      </c>
      <c r="B26" s="5">
        <f>IF('학생명단'!B26="","",'학생명단'!B26)</f>
        <v/>
      </c>
      <c r="C26" s="17">
        <f>IF('학생명단'!C26="","",'학생명단'!C26)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10">
        <f>IF(COUNTA(D26:W26)=0,"",SUMPRODUCT((D26:W26=$D$2:$W$2)*(D26:W26&lt;&gt;"")))</f>
        <v/>
      </c>
      <c r="Y26" s="27">
        <f>IF(COUNTA(D26:W26)=0,"",SUMPRODUCT((D26:W26=$D$2:$W$2)*(D26:W26&lt;&gt;"")*$D$3:$W$3))</f>
        <v/>
      </c>
      <c r="Z26" s="10">
        <f>IF($Y26="","",SUMPRODUCT(($D26:$W26=$D$2:$W$2)*($D26:$W26&lt;&gt;"")*$D$3:$W$3*($D$4:$W$4=Z$6)))</f>
        <v/>
      </c>
      <c r="AA26" s="10">
        <f>IF($Y26="","",SUMPRODUCT(($D26:$W26=$D$2:$W$2)*($D26:$W26&lt;&gt;"")*$D$3:$W$3*($D$4:$W$4=AA$6)))</f>
        <v/>
      </c>
      <c r="AB26" s="10">
        <f>IF($Y26="","",SUMPRODUCT(($D26:$W26=$D$2:$W$2)*($D26:$W26&lt;&gt;"")*$D$3:$W$3*($D$4:$W$4=AB$6)))</f>
        <v/>
      </c>
    </row>
    <row r="27">
      <c r="A27" s="5" t="n">
        <v>21</v>
      </c>
      <c r="B27" s="5">
        <f>IF('학생명단'!B27="","",'학생명단'!B27)</f>
        <v/>
      </c>
      <c r="C27" s="17">
        <f>IF('학생명단'!C27="","",'학생명단'!C27)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10">
        <f>IF(COUNTA(D27:W27)=0,"",SUMPRODUCT((D27:W27=$D$2:$W$2)*(D27:W27&lt;&gt;"")))</f>
        <v/>
      </c>
      <c r="Y27" s="27">
        <f>IF(COUNTA(D27:W27)=0,"",SUMPRODUCT((D27:W27=$D$2:$W$2)*(D27:W27&lt;&gt;"")*$D$3:$W$3))</f>
        <v/>
      </c>
      <c r="Z27" s="10">
        <f>IF($Y27="","",SUMPRODUCT(($D27:$W27=$D$2:$W$2)*($D27:$W27&lt;&gt;"")*$D$3:$W$3*($D$4:$W$4=Z$6)))</f>
        <v/>
      </c>
      <c r="AA27" s="10">
        <f>IF($Y27="","",SUMPRODUCT(($D27:$W27=$D$2:$W$2)*($D27:$W27&lt;&gt;"")*$D$3:$W$3*($D$4:$W$4=AA$6)))</f>
        <v/>
      </c>
      <c r="AB27" s="10">
        <f>IF($Y27="","",SUMPRODUCT(($D27:$W27=$D$2:$W$2)*($D27:$W27&lt;&gt;"")*$D$3:$W$3*($D$4:$W$4=AB$6)))</f>
        <v/>
      </c>
    </row>
    <row r="28">
      <c r="A28" s="5" t="n">
        <v>22</v>
      </c>
      <c r="B28" s="5">
        <f>IF('학생명단'!B28="","",'학생명단'!B28)</f>
        <v/>
      </c>
      <c r="C28" s="17">
        <f>IF('학생명단'!C28="","",'학생명단'!C28)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10">
        <f>IF(COUNTA(D28:W28)=0,"",SUMPRODUCT((D28:W28=$D$2:$W$2)*(D28:W28&lt;&gt;"")))</f>
        <v/>
      </c>
      <c r="Y28" s="27">
        <f>IF(COUNTA(D28:W28)=0,"",SUMPRODUCT((D28:W28=$D$2:$W$2)*(D28:W28&lt;&gt;"")*$D$3:$W$3))</f>
        <v/>
      </c>
      <c r="Z28" s="10">
        <f>IF($Y28="","",SUMPRODUCT(($D28:$W28=$D$2:$W$2)*($D28:$W28&lt;&gt;"")*$D$3:$W$3*($D$4:$W$4=Z$6)))</f>
        <v/>
      </c>
      <c r="AA28" s="10">
        <f>IF($Y28="","",SUMPRODUCT(($D28:$W28=$D$2:$W$2)*($D28:$W28&lt;&gt;"")*$D$3:$W$3*($D$4:$W$4=AA$6)))</f>
        <v/>
      </c>
      <c r="AB28" s="10">
        <f>IF($Y28="","",SUMPRODUCT(($D28:$W28=$D$2:$W$2)*($D28:$W28&lt;&gt;"")*$D$3:$W$3*($D$4:$W$4=AB$6)))</f>
        <v/>
      </c>
    </row>
    <row r="29">
      <c r="A29" s="5" t="n">
        <v>23</v>
      </c>
      <c r="B29" s="5">
        <f>IF('학생명단'!B29="","",'학생명단'!B29)</f>
        <v/>
      </c>
      <c r="C29" s="17">
        <f>IF('학생명단'!C29="","",'학생명단'!C29)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10">
        <f>IF(COUNTA(D29:W29)=0,"",SUMPRODUCT((D29:W29=$D$2:$W$2)*(D29:W29&lt;&gt;"")))</f>
        <v/>
      </c>
      <c r="Y29" s="27">
        <f>IF(COUNTA(D29:W29)=0,"",SUMPRODUCT((D29:W29=$D$2:$W$2)*(D29:W29&lt;&gt;"")*$D$3:$W$3))</f>
        <v/>
      </c>
      <c r="Z29" s="10">
        <f>IF($Y29="","",SUMPRODUCT(($D29:$W29=$D$2:$W$2)*($D29:$W29&lt;&gt;"")*$D$3:$W$3*($D$4:$W$4=Z$6)))</f>
        <v/>
      </c>
      <c r="AA29" s="10">
        <f>IF($Y29="","",SUMPRODUCT(($D29:$W29=$D$2:$W$2)*($D29:$W29&lt;&gt;"")*$D$3:$W$3*($D$4:$W$4=AA$6)))</f>
        <v/>
      </c>
      <c r="AB29" s="10">
        <f>IF($Y29="","",SUMPRODUCT(($D29:$W29=$D$2:$W$2)*($D29:$W29&lt;&gt;"")*$D$3:$W$3*($D$4:$W$4=AB$6)))</f>
        <v/>
      </c>
    </row>
    <row r="30">
      <c r="A30" s="5" t="n">
        <v>24</v>
      </c>
      <c r="B30" s="5">
        <f>IF('학생명단'!B30="","",'학생명단'!B30)</f>
        <v/>
      </c>
      <c r="C30" s="17">
        <f>IF('학생명단'!C30="","",'학생명단'!C30)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10">
        <f>IF(COUNTA(D30:W30)=0,"",SUMPRODUCT((D30:W30=$D$2:$W$2)*(D30:W30&lt;&gt;"")))</f>
        <v/>
      </c>
      <c r="Y30" s="27">
        <f>IF(COUNTA(D30:W30)=0,"",SUMPRODUCT((D30:W30=$D$2:$W$2)*(D30:W30&lt;&gt;"")*$D$3:$W$3))</f>
        <v/>
      </c>
      <c r="Z30" s="10">
        <f>IF($Y30="","",SUMPRODUCT(($D30:$W30=$D$2:$W$2)*($D30:$W30&lt;&gt;"")*$D$3:$W$3*($D$4:$W$4=Z$6)))</f>
        <v/>
      </c>
      <c r="AA30" s="10">
        <f>IF($Y30="","",SUMPRODUCT(($D30:$W30=$D$2:$W$2)*($D30:$W30&lt;&gt;"")*$D$3:$W$3*($D$4:$W$4=AA$6)))</f>
        <v/>
      </c>
      <c r="AB30" s="10">
        <f>IF($Y30="","",SUMPRODUCT(($D30:$W30=$D$2:$W$2)*($D30:$W30&lt;&gt;"")*$D$3:$W$3*($D$4:$W$4=AB$6)))</f>
        <v/>
      </c>
    </row>
    <row r="31">
      <c r="A31" s="5" t="n">
        <v>25</v>
      </c>
      <c r="B31" s="5">
        <f>IF('학생명단'!B31="","",'학생명단'!B31)</f>
        <v/>
      </c>
      <c r="C31" s="17">
        <f>IF('학생명단'!C31="","",'학생명단'!C31)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10">
        <f>IF(COUNTA(D31:W31)=0,"",SUMPRODUCT((D31:W31=$D$2:$W$2)*(D31:W31&lt;&gt;"")))</f>
        <v/>
      </c>
      <c r="Y31" s="27">
        <f>IF(COUNTA(D31:W31)=0,"",SUMPRODUCT((D31:W31=$D$2:$W$2)*(D31:W31&lt;&gt;"")*$D$3:$W$3))</f>
        <v/>
      </c>
      <c r="Z31" s="10">
        <f>IF($Y31="","",SUMPRODUCT(($D31:$W31=$D$2:$W$2)*($D31:$W31&lt;&gt;"")*$D$3:$W$3*($D$4:$W$4=Z$6)))</f>
        <v/>
      </c>
      <c r="AA31" s="10">
        <f>IF($Y31="","",SUMPRODUCT(($D31:$W31=$D$2:$W$2)*($D31:$W31&lt;&gt;"")*$D$3:$W$3*($D$4:$W$4=AA$6)))</f>
        <v/>
      </c>
      <c r="AB31" s="10">
        <f>IF($Y31="","",SUMPRODUCT(($D31:$W31=$D$2:$W$2)*($D31:$W31&lt;&gt;"")*$D$3:$W$3*($D$4:$W$4=AB$6)))</f>
        <v/>
      </c>
    </row>
    <row r="32">
      <c r="A32" s="5" t="n">
        <v>26</v>
      </c>
      <c r="B32" s="5">
        <f>IF('학생명단'!B32="","",'학생명단'!B32)</f>
        <v/>
      </c>
      <c r="C32" s="17">
        <f>IF('학생명단'!C32="","",'학생명단'!C32)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10">
        <f>IF(COUNTA(D32:W32)=0,"",SUMPRODUCT((D32:W32=$D$2:$W$2)*(D32:W32&lt;&gt;"")))</f>
        <v/>
      </c>
      <c r="Y32" s="27">
        <f>IF(COUNTA(D32:W32)=0,"",SUMPRODUCT((D32:W32=$D$2:$W$2)*(D32:W32&lt;&gt;"")*$D$3:$W$3))</f>
        <v/>
      </c>
      <c r="Z32" s="10">
        <f>IF($Y32="","",SUMPRODUCT(($D32:$W32=$D$2:$W$2)*($D32:$W32&lt;&gt;"")*$D$3:$W$3*($D$4:$W$4=Z$6)))</f>
        <v/>
      </c>
      <c r="AA32" s="10">
        <f>IF($Y32="","",SUMPRODUCT(($D32:$W32=$D$2:$W$2)*($D32:$W32&lt;&gt;"")*$D$3:$W$3*($D$4:$W$4=AA$6)))</f>
        <v/>
      </c>
      <c r="AB32" s="10">
        <f>IF($Y32="","",SUMPRODUCT(($D32:$W32=$D$2:$W$2)*($D32:$W32&lt;&gt;"")*$D$3:$W$3*($D$4:$W$4=AB$6)))</f>
        <v/>
      </c>
    </row>
    <row r="33">
      <c r="A33" s="5" t="n">
        <v>27</v>
      </c>
      <c r="B33" s="5">
        <f>IF('학생명단'!B33="","",'학생명단'!B33)</f>
        <v/>
      </c>
      <c r="C33" s="17">
        <f>IF('학생명단'!C33="","",'학생명단'!C33)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10">
        <f>IF(COUNTA(D33:W33)=0,"",SUMPRODUCT((D33:W33=$D$2:$W$2)*(D33:W33&lt;&gt;"")))</f>
        <v/>
      </c>
      <c r="Y33" s="27">
        <f>IF(COUNTA(D33:W33)=0,"",SUMPRODUCT((D33:W33=$D$2:$W$2)*(D33:W33&lt;&gt;"")*$D$3:$W$3))</f>
        <v/>
      </c>
      <c r="Z33" s="10">
        <f>IF($Y33="","",SUMPRODUCT(($D33:$W33=$D$2:$W$2)*($D33:$W33&lt;&gt;"")*$D$3:$W$3*($D$4:$W$4=Z$6)))</f>
        <v/>
      </c>
      <c r="AA33" s="10">
        <f>IF($Y33="","",SUMPRODUCT(($D33:$W33=$D$2:$W$2)*($D33:$W33&lt;&gt;"")*$D$3:$W$3*($D$4:$W$4=AA$6)))</f>
        <v/>
      </c>
      <c r="AB33" s="10">
        <f>IF($Y33="","",SUMPRODUCT(($D33:$W33=$D$2:$W$2)*($D33:$W33&lt;&gt;"")*$D$3:$W$3*($D$4:$W$4=AB$6)))</f>
        <v/>
      </c>
    </row>
    <row r="34">
      <c r="A34" s="5" t="n">
        <v>28</v>
      </c>
      <c r="B34" s="5">
        <f>IF('학생명단'!B34="","",'학생명단'!B34)</f>
        <v/>
      </c>
      <c r="C34" s="17">
        <f>IF('학생명단'!C34="","",'학생명단'!C34)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10">
        <f>IF(COUNTA(D34:W34)=0,"",SUMPRODUCT((D34:W34=$D$2:$W$2)*(D34:W34&lt;&gt;"")))</f>
        <v/>
      </c>
      <c r="Y34" s="27">
        <f>IF(COUNTA(D34:W34)=0,"",SUMPRODUCT((D34:W34=$D$2:$W$2)*(D34:W34&lt;&gt;"")*$D$3:$W$3))</f>
        <v/>
      </c>
      <c r="Z34" s="10">
        <f>IF($Y34="","",SUMPRODUCT(($D34:$W34=$D$2:$W$2)*($D34:$W34&lt;&gt;"")*$D$3:$W$3*($D$4:$W$4=Z$6)))</f>
        <v/>
      </c>
      <c r="AA34" s="10">
        <f>IF($Y34="","",SUMPRODUCT(($D34:$W34=$D$2:$W$2)*($D34:$W34&lt;&gt;"")*$D$3:$W$3*($D$4:$W$4=AA$6)))</f>
        <v/>
      </c>
      <c r="AB34" s="10">
        <f>IF($Y34="","",SUMPRODUCT(($D34:$W34=$D$2:$W$2)*($D34:$W34&lt;&gt;"")*$D$3:$W$3*($D$4:$W$4=AB$6)))</f>
        <v/>
      </c>
    </row>
    <row r="35">
      <c r="A35" s="5" t="n">
        <v>29</v>
      </c>
      <c r="B35" s="5">
        <f>IF('학생명단'!B35="","",'학생명단'!B35)</f>
        <v/>
      </c>
      <c r="C35" s="17">
        <f>IF('학생명단'!C35="","",'학생명단'!C35)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10">
        <f>IF(COUNTA(D35:W35)=0,"",SUMPRODUCT((D35:W35=$D$2:$W$2)*(D35:W35&lt;&gt;"")))</f>
        <v/>
      </c>
      <c r="Y35" s="27">
        <f>IF(COUNTA(D35:W35)=0,"",SUMPRODUCT((D35:W35=$D$2:$W$2)*(D35:W35&lt;&gt;"")*$D$3:$W$3))</f>
        <v/>
      </c>
      <c r="Z35" s="10">
        <f>IF($Y35="","",SUMPRODUCT(($D35:$W35=$D$2:$W$2)*($D35:$W35&lt;&gt;"")*$D$3:$W$3*($D$4:$W$4=Z$6)))</f>
        <v/>
      </c>
      <c r="AA35" s="10">
        <f>IF($Y35="","",SUMPRODUCT(($D35:$W35=$D$2:$W$2)*($D35:$W35&lt;&gt;"")*$D$3:$W$3*($D$4:$W$4=AA$6)))</f>
        <v/>
      </c>
      <c r="AB35" s="10">
        <f>IF($Y35="","",SUMPRODUCT(($D35:$W35=$D$2:$W$2)*($D35:$W35&lt;&gt;"")*$D$3:$W$3*($D$4:$W$4=AB$6)))</f>
        <v/>
      </c>
    </row>
    <row r="36">
      <c r="A36" s="5" t="n">
        <v>30</v>
      </c>
      <c r="B36" s="5">
        <f>IF('학생명단'!B36="","",'학생명단'!B36)</f>
        <v/>
      </c>
      <c r="C36" s="17">
        <f>IF('학생명단'!C36="","",'학생명단'!C36)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10">
        <f>IF(COUNTA(D36:W36)=0,"",SUMPRODUCT((D36:W36=$D$2:$W$2)*(D36:W36&lt;&gt;"")))</f>
        <v/>
      </c>
      <c r="Y36" s="27">
        <f>IF(COUNTA(D36:W36)=0,"",SUMPRODUCT((D36:W36=$D$2:$W$2)*(D36:W36&lt;&gt;"")*$D$3:$W$3))</f>
        <v/>
      </c>
      <c r="Z36" s="10">
        <f>IF($Y36="","",SUMPRODUCT(($D36:$W36=$D$2:$W$2)*($D36:$W36&lt;&gt;"")*$D$3:$W$3*($D$4:$W$4=Z$6)))</f>
        <v/>
      </c>
      <c r="AA36" s="10">
        <f>IF($Y36="","",SUMPRODUCT(($D36:$W36=$D$2:$W$2)*($D36:$W36&lt;&gt;"")*$D$3:$W$3*($D$4:$W$4=AA$6)))</f>
        <v/>
      </c>
      <c r="AB36" s="10">
        <f>IF($Y36="","",SUMPRODUCT(($D36:$W36=$D$2:$W$2)*($D36:$W36&lt;&gt;"")*$D$3:$W$3*($D$4:$W$4=AB$6)))</f>
        <v/>
      </c>
    </row>
    <row r="37">
      <c r="A37" s="5" t="n">
        <v>31</v>
      </c>
      <c r="B37" s="5">
        <f>IF('학생명단'!B37="","",'학생명단'!B37)</f>
        <v/>
      </c>
      <c r="C37" s="17">
        <f>IF('학생명단'!C37="","",'학생명단'!C37)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10">
        <f>IF(COUNTA(D37:W37)=0,"",SUMPRODUCT((D37:W37=$D$2:$W$2)*(D37:W37&lt;&gt;"")))</f>
        <v/>
      </c>
      <c r="Y37" s="27">
        <f>IF(COUNTA(D37:W37)=0,"",SUMPRODUCT((D37:W37=$D$2:$W$2)*(D37:W37&lt;&gt;"")*$D$3:$W$3))</f>
        <v/>
      </c>
      <c r="Z37" s="10">
        <f>IF($Y37="","",SUMPRODUCT(($D37:$W37=$D$2:$W$2)*($D37:$W37&lt;&gt;"")*$D$3:$W$3*($D$4:$W$4=Z$6)))</f>
        <v/>
      </c>
      <c r="AA37" s="10">
        <f>IF($Y37="","",SUMPRODUCT(($D37:$W37=$D$2:$W$2)*($D37:$W37&lt;&gt;"")*$D$3:$W$3*($D$4:$W$4=AA$6)))</f>
        <v/>
      </c>
      <c r="AB37" s="10">
        <f>IF($Y37="","",SUMPRODUCT(($D37:$W37=$D$2:$W$2)*($D37:$W37&lt;&gt;"")*$D$3:$W$3*($D$4:$W$4=AB$6)))</f>
        <v/>
      </c>
    </row>
    <row r="38">
      <c r="A38" s="5" t="n">
        <v>32</v>
      </c>
      <c r="B38" s="5">
        <f>IF('학생명단'!B38="","",'학생명단'!B38)</f>
        <v/>
      </c>
      <c r="C38" s="17">
        <f>IF('학생명단'!C38="","",'학생명단'!C38)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10">
        <f>IF(COUNTA(D38:W38)=0,"",SUMPRODUCT((D38:W38=$D$2:$W$2)*(D38:W38&lt;&gt;"")))</f>
        <v/>
      </c>
      <c r="Y38" s="27">
        <f>IF(COUNTA(D38:W38)=0,"",SUMPRODUCT((D38:W38=$D$2:$W$2)*(D38:W38&lt;&gt;"")*$D$3:$W$3))</f>
        <v/>
      </c>
      <c r="Z38" s="10">
        <f>IF($Y38="","",SUMPRODUCT(($D38:$W38=$D$2:$W$2)*($D38:$W38&lt;&gt;"")*$D$3:$W$3*($D$4:$W$4=Z$6)))</f>
        <v/>
      </c>
      <c r="AA38" s="10">
        <f>IF($Y38="","",SUMPRODUCT(($D38:$W38=$D$2:$W$2)*($D38:$W38&lt;&gt;"")*$D$3:$W$3*($D$4:$W$4=AA$6)))</f>
        <v/>
      </c>
      <c r="AB38" s="10">
        <f>IF($Y38="","",SUMPRODUCT(($D38:$W38=$D$2:$W$2)*($D38:$W38&lt;&gt;"")*$D$3:$W$3*($D$4:$W$4=AB$6)))</f>
        <v/>
      </c>
    </row>
    <row r="39">
      <c r="A39" s="5" t="n">
        <v>33</v>
      </c>
      <c r="B39" s="5">
        <f>IF('학생명단'!B39="","",'학생명단'!B39)</f>
        <v/>
      </c>
      <c r="C39" s="17">
        <f>IF('학생명단'!C39="","",'학생명단'!C39)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10">
        <f>IF(COUNTA(D39:W39)=0,"",SUMPRODUCT((D39:W39=$D$2:$W$2)*(D39:W39&lt;&gt;"")))</f>
        <v/>
      </c>
      <c r="Y39" s="27">
        <f>IF(COUNTA(D39:W39)=0,"",SUMPRODUCT((D39:W39=$D$2:$W$2)*(D39:W39&lt;&gt;"")*$D$3:$W$3))</f>
        <v/>
      </c>
      <c r="Z39" s="10">
        <f>IF($Y39="","",SUMPRODUCT(($D39:$W39=$D$2:$W$2)*($D39:$W39&lt;&gt;"")*$D$3:$W$3*($D$4:$W$4=Z$6)))</f>
        <v/>
      </c>
      <c r="AA39" s="10">
        <f>IF($Y39="","",SUMPRODUCT(($D39:$W39=$D$2:$W$2)*($D39:$W39&lt;&gt;"")*$D$3:$W$3*($D$4:$W$4=AA$6)))</f>
        <v/>
      </c>
      <c r="AB39" s="10">
        <f>IF($Y39="","",SUMPRODUCT(($D39:$W39=$D$2:$W$2)*($D39:$W39&lt;&gt;"")*$D$3:$W$3*($D$4:$W$4=AB$6)))</f>
        <v/>
      </c>
    </row>
    <row r="40">
      <c r="A40" s="5" t="n">
        <v>34</v>
      </c>
      <c r="B40" s="5">
        <f>IF('학생명단'!B40="","",'학생명단'!B40)</f>
        <v/>
      </c>
      <c r="C40" s="17">
        <f>IF('학생명단'!C40="","",'학생명단'!C40)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10">
        <f>IF(COUNTA(D40:W40)=0,"",SUMPRODUCT((D40:W40=$D$2:$W$2)*(D40:W40&lt;&gt;"")))</f>
        <v/>
      </c>
      <c r="Y40" s="27">
        <f>IF(COUNTA(D40:W40)=0,"",SUMPRODUCT((D40:W40=$D$2:$W$2)*(D40:W40&lt;&gt;"")*$D$3:$W$3))</f>
        <v/>
      </c>
      <c r="Z40" s="10">
        <f>IF($Y40="","",SUMPRODUCT(($D40:$W40=$D$2:$W$2)*($D40:$W40&lt;&gt;"")*$D$3:$W$3*($D$4:$W$4=Z$6)))</f>
        <v/>
      </c>
      <c r="AA40" s="10">
        <f>IF($Y40="","",SUMPRODUCT(($D40:$W40=$D$2:$W$2)*($D40:$W40&lt;&gt;"")*$D$3:$W$3*($D$4:$W$4=AA$6)))</f>
        <v/>
      </c>
      <c r="AB40" s="10">
        <f>IF($Y40="","",SUMPRODUCT(($D40:$W40=$D$2:$W$2)*($D40:$W40&lt;&gt;"")*$D$3:$W$3*($D$4:$W$4=AB$6)))</f>
        <v/>
      </c>
    </row>
    <row r="41">
      <c r="A41" s="5" t="n">
        <v>35</v>
      </c>
      <c r="B41" s="5">
        <f>IF('학생명단'!B41="","",'학생명단'!B41)</f>
        <v/>
      </c>
      <c r="C41" s="17">
        <f>IF('학생명단'!C41="","",'학생명단'!C41)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10">
        <f>IF(COUNTA(D41:W41)=0,"",SUMPRODUCT((D41:W41=$D$2:$W$2)*(D41:W41&lt;&gt;"")))</f>
        <v/>
      </c>
      <c r="Y41" s="27">
        <f>IF(COUNTA(D41:W41)=0,"",SUMPRODUCT((D41:W41=$D$2:$W$2)*(D41:W41&lt;&gt;"")*$D$3:$W$3))</f>
        <v/>
      </c>
      <c r="Z41" s="10">
        <f>IF($Y41="","",SUMPRODUCT(($D41:$W41=$D$2:$W$2)*($D41:$W41&lt;&gt;"")*$D$3:$W$3*($D$4:$W$4=Z$6)))</f>
        <v/>
      </c>
      <c r="AA41" s="10">
        <f>IF($Y41="","",SUMPRODUCT(($D41:$W41=$D$2:$W$2)*($D41:$W41&lt;&gt;"")*$D$3:$W$3*($D$4:$W$4=AA$6)))</f>
        <v/>
      </c>
      <c r="AB41" s="10">
        <f>IF($Y41="","",SUMPRODUCT(($D41:$W41=$D$2:$W$2)*($D41:$W41&lt;&gt;"")*$D$3:$W$3*($D$4:$W$4=AB$6)))</f>
        <v/>
      </c>
    </row>
    <row r="42">
      <c r="A42" s="5" t="n">
        <v>36</v>
      </c>
      <c r="B42" s="5">
        <f>IF('학생명단'!B42="","",'학생명단'!B42)</f>
        <v/>
      </c>
      <c r="C42" s="17">
        <f>IF('학생명단'!C42="","",'학생명단'!C42)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10">
        <f>IF(COUNTA(D42:W42)=0,"",SUMPRODUCT((D42:W42=$D$2:$W$2)*(D42:W42&lt;&gt;"")))</f>
        <v/>
      </c>
      <c r="Y42" s="27">
        <f>IF(COUNTA(D42:W42)=0,"",SUMPRODUCT((D42:W42=$D$2:$W$2)*(D42:W42&lt;&gt;"")*$D$3:$W$3))</f>
        <v/>
      </c>
      <c r="Z42" s="10">
        <f>IF($Y42="","",SUMPRODUCT(($D42:$W42=$D$2:$W$2)*($D42:$W42&lt;&gt;"")*$D$3:$W$3*($D$4:$W$4=Z$6)))</f>
        <v/>
      </c>
      <c r="AA42" s="10">
        <f>IF($Y42="","",SUMPRODUCT(($D42:$W42=$D$2:$W$2)*($D42:$W42&lt;&gt;"")*$D$3:$W$3*($D$4:$W$4=AA$6)))</f>
        <v/>
      </c>
      <c r="AB42" s="10">
        <f>IF($Y42="","",SUMPRODUCT(($D42:$W42=$D$2:$W$2)*($D42:$W42&lt;&gt;"")*$D$3:$W$3*($D$4:$W$4=AB$6)))</f>
        <v/>
      </c>
    </row>
    <row r="43">
      <c r="A43" s="5" t="n">
        <v>37</v>
      </c>
      <c r="B43" s="5">
        <f>IF('학생명단'!B43="","",'학생명단'!B43)</f>
        <v/>
      </c>
      <c r="C43" s="17">
        <f>IF('학생명단'!C43="","",'학생명단'!C43)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10">
        <f>IF(COUNTA(D43:W43)=0,"",SUMPRODUCT((D43:W43=$D$2:$W$2)*(D43:W43&lt;&gt;"")))</f>
        <v/>
      </c>
      <c r="Y43" s="27">
        <f>IF(COUNTA(D43:W43)=0,"",SUMPRODUCT((D43:W43=$D$2:$W$2)*(D43:W43&lt;&gt;"")*$D$3:$W$3))</f>
        <v/>
      </c>
      <c r="Z43" s="10">
        <f>IF($Y43="","",SUMPRODUCT(($D43:$W43=$D$2:$W$2)*($D43:$W43&lt;&gt;"")*$D$3:$W$3*($D$4:$W$4=Z$6)))</f>
        <v/>
      </c>
      <c r="AA43" s="10">
        <f>IF($Y43="","",SUMPRODUCT(($D43:$W43=$D$2:$W$2)*($D43:$W43&lt;&gt;"")*$D$3:$W$3*($D$4:$W$4=AA$6)))</f>
        <v/>
      </c>
      <c r="AB43" s="10">
        <f>IF($Y43="","",SUMPRODUCT(($D43:$W43=$D$2:$W$2)*($D43:$W43&lt;&gt;"")*$D$3:$W$3*($D$4:$W$4=AB$6)))</f>
        <v/>
      </c>
    </row>
    <row r="44">
      <c r="A44" s="5" t="n">
        <v>38</v>
      </c>
      <c r="B44" s="5">
        <f>IF('학생명단'!B44="","",'학생명단'!B44)</f>
        <v/>
      </c>
      <c r="C44" s="17">
        <f>IF('학생명단'!C44="","",'학생명단'!C44)</f>
        <v/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10">
        <f>IF(COUNTA(D44:W44)=0,"",SUMPRODUCT((D44:W44=$D$2:$W$2)*(D44:W44&lt;&gt;"")))</f>
        <v/>
      </c>
      <c r="Y44" s="27">
        <f>IF(COUNTA(D44:W44)=0,"",SUMPRODUCT((D44:W44=$D$2:$W$2)*(D44:W44&lt;&gt;"")*$D$3:$W$3))</f>
        <v/>
      </c>
      <c r="Z44" s="10">
        <f>IF($Y44="","",SUMPRODUCT(($D44:$W44=$D$2:$W$2)*($D44:$W44&lt;&gt;"")*$D$3:$W$3*($D$4:$W$4=Z$6)))</f>
        <v/>
      </c>
      <c r="AA44" s="10">
        <f>IF($Y44="","",SUMPRODUCT(($D44:$W44=$D$2:$W$2)*($D44:$W44&lt;&gt;"")*$D$3:$W$3*($D$4:$W$4=AA$6)))</f>
        <v/>
      </c>
      <c r="AB44" s="10">
        <f>IF($Y44="","",SUMPRODUCT(($D44:$W44=$D$2:$W$2)*($D44:$W44&lt;&gt;"")*$D$3:$W$3*($D$4:$W$4=AB$6)))</f>
        <v/>
      </c>
    </row>
    <row r="45">
      <c r="A45" s="5" t="n">
        <v>39</v>
      </c>
      <c r="B45" s="5">
        <f>IF('학생명단'!B45="","",'학생명단'!B45)</f>
        <v/>
      </c>
      <c r="C45" s="17">
        <f>IF('학생명단'!C45="","",'학생명단'!C45)</f>
        <v/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10">
        <f>IF(COUNTA(D45:W45)=0,"",SUMPRODUCT((D45:W45=$D$2:$W$2)*(D45:W45&lt;&gt;"")))</f>
        <v/>
      </c>
      <c r="Y45" s="27">
        <f>IF(COUNTA(D45:W45)=0,"",SUMPRODUCT((D45:W45=$D$2:$W$2)*(D45:W45&lt;&gt;"")*$D$3:$W$3))</f>
        <v/>
      </c>
      <c r="Z45" s="10">
        <f>IF($Y45="","",SUMPRODUCT(($D45:$W45=$D$2:$W$2)*($D45:$W45&lt;&gt;"")*$D$3:$W$3*($D$4:$W$4=Z$6)))</f>
        <v/>
      </c>
      <c r="AA45" s="10">
        <f>IF($Y45="","",SUMPRODUCT(($D45:$W45=$D$2:$W$2)*($D45:$W45&lt;&gt;"")*$D$3:$W$3*($D$4:$W$4=AA$6)))</f>
        <v/>
      </c>
      <c r="AB45" s="10">
        <f>IF($Y45="","",SUMPRODUCT(($D45:$W45=$D$2:$W$2)*($D45:$W45&lt;&gt;"")*$D$3:$W$3*($D$4:$W$4=AB$6)))</f>
        <v/>
      </c>
    </row>
    <row r="46">
      <c r="A46" s="5" t="n">
        <v>40</v>
      </c>
      <c r="B46" s="5">
        <f>IF('학생명단'!B46="","",'학생명단'!B46)</f>
        <v/>
      </c>
      <c r="C46" s="17">
        <f>IF('학생명단'!C46="","",'학생명단'!C46)</f>
        <v/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10">
        <f>IF(COUNTA(D46:W46)=0,"",SUMPRODUCT((D46:W46=$D$2:$W$2)*(D46:W46&lt;&gt;"")))</f>
        <v/>
      </c>
      <c r="Y46" s="27">
        <f>IF(COUNTA(D46:W46)=0,"",SUMPRODUCT((D46:W46=$D$2:$W$2)*(D46:W46&lt;&gt;"")*$D$3:$W$3))</f>
        <v/>
      </c>
      <c r="Z46" s="10">
        <f>IF($Y46="","",SUMPRODUCT(($D46:$W46=$D$2:$W$2)*($D46:$W46&lt;&gt;"")*$D$3:$W$3*($D$4:$W$4=Z$6)))</f>
        <v/>
      </c>
      <c r="AA46" s="10">
        <f>IF($Y46="","",SUMPRODUCT(($D46:$W46=$D$2:$W$2)*($D46:$W46&lt;&gt;"")*$D$3:$W$3*($D$4:$W$4=AA$6)))</f>
        <v/>
      </c>
      <c r="AB46" s="10">
        <f>IF($Y46="","",SUMPRODUCT(($D46:$W46=$D$2:$W$2)*($D46:$W46&lt;&gt;"")*$D$3:$W$3*($D$4:$W$4=AB$6)))</f>
        <v/>
      </c>
    </row>
    <row r="47">
      <c r="A47" s="5" t="n">
        <v>41</v>
      </c>
      <c r="B47" s="5">
        <f>IF('학생명단'!B47="","",'학생명단'!B47)</f>
        <v/>
      </c>
      <c r="C47" s="17">
        <f>IF('학생명단'!C47="","",'학생명단'!C47)</f>
        <v/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10">
        <f>IF(COUNTA(D47:W47)=0,"",SUMPRODUCT((D47:W47=$D$2:$W$2)*(D47:W47&lt;&gt;"")))</f>
        <v/>
      </c>
      <c r="Y47" s="27">
        <f>IF(COUNTA(D47:W47)=0,"",SUMPRODUCT((D47:W47=$D$2:$W$2)*(D47:W47&lt;&gt;"")*$D$3:$W$3))</f>
        <v/>
      </c>
      <c r="Z47" s="10">
        <f>IF($Y47="","",SUMPRODUCT(($D47:$W47=$D$2:$W$2)*($D47:$W47&lt;&gt;"")*$D$3:$W$3*($D$4:$W$4=Z$6)))</f>
        <v/>
      </c>
      <c r="AA47" s="10">
        <f>IF($Y47="","",SUMPRODUCT(($D47:$W47=$D$2:$W$2)*($D47:$W47&lt;&gt;"")*$D$3:$W$3*($D$4:$W$4=AA$6)))</f>
        <v/>
      </c>
      <c r="AB47" s="10">
        <f>IF($Y47="","",SUMPRODUCT(($D47:$W47=$D$2:$W$2)*($D47:$W47&lt;&gt;"")*$D$3:$W$3*($D$4:$W$4=AB$6)))</f>
        <v/>
      </c>
    </row>
    <row r="48">
      <c r="A48" s="5" t="n">
        <v>42</v>
      </c>
      <c r="B48" s="5">
        <f>IF('학생명단'!B48="","",'학생명단'!B48)</f>
        <v/>
      </c>
      <c r="C48" s="17">
        <f>IF('학생명단'!C48="","",'학생명단'!C48)</f>
        <v/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10">
        <f>IF(COUNTA(D48:W48)=0,"",SUMPRODUCT((D48:W48=$D$2:$W$2)*(D48:W48&lt;&gt;"")))</f>
        <v/>
      </c>
      <c r="Y48" s="27">
        <f>IF(COUNTA(D48:W48)=0,"",SUMPRODUCT((D48:W48=$D$2:$W$2)*(D48:W48&lt;&gt;"")*$D$3:$W$3))</f>
        <v/>
      </c>
      <c r="Z48" s="10">
        <f>IF($Y48="","",SUMPRODUCT(($D48:$W48=$D$2:$W$2)*($D48:$W48&lt;&gt;"")*$D$3:$W$3*($D$4:$W$4=Z$6)))</f>
        <v/>
      </c>
      <c r="AA48" s="10">
        <f>IF($Y48="","",SUMPRODUCT(($D48:$W48=$D$2:$W$2)*($D48:$W48&lt;&gt;"")*$D$3:$W$3*($D$4:$W$4=AA$6)))</f>
        <v/>
      </c>
      <c r="AB48" s="10">
        <f>IF($Y48="","",SUMPRODUCT(($D48:$W48=$D$2:$W$2)*($D48:$W48&lt;&gt;"")*$D$3:$W$3*($D$4:$W$4=AB$6)))</f>
        <v/>
      </c>
    </row>
    <row r="49">
      <c r="A49" s="5" t="n">
        <v>43</v>
      </c>
      <c r="B49" s="5">
        <f>IF('학생명단'!B49="","",'학생명단'!B49)</f>
        <v/>
      </c>
      <c r="C49" s="17">
        <f>IF('학생명단'!C49="","",'학생명단'!C49)</f>
        <v/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10">
        <f>IF(COUNTA(D49:W49)=0,"",SUMPRODUCT((D49:W49=$D$2:$W$2)*(D49:W49&lt;&gt;"")))</f>
        <v/>
      </c>
      <c r="Y49" s="27">
        <f>IF(COUNTA(D49:W49)=0,"",SUMPRODUCT((D49:W49=$D$2:$W$2)*(D49:W49&lt;&gt;"")*$D$3:$W$3))</f>
        <v/>
      </c>
      <c r="Z49" s="10">
        <f>IF($Y49="","",SUMPRODUCT(($D49:$W49=$D$2:$W$2)*($D49:$W49&lt;&gt;"")*$D$3:$W$3*($D$4:$W$4=Z$6)))</f>
        <v/>
      </c>
      <c r="AA49" s="10">
        <f>IF($Y49="","",SUMPRODUCT(($D49:$W49=$D$2:$W$2)*($D49:$W49&lt;&gt;"")*$D$3:$W$3*($D$4:$W$4=AA$6)))</f>
        <v/>
      </c>
      <c r="AB49" s="10">
        <f>IF($Y49="","",SUMPRODUCT(($D49:$W49=$D$2:$W$2)*($D49:$W49&lt;&gt;"")*$D$3:$W$3*($D$4:$W$4=AB$6)))</f>
        <v/>
      </c>
    </row>
    <row r="50">
      <c r="A50" s="5" t="n">
        <v>44</v>
      </c>
      <c r="B50" s="5">
        <f>IF('학생명단'!B50="","",'학생명단'!B50)</f>
        <v/>
      </c>
      <c r="C50" s="17">
        <f>IF('학생명단'!C50="","",'학생명단'!C50)</f>
        <v/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10">
        <f>IF(COUNTA(D50:W50)=0,"",SUMPRODUCT((D50:W50=$D$2:$W$2)*(D50:W50&lt;&gt;"")))</f>
        <v/>
      </c>
      <c r="Y50" s="27">
        <f>IF(COUNTA(D50:W50)=0,"",SUMPRODUCT((D50:W50=$D$2:$W$2)*(D50:W50&lt;&gt;"")*$D$3:$W$3))</f>
        <v/>
      </c>
      <c r="Z50" s="10">
        <f>IF($Y50="","",SUMPRODUCT(($D50:$W50=$D$2:$W$2)*($D50:$W50&lt;&gt;"")*$D$3:$W$3*($D$4:$W$4=Z$6)))</f>
        <v/>
      </c>
      <c r="AA50" s="10">
        <f>IF($Y50="","",SUMPRODUCT(($D50:$W50=$D$2:$W$2)*($D50:$W50&lt;&gt;"")*$D$3:$W$3*($D$4:$W$4=AA$6)))</f>
        <v/>
      </c>
      <c r="AB50" s="10">
        <f>IF($Y50="","",SUMPRODUCT(($D50:$W50=$D$2:$W$2)*($D50:$W50&lt;&gt;"")*$D$3:$W$3*($D$4:$W$4=AB$6)))</f>
        <v/>
      </c>
    </row>
    <row r="51">
      <c r="A51" s="5" t="n">
        <v>45</v>
      </c>
      <c r="B51" s="5">
        <f>IF('학생명단'!B51="","",'학생명단'!B51)</f>
        <v/>
      </c>
      <c r="C51" s="17">
        <f>IF('학생명단'!C51="","",'학생명단'!C51)</f>
        <v/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10">
        <f>IF(COUNTA(D51:W51)=0,"",SUMPRODUCT((D51:W51=$D$2:$W$2)*(D51:W51&lt;&gt;"")))</f>
        <v/>
      </c>
      <c r="Y51" s="27">
        <f>IF(COUNTA(D51:W51)=0,"",SUMPRODUCT((D51:W51=$D$2:$W$2)*(D51:W51&lt;&gt;"")*$D$3:$W$3))</f>
        <v/>
      </c>
      <c r="Z51" s="10">
        <f>IF($Y51="","",SUMPRODUCT(($D51:$W51=$D$2:$W$2)*($D51:$W51&lt;&gt;"")*$D$3:$W$3*($D$4:$W$4=Z$6)))</f>
        <v/>
      </c>
      <c r="AA51" s="10">
        <f>IF($Y51="","",SUMPRODUCT(($D51:$W51=$D$2:$W$2)*($D51:$W51&lt;&gt;"")*$D$3:$W$3*($D$4:$W$4=AA$6)))</f>
        <v/>
      </c>
      <c r="AB51" s="10">
        <f>IF($Y51="","",SUMPRODUCT(($D51:$W51=$D$2:$W$2)*($D51:$W51&lt;&gt;"")*$D$3:$W$3*($D$4:$W$4=AB$6)))</f>
        <v/>
      </c>
    </row>
    <row r="52">
      <c r="A52" s="5" t="n">
        <v>46</v>
      </c>
      <c r="B52" s="5">
        <f>IF('학생명단'!B52="","",'학생명단'!B52)</f>
        <v/>
      </c>
      <c r="C52" s="17">
        <f>IF('학생명단'!C52="","",'학생명단'!C52)</f>
        <v/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10">
        <f>IF(COUNTA(D52:W52)=0,"",SUMPRODUCT((D52:W52=$D$2:$W$2)*(D52:W52&lt;&gt;"")))</f>
        <v/>
      </c>
      <c r="Y52" s="27">
        <f>IF(COUNTA(D52:W52)=0,"",SUMPRODUCT((D52:W52=$D$2:$W$2)*(D52:W52&lt;&gt;"")*$D$3:$W$3))</f>
        <v/>
      </c>
      <c r="Z52" s="10">
        <f>IF($Y52="","",SUMPRODUCT(($D52:$W52=$D$2:$W$2)*($D52:$W52&lt;&gt;"")*$D$3:$W$3*($D$4:$W$4=Z$6)))</f>
        <v/>
      </c>
      <c r="AA52" s="10">
        <f>IF($Y52="","",SUMPRODUCT(($D52:$W52=$D$2:$W$2)*($D52:$W52&lt;&gt;"")*$D$3:$W$3*($D$4:$W$4=AA$6)))</f>
        <v/>
      </c>
      <c r="AB52" s="10">
        <f>IF($Y52="","",SUMPRODUCT(($D52:$W52=$D$2:$W$2)*($D52:$W52&lt;&gt;"")*$D$3:$W$3*($D$4:$W$4=AB$6)))</f>
        <v/>
      </c>
    </row>
    <row r="53">
      <c r="A53" s="5" t="n">
        <v>47</v>
      </c>
      <c r="B53" s="5">
        <f>IF('학생명단'!B53="","",'학생명단'!B53)</f>
        <v/>
      </c>
      <c r="C53" s="17">
        <f>IF('학생명단'!C53="","",'학생명단'!C53)</f>
        <v/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10">
        <f>IF(COUNTA(D53:W53)=0,"",SUMPRODUCT((D53:W53=$D$2:$W$2)*(D53:W53&lt;&gt;"")))</f>
        <v/>
      </c>
      <c r="Y53" s="27">
        <f>IF(COUNTA(D53:W53)=0,"",SUMPRODUCT((D53:W53=$D$2:$W$2)*(D53:W53&lt;&gt;"")*$D$3:$W$3))</f>
        <v/>
      </c>
      <c r="Z53" s="10">
        <f>IF($Y53="","",SUMPRODUCT(($D53:$W53=$D$2:$W$2)*($D53:$W53&lt;&gt;"")*$D$3:$W$3*($D$4:$W$4=Z$6)))</f>
        <v/>
      </c>
      <c r="AA53" s="10">
        <f>IF($Y53="","",SUMPRODUCT(($D53:$W53=$D$2:$W$2)*($D53:$W53&lt;&gt;"")*$D$3:$W$3*($D$4:$W$4=AA$6)))</f>
        <v/>
      </c>
      <c r="AB53" s="10">
        <f>IF($Y53="","",SUMPRODUCT(($D53:$W53=$D$2:$W$2)*($D53:$W53&lt;&gt;"")*$D$3:$W$3*($D$4:$W$4=AB$6)))</f>
        <v/>
      </c>
    </row>
    <row r="54">
      <c r="A54" s="5" t="n">
        <v>48</v>
      </c>
      <c r="B54" s="5">
        <f>IF('학생명단'!B54="","",'학생명단'!B54)</f>
        <v/>
      </c>
      <c r="C54" s="17">
        <f>IF('학생명단'!C54="","",'학생명단'!C54)</f>
        <v/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10">
        <f>IF(COUNTA(D54:W54)=0,"",SUMPRODUCT((D54:W54=$D$2:$W$2)*(D54:W54&lt;&gt;"")))</f>
        <v/>
      </c>
      <c r="Y54" s="27">
        <f>IF(COUNTA(D54:W54)=0,"",SUMPRODUCT((D54:W54=$D$2:$W$2)*(D54:W54&lt;&gt;"")*$D$3:$W$3))</f>
        <v/>
      </c>
      <c r="Z54" s="10">
        <f>IF($Y54="","",SUMPRODUCT(($D54:$W54=$D$2:$W$2)*($D54:$W54&lt;&gt;"")*$D$3:$W$3*($D$4:$W$4=Z$6)))</f>
        <v/>
      </c>
      <c r="AA54" s="10">
        <f>IF($Y54="","",SUMPRODUCT(($D54:$W54=$D$2:$W$2)*($D54:$W54&lt;&gt;"")*$D$3:$W$3*($D$4:$W$4=AA$6)))</f>
        <v/>
      </c>
      <c r="AB54" s="10">
        <f>IF($Y54="","",SUMPRODUCT(($D54:$W54=$D$2:$W$2)*($D54:$W54&lt;&gt;"")*$D$3:$W$3*($D$4:$W$4=AB$6)))</f>
        <v/>
      </c>
    </row>
    <row r="55">
      <c r="A55" s="5" t="n">
        <v>49</v>
      </c>
      <c r="B55" s="5">
        <f>IF('학생명단'!B55="","",'학생명단'!B55)</f>
        <v/>
      </c>
      <c r="C55" s="17">
        <f>IF('학생명단'!C55="","",'학생명단'!C55)</f>
        <v/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10">
        <f>IF(COUNTA(D55:W55)=0,"",SUMPRODUCT((D55:W55=$D$2:$W$2)*(D55:W55&lt;&gt;"")))</f>
        <v/>
      </c>
      <c r="Y55" s="27">
        <f>IF(COUNTA(D55:W55)=0,"",SUMPRODUCT((D55:W55=$D$2:$W$2)*(D55:W55&lt;&gt;"")*$D$3:$W$3))</f>
        <v/>
      </c>
      <c r="Z55" s="10">
        <f>IF($Y55="","",SUMPRODUCT(($D55:$W55=$D$2:$W$2)*($D55:$W55&lt;&gt;"")*$D$3:$W$3*($D$4:$W$4=Z$6)))</f>
        <v/>
      </c>
      <c r="AA55" s="10">
        <f>IF($Y55="","",SUMPRODUCT(($D55:$W55=$D$2:$W$2)*($D55:$W55&lt;&gt;"")*$D$3:$W$3*($D$4:$W$4=AA$6)))</f>
        <v/>
      </c>
      <c r="AB55" s="10">
        <f>IF($Y55="","",SUMPRODUCT(($D55:$W55=$D$2:$W$2)*($D55:$W55&lt;&gt;"")*$D$3:$W$3*($D$4:$W$4=AB$6)))</f>
        <v/>
      </c>
    </row>
    <row r="56">
      <c r="A56" s="5" t="n">
        <v>50</v>
      </c>
      <c r="B56" s="5">
        <f>IF('학생명단'!B56="","",'학생명단'!B56)</f>
        <v/>
      </c>
      <c r="C56" s="17">
        <f>IF('학생명단'!C56="","",'학생명단'!C56)</f>
        <v/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10">
        <f>IF(COUNTA(D56:W56)=0,"",SUMPRODUCT((D56:W56=$D$2:$W$2)*(D56:W56&lt;&gt;"")))</f>
        <v/>
      </c>
      <c r="Y56" s="27">
        <f>IF(COUNTA(D56:W56)=0,"",SUMPRODUCT((D56:W56=$D$2:$W$2)*(D56:W56&lt;&gt;"")*$D$3:$W$3))</f>
        <v/>
      </c>
      <c r="Z56" s="10">
        <f>IF($Y56="","",SUMPRODUCT(($D56:$W56=$D$2:$W$2)*($D56:$W56&lt;&gt;"")*$D$3:$W$3*($D$4:$W$4=Z$6)))</f>
        <v/>
      </c>
      <c r="AA56" s="10">
        <f>IF($Y56="","",SUMPRODUCT(($D56:$W56=$D$2:$W$2)*($D56:$W56&lt;&gt;"")*$D$3:$W$3*($D$4:$W$4=AA$6)))</f>
        <v/>
      </c>
      <c r="AB56" s="10">
        <f>IF($Y56="","",SUMPRODUCT(($D56:$W56=$D$2:$W$2)*($D56:$W56&lt;&gt;"")*$D$3:$W$3*($D$4:$W$4=AB$6)))</f>
        <v/>
      </c>
    </row>
    <row r="57">
      <c r="A57" s="5" t="n">
        <v>51</v>
      </c>
      <c r="B57" s="5">
        <f>IF('학생명단'!B57="","",'학생명단'!B57)</f>
        <v/>
      </c>
      <c r="C57" s="17">
        <f>IF('학생명단'!C57="","",'학생명단'!C57)</f>
        <v/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10">
        <f>IF(COUNTA(D57:W57)=0,"",SUMPRODUCT((D57:W57=$D$2:$W$2)*(D57:W57&lt;&gt;"")))</f>
        <v/>
      </c>
      <c r="Y57" s="27">
        <f>IF(COUNTA(D57:W57)=0,"",SUMPRODUCT((D57:W57=$D$2:$W$2)*(D57:W57&lt;&gt;"")*$D$3:$W$3))</f>
        <v/>
      </c>
      <c r="Z57" s="10">
        <f>IF($Y57="","",SUMPRODUCT(($D57:$W57=$D$2:$W$2)*($D57:$W57&lt;&gt;"")*$D$3:$W$3*($D$4:$W$4=Z$6)))</f>
        <v/>
      </c>
      <c r="AA57" s="10">
        <f>IF($Y57="","",SUMPRODUCT(($D57:$W57=$D$2:$W$2)*($D57:$W57&lt;&gt;"")*$D$3:$W$3*($D$4:$W$4=AA$6)))</f>
        <v/>
      </c>
      <c r="AB57" s="10">
        <f>IF($Y57="","",SUMPRODUCT(($D57:$W57=$D$2:$W$2)*($D57:$W57&lt;&gt;"")*$D$3:$W$3*($D$4:$W$4=AB$6)))</f>
        <v/>
      </c>
    </row>
    <row r="58">
      <c r="A58" s="5" t="n">
        <v>52</v>
      </c>
      <c r="B58" s="5">
        <f>IF('학생명단'!B58="","",'학생명단'!B58)</f>
        <v/>
      </c>
      <c r="C58" s="17">
        <f>IF('학생명단'!C58="","",'학생명단'!C58)</f>
        <v/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10">
        <f>IF(COUNTA(D58:W58)=0,"",SUMPRODUCT((D58:W58=$D$2:$W$2)*(D58:W58&lt;&gt;"")))</f>
        <v/>
      </c>
      <c r="Y58" s="27">
        <f>IF(COUNTA(D58:W58)=0,"",SUMPRODUCT((D58:W58=$D$2:$W$2)*(D58:W58&lt;&gt;"")*$D$3:$W$3))</f>
        <v/>
      </c>
      <c r="Z58" s="10">
        <f>IF($Y58="","",SUMPRODUCT(($D58:$W58=$D$2:$W$2)*($D58:$W58&lt;&gt;"")*$D$3:$W$3*($D$4:$W$4=Z$6)))</f>
        <v/>
      </c>
      <c r="AA58" s="10">
        <f>IF($Y58="","",SUMPRODUCT(($D58:$W58=$D$2:$W$2)*($D58:$W58&lt;&gt;"")*$D$3:$W$3*($D$4:$W$4=AA$6)))</f>
        <v/>
      </c>
      <c r="AB58" s="10">
        <f>IF($Y58="","",SUMPRODUCT(($D58:$W58=$D$2:$W$2)*($D58:$W58&lt;&gt;"")*$D$3:$W$3*($D$4:$W$4=AB$6)))</f>
        <v/>
      </c>
    </row>
    <row r="59">
      <c r="A59" s="5" t="n">
        <v>53</v>
      </c>
      <c r="B59" s="5">
        <f>IF('학생명단'!B59="","",'학생명단'!B59)</f>
        <v/>
      </c>
      <c r="C59" s="17">
        <f>IF('학생명단'!C59="","",'학생명단'!C59)</f>
        <v/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10">
        <f>IF(COUNTA(D59:W59)=0,"",SUMPRODUCT((D59:W59=$D$2:$W$2)*(D59:W59&lt;&gt;"")))</f>
        <v/>
      </c>
      <c r="Y59" s="27">
        <f>IF(COUNTA(D59:W59)=0,"",SUMPRODUCT((D59:W59=$D$2:$W$2)*(D59:W59&lt;&gt;"")*$D$3:$W$3))</f>
        <v/>
      </c>
      <c r="Z59" s="10">
        <f>IF($Y59="","",SUMPRODUCT(($D59:$W59=$D$2:$W$2)*($D59:$W59&lt;&gt;"")*$D$3:$W$3*($D$4:$W$4=Z$6)))</f>
        <v/>
      </c>
      <c r="AA59" s="10">
        <f>IF($Y59="","",SUMPRODUCT(($D59:$W59=$D$2:$W$2)*($D59:$W59&lt;&gt;"")*$D$3:$W$3*($D$4:$W$4=AA$6)))</f>
        <v/>
      </c>
      <c r="AB59" s="10">
        <f>IF($Y59="","",SUMPRODUCT(($D59:$W59=$D$2:$W$2)*($D59:$W59&lt;&gt;"")*$D$3:$W$3*($D$4:$W$4=AB$6)))</f>
        <v/>
      </c>
    </row>
    <row r="60">
      <c r="A60" s="5" t="n">
        <v>54</v>
      </c>
      <c r="B60" s="5">
        <f>IF('학생명단'!B60="","",'학생명단'!B60)</f>
        <v/>
      </c>
      <c r="C60" s="17">
        <f>IF('학생명단'!C60="","",'학생명단'!C60)</f>
        <v/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10">
        <f>IF(COUNTA(D60:W60)=0,"",SUMPRODUCT((D60:W60=$D$2:$W$2)*(D60:W60&lt;&gt;"")))</f>
        <v/>
      </c>
      <c r="Y60" s="27">
        <f>IF(COUNTA(D60:W60)=0,"",SUMPRODUCT((D60:W60=$D$2:$W$2)*(D60:W60&lt;&gt;"")*$D$3:$W$3))</f>
        <v/>
      </c>
      <c r="Z60" s="10">
        <f>IF($Y60="","",SUMPRODUCT(($D60:$W60=$D$2:$W$2)*($D60:$W60&lt;&gt;"")*$D$3:$W$3*($D$4:$W$4=Z$6)))</f>
        <v/>
      </c>
      <c r="AA60" s="10">
        <f>IF($Y60="","",SUMPRODUCT(($D60:$W60=$D$2:$W$2)*($D60:$W60&lt;&gt;"")*$D$3:$W$3*($D$4:$W$4=AA$6)))</f>
        <v/>
      </c>
      <c r="AB60" s="10">
        <f>IF($Y60="","",SUMPRODUCT(($D60:$W60=$D$2:$W$2)*($D60:$W60&lt;&gt;"")*$D$3:$W$3*($D$4:$W$4=AB$6)))</f>
        <v/>
      </c>
    </row>
    <row r="61">
      <c r="A61" s="5" t="n">
        <v>55</v>
      </c>
      <c r="B61" s="5">
        <f>IF('학생명단'!B61="","",'학생명단'!B61)</f>
        <v/>
      </c>
      <c r="C61" s="17">
        <f>IF('학생명단'!C61="","",'학생명단'!C61)</f>
        <v/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10">
        <f>IF(COUNTA(D61:W61)=0,"",SUMPRODUCT((D61:W61=$D$2:$W$2)*(D61:W61&lt;&gt;"")))</f>
        <v/>
      </c>
      <c r="Y61" s="27">
        <f>IF(COUNTA(D61:W61)=0,"",SUMPRODUCT((D61:W61=$D$2:$W$2)*(D61:W61&lt;&gt;"")*$D$3:$W$3))</f>
        <v/>
      </c>
      <c r="Z61" s="10">
        <f>IF($Y61="","",SUMPRODUCT(($D61:$W61=$D$2:$W$2)*($D61:$W61&lt;&gt;"")*$D$3:$W$3*($D$4:$W$4=Z$6)))</f>
        <v/>
      </c>
      <c r="AA61" s="10">
        <f>IF($Y61="","",SUMPRODUCT(($D61:$W61=$D$2:$W$2)*($D61:$W61&lt;&gt;"")*$D$3:$W$3*($D$4:$W$4=AA$6)))</f>
        <v/>
      </c>
      <c r="AB61" s="10">
        <f>IF($Y61="","",SUMPRODUCT(($D61:$W61=$D$2:$W$2)*($D61:$W61&lt;&gt;"")*$D$3:$W$3*($D$4:$W$4=AB$6)))</f>
        <v/>
      </c>
    </row>
    <row r="62">
      <c r="A62" s="5" t="n">
        <v>56</v>
      </c>
      <c r="B62" s="5">
        <f>IF('학생명단'!B62="","",'학생명단'!B62)</f>
        <v/>
      </c>
      <c r="C62" s="17">
        <f>IF('학생명단'!C62="","",'학생명단'!C62)</f>
        <v/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10">
        <f>IF(COUNTA(D62:W62)=0,"",SUMPRODUCT((D62:W62=$D$2:$W$2)*(D62:W62&lt;&gt;"")))</f>
        <v/>
      </c>
      <c r="Y62" s="27">
        <f>IF(COUNTA(D62:W62)=0,"",SUMPRODUCT((D62:W62=$D$2:$W$2)*(D62:W62&lt;&gt;"")*$D$3:$W$3))</f>
        <v/>
      </c>
      <c r="Z62" s="10">
        <f>IF($Y62="","",SUMPRODUCT(($D62:$W62=$D$2:$W$2)*($D62:$W62&lt;&gt;"")*$D$3:$W$3*($D$4:$W$4=Z$6)))</f>
        <v/>
      </c>
      <c r="AA62" s="10">
        <f>IF($Y62="","",SUMPRODUCT(($D62:$W62=$D$2:$W$2)*($D62:$W62&lt;&gt;"")*$D$3:$W$3*($D$4:$W$4=AA$6)))</f>
        <v/>
      </c>
      <c r="AB62" s="10">
        <f>IF($Y62="","",SUMPRODUCT(($D62:$W62=$D$2:$W$2)*($D62:$W62&lt;&gt;"")*$D$3:$W$3*($D$4:$W$4=AB$6)))</f>
        <v/>
      </c>
    </row>
    <row r="63">
      <c r="A63" s="5" t="n">
        <v>57</v>
      </c>
      <c r="B63" s="5">
        <f>IF('학생명단'!B63="","",'학생명단'!B63)</f>
        <v/>
      </c>
      <c r="C63" s="17">
        <f>IF('학생명단'!C63="","",'학생명단'!C63)</f>
        <v/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10">
        <f>IF(COUNTA(D63:W63)=0,"",SUMPRODUCT((D63:W63=$D$2:$W$2)*(D63:W63&lt;&gt;"")))</f>
        <v/>
      </c>
      <c r="Y63" s="27">
        <f>IF(COUNTA(D63:W63)=0,"",SUMPRODUCT((D63:W63=$D$2:$W$2)*(D63:W63&lt;&gt;"")*$D$3:$W$3))</f>
        <v/>
      </c>
      <c r="Z63" s="10">
        <f>IF($Y63="","",SUMPRODUCT(($D63:$W63=$D$2:$W$2)*($D63:$W63&lt;&gt;"")*$D$3:$W$3*($D$4:$W$4=Z$6)))</f>
        <v/>
      </c>
      <c r="AA63" s="10">
        <f>IF($Y63="","",SUMPRODUCT(($D63:$W63=$D$2:$W$2)*($D63:$W63&lt;&gt;"")*$D$3:$W$3*($D$4:$W$4=AA$6)))</f>
        <v/>
      </c>
      <c r="AB63" s="10">
        <f>IF($Y63="","",SUMPRODUCT(($D63:$W63=$D$2:$W$2)*($D63:$W63&lt;&gt;"")*$D$3:$W$3*($D$4:$W$4=AB$6)))</f>
        <v/>
      </c>
    </row>
    <row r="64">
      <c r="A64" s="5" t="n">
        <v>58</v>
      </c>
      <c r="B64" s="5">
        <f>IF('학생명단'!B64="","",'학생명단'!B64)</f>
        <v/>
      </c>
      <c r="C64" s="17">
        <f>IF('학생명단'!C64="","",'학생명단'!C64)</f>
        <v/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10">
        <f>IF(COUNTA(D64:W64)=0,"",SUMPRODUCT((D64:W64=$D$2:$W$2)*(D64:W64&lt;&gt;"")))</f>
        <v/>
      </c>
      <c r="Y64" s="27">
        <f>IF(COUNTA(D64:W64)=0,"",SUMPRODUCT((D64:W64=$D$2:$W$2)*(D64:W64&lt;&gt;"")*$D$3:$W$3))</f>
        <v/>
      </c>
      <c r="Z64" s="10">
        <f>IF($Y64="","",SUMPRODUCT(($D64:$W64=$D$2:$W$2)*($D64:$W64&lt;&gt;"")*$D$3:$W$3*($D$4:$W$4=Z$6)))</f>
        <v/>
      </c>
      <c r="AA64" s="10">
        <f>IF($Y64="","",SUMPRODUCT(($D64:$W64=$D$2:$W$2)*($D64:$W64&lt;&gt;"")*$D$3:$W$3*($D$4:$W$4=AA$6)))</f>
        <v/>
      </c>
      <c r="AB64" s="10">
        <f>IF($Y64="","",SUMPRODUCT(($D64:$W64=$D$2:$W$2)*($D64:$W64&lt;&gt;"")*$D$3:$W$3*($D$4:$W$4=AB$6)))</f>
        <v/>
      </c>
    </row>
    <row r="65">
      <c r="A65" s="5" t="n">
        <v>59</v>
      </c>
      <c r="B65" s="5">
        <f>IF('학생명단'!B65="","",'학생명단'!B65)</f>
        <v/>
      </c>
      <c r="C65" s="17">
        <f>IF('학생명단'!C65="","",'학생명단'!C65)</f>
        <v/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10">
        <f>IF(COUNTA(D65:W65)=0,"",SUMPRODUCT((D65:W65=$D$2:$W$2)*(D65:W65&lt;&gt;"")))</f>
        <v/>
      </c>
      <c r="Y65" s="27">
        <f>IF(COUNTA(D65:W65)=0,"",SUMPRODUCT((D65:W65=$D$2:$W$2)*(D65:W65&lt;&gt;"")*$D$3:$W$3))</f>
        <v/>
      </c>
      <c r="Z65" s="10">
        <f>IF($Y65="","",SUMPRODUCT(($D65:$W65=$D$2:$W$2)*($D65:$W65&lt;&gt;"")*$D$3:$W$3*($D$4:$W$4=Z$6)))</f>
        <v/>
      </c>
      <c r="AA65" s="10">
        <f>IF($Y65="","",SUMPRODUCT(($D65:$W65=$D$2:$W$2)*($D65:$W65&lt;&gt;"")*$D$3:$W$3*($D$4:$W$4=AA$6)))</f>
        <v/>
      </c>
      <c r="AB65" s="10">
        <f>IF($Y65="","",SUMPRODUCT(($D65:$W65=$D$2:$W$2)*($D65:$W65&lt;&gt;"")*$D$3:$W$3*($D$4:$W$4=AB$6)))</f>
        <v/>
      </c>
    </row>
    <row r="66">
      <c r="A66" s="5" t="n">
        <v>60</v>
      </c>
      <c r="B66" s="5">
        <f>IF('학생명단'!B66="","",'학생명단'!B66)</f>
        <v/>
      </c>
      <c r="C66" s="17">
        <f>IF('학생명단'!C66="","",'학생명단'!C66)</f>
        <v/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10">
        <f>IF(COUNTA(D66:W66)=0,"",SUMPRODUCT((D66:W66=$D$2:$W$2)*(D66:W66&lt;&gt;"")))</f>
        <v/>
      </c>
      <c r="Y66" s="27">
        <f>IF(COUNTA(D66:W66)=0,"",SUMPRODUCT((D66:W66=$D$2:$W$2)*(D66:W66&lt;&gt;"")*$D$3:$W$3))</f>
        <v/>
      </c>
      <c r="Z66" s="10">
        <f>IF($Y66="","",SUMPRODUCT(($D66:$W66=$D$2:$W$2)*($D66:$W66&lt;&gt;"")*$D$3:$W$3*($D$4:$W$4=Z$6)))</f>
        <v/>
      </c>
      <c r="AA66" s="10">
        <f>IF($Y66="","",SUMPRODUCT(($D66:$W66=$D$2:$W$2)*($D66:$W66&lt;&gt;"")*$D$3:$W$3*($D$4:$W$4=AA$6)))</f>
        <v/>
      </c>
      <c r="AB66" s="10">
        <f>IF($Y66="","",SUMPRODUCT(($D66:$W66=$D$2:$W$2)*($D66:$W66&lt;&gt;"")*$D$3:$W$3*($D$4:$W$4=AB$6)))</f>
        <v/>
      </c>
    </row>
    <row r="67">
      <c r="A67" s="5" t="n">
        <v>61</v>
      </c>
      <c r="B67" s="5">
        <f>IF('학생명단'!B67="","",'학생명단'!B67)</f>
        <v/>
      </c>
      <c r="C67" s="17">
        <f>IF('학생명단'!C67="","",'학생명단'!C67)</f>
        <v/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10">
        <f>IF(COUNTA(D67:W67)=0,"",SUMPRODUCT((D67:W67=$D$2:$W$2)*(D67:W67&lt;&gt;"")))</f>
        <v/>
      </c>
      <c r="Y67" s="27">
        <f>IF(COUNTA(D67:W67)=0,"",SUMPRODUCT((D67:W67=$D$2:$W$2)*(D67:W67&lt;&gt;"")*$D$3:$W$3))</f>
        <v/>
      </c>
      <c r="Z67" s="10">
        <f>IF($Y67="","",SUMPRODUCT(($D67:$W67=$D$2:$W$2)*($D67:$W67&lt;&gt;"")*$D$3:$W$3*($D$4:$W$4=Z$6)))</f>
        <v/>
      </c>
      <c r="AA67" s="10">
        <f>IF($Y67="","",SUMPRODUCT(($D67:$W67=$D$2:$W$2)*($D67:$W67&lt;&gt;"")*$D$3:$W$3*($D$4:$W$4=AA$6)))</f>
        <v/>
      </c>
      <c r="AB67" s="10">
        <f>IF($Y67="","",SUMPRODUCT(($D67:$W67=$D$2:$W$2)*($D67:$W67&lt;&gt;"")*$D$3:$W$3*($D$4:$W$4=AB$6)))</f>
        <v/>
      </c>
    </row>
    <row r="68">
      <c r="A68" s="5" t="n">
        <v>62</v>
      </c>
      <c r="B68" s="5">
        <f>IF('학생명단'!B68="","",'학생명단'!B68)</f>
        <v/>
      </c>
      <c r="C68" s="17">
        <f>IF('학생명단'!C68="","",'학생명단'!C68)</f>
        <v/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10">
        <f>IF(COUNTA(D68:W68)=0,"",SUMPRODUCT((D68:W68=$D$2:$W$2)*(D68:W68&lt;&gt;"")))</f>
        <v/>
      </c>
      <c r="Y68" s="27">
        <f>IF(COUNTA(D68:W68)=0,"",SUMPRODUCT((D68:W68=$D$2:$W$2)*(D68:W68&lt;&gt;"")*$D$3:$W$3))</f>
        <v/>
      </c>
      <c r="Z68" s="10">
        <f>IF($Y68="","",SUMPRODUCT(($D68:$W68=$D$2:$W$2)*($D68:$W68&lt;&gt;"")*$D$3:$W$3*($D$4:$W$4=Z$6)))</f>
        <v/>
      </c>
      <c r="AA68" s="10">
        <f>IF($Y68="","",SUMPRODUCT(($D68:$W68=$D$2:$W$2)*($D68:$W68&lt;&gt;"")*$D$3:$W$3*($D$4:$W$4=AA$6)))</f>
        <v/>
      </c>
      <c r="AB68" s="10">
        <f>IF($Y68="","",SUMPRODUCT(($D68:$W68=$D$2:$W$2)*($D68:$W68&lt;&gt;"")*$D$3:$W$3*($D$4:$W$4=AB$6)))</f>
        <v/>
      </c>
    </row>
    <row r="69">
      <c r="A69" s="5" t="n">
        <v>63</v>
      </c>
      <c r="B69" s="5">
        <f>IF('학생명단'!B69="","",'학생명단'!B69)</f>
        <v/>
      </c>
      <c r="C69" s="17">
        <f>IF('학생명단'!C69="","",'학생명단'!C69)</f>
        <v/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10">
        <f>IF(COUNTA(D69:W69)=0,"",SUMPRODUCT((D69:W69=$D$2:$W$2)*(D69:W69&lt;&gt;"")))</f>
        <v/>
      </c>
      <c r="Y69" s="27">
        <f>IF(COUNTA(D69:W69)=0,"",SUMPRODUCT((D69:W69=$D$2:$W$2)*(D69:W69&lt;&gt;"")*$D$3:$W$3))</f>
        <v/>
      </c>
      <c r="Z69" s="10">
        <f>IF($Y69="","",SUMPRODUCT(($D69:$W69=$D$2:$W$2)*($D69:$W69&lt;&gt;"")*$D$3:$W$3*($D$4:$W$4=Z$6)))</f>
        <v/>
      </c>
      <c r="AA69" s="10">
        <f>IF($Y69="","",SUMPRODUCT(($D69:$W69=$D$2:$W$2)*($D69:$W69&lt;&gt;"")*$D$3:$W$3*($D$4:$W$4=AA$6)))</f>
        <v/>
      </c>
      <c r="AB69" s="10">
        <f>IF($Y69="","",SUMPRODUCT(($D69:$W69=$D$2:$W$2)*($D69:$W69&lt;&gt;"")*$D$3:$W$3*($D$4:$W$4=AB$6)))</f>
        <v/>
      </c>
    </row>
    <row r="70">
      <c r="A70" s="5" t="n">
        <v>64</v>
      </c>
      <c r="B70" s="5">
        <f>IF('학생명단'!B70="","",'학생명단'!B70)</f>
        <v/>
      </c>
      <c r="C70" s="17">
        <f>IF('학생명단'!C70="","",'학생명단'!C70)</f>
        <v/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10">
        <f>IF(COUNTA(D70:W70)=0,"",SUMPRODUCT((D70:W70=$D$2:$W$2)*(D70:W70&lt;&gt;"")))</f>
        <v/>
      </c>
      <c r="Y70" s="27">
        <f>IF(COUNTA(D70:W70)=0,"",SUMPRODUCT((D70:W70=$D$2:$W$2)*(D70:W70&lt;&gt;"")*$D$3:$W$3))</f>
        <v/>
      </c>
      <c r="Z70" s="10">
        <f>IF($Y70="","",SUMPRODUCT(($D70:$W70=$D$2:$W$2)*($D70:$W70&lt;&gt;"")*$D$3:$W$3*($D$4:$W$4=Z$6)))</f>
        <v/>
      </c>
      <c r="AA70" s="10">
        <f>IF($Y70="","",SUMPRODUCT(($D70:$W70=$D$2:$W$2)*($D70:$W70&lt;&gt;"")*$D$3:$W$3*($D$4:$W$4=AA$6)))</f>
        <v/>
      </c>
      <c r="AB70" s="10">
        <f>IF($Y70="","",SUMPRODUCT(($D70:$W70=$D$2:$W$2)*($D70:$W70&lt;&gt;"")*$D$3:$W$3*($D$4:$W$4=AB$6)))</f>
        <v/>
      </c>
    </row>
    <row r="71">
      <c r="A71" s="5" t="n">
        <v>65</v>
      </c>
      <c r="B71" s="5">
        <f>IF('학생명단'!B71="","",'학생명단'!B71)</f>
        <v/>
      </c>
      <c r="C71" s="17">
        <f>IF('학생명단'!C71="","",'학생명단'!C71)</f>
        <v/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10">
        <f>IF(COUNTA(D71:W71)=0,"",SUMPRODUCT((D71:W71=$D$2:$W$2)*(D71:W71&lt;&gt;"")))</f>
        <v/>
      </c>
      <c r="Y71" s="27">
        <f>IF(COUNTA(D71:W71)=0,"",SUMPRODUCT((D71:W71=$D$2:$W$2)*(D71:W71&lt;&gt;"")*$D$3:$W$3))</f>
        <v/>
      </c>
      <c r="Z71" s="10">
        <f>IF($Y71="","",SUMPRODUCT(($D71:$W71=$D$2:$W$2)*($D71:$W71&lt;&gt;"")*$D$3:$W$3*($D$4:$W$4=Z$6)))</f>
        <v/>
      </c>
      <c r="AA71" s="10">
        <f>IF($Y71="","",SUMPRODUCT(($D71:$W71=$D$2:$W$2)*($D71:$W71&lt;&gt;"")*$D$3:$W$3*($D$4:$W$4=AA$6)))</f>
        <v/>
      </c>
      <c r="AB71" s="10">
        <f>IF($Y71="","",SUMPRODUCT(($D71:$W71=$D$2:$W$2)*($D71:$W71&lt;&gt;"")*$D$3:$W$3*($D$4:$W$4=AB$6)))</f>
        <v/>
      </c>
    </row>
    <row r="72">
      <c r="A72" s="5" t="n">
        <v>66</v>
      </c>
      <c r="B72" s="5">
        <f>IF('학생명단'!B72="","",'학생명단'!B72)</f>
        <v/>
      </c>
      <c r="C72" s="17">
        <f>IF('학생명단'!C72="","",'학생명단'!C72)</f>
        <v/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10">
        <f>IF(COUNTA(D72:W72)=0,"",SUMPRODUCT((D72:W72=$D$2:$W$2)*(D72:W72&lt;&gt;"")))</f>
        <v/>
      </c>
      <c r="Y72" s="27">
        <f>IF(COUNTA(D72:W72)=0,"",SUMPRODUCT((D72:W72=$D$2:$W$2)*(D72:W72&lt;&gt;"")*$D$3:$W$3))</f>
        <v/>
      </c>
      <c r="Z72" s="10">
        <f>IF($Y72="","",SUMPRODUCT(($D72:$W72=$D$2:$W$2)*($D72:$W72&lt;&gt;"")*$D$3:$W$3*($D$4:$W$4=Z$6)))</f>
        <v/>
      </c>
      <c r="AA72" s="10">
        <f>IF($Y72="","",SUMPRODUCT(($D72:$W72=$D$2:$W$2)*($D72:$W72&lt;&gt;"")*$D$3:$W$3*($D$4:$W$4=AA$6)))</f>
        <v/>
      </c>
      <c r="AB72" s="10">
        <f>IF($Y72="","",SUMPRODUCT(($D72:$W72=$D$2:$W$2)*($D72:$W72&lt;&gt;"")*$D$3:$W$3*($D$4:$W$4=AB$6)))</f>
        <v/>
      </c>
    </row>
    <row r="73">
      <c r="A73" s="5" t="n">
        <v>67</v>
      </c>
      <c r="B73" s="5">
        <f>IF('학생명단'!B73="","",'학생명단'!B73)</f>
        <v/>
      </c>
      <c r="C73" s="17">
        <f>IF('학생명단'!C73="","",'학생명단'!C73)</f>
        <v/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10">
        <f>IF(COUNTA(D73:W73)=0,"",SUMPRODUCT((D73:W73=$D$2:$W$2)*(D73:W73&lt;&gt;"")))</f>
        <v/>
      </c>
      <c r="Y73" s="27">
        <f>IF(COUNTA(D73:W73)=0,"",SUMPRODUCT((D73:W73=$D$2:$W$2)*(D73:W73&lt;&gt;"")*$D$3:$W$3))</f>
        <v/>
      </c>
      <c r="Z73" s="10">
        <f>IF($Y73="","",SUMPRODUCT(($D73:$W73=$D$2:$W$2)*($D73:$W73&lt;&gt;"")*$D$3:$W$3*($D$4:$W$4=Z$6)))</f>
        <v/>
      </c>
      <c r="AA73" s="10">
        <f>IF($Y73="","",SUMPRODUCT(($D73:$W73=$D$2:$W$2)*($D73:$W73&lt;&gt;"")*$D$3:$W$3*($D$4:$W$4=AA$6)))</f>
        <v/>
      </c>
      <c r="AB73" s="10">
        <f>IF($Y73="","",SUMPRODUCT(($D73:$W73=$D$2:$W$2)*($D73:$W73&lt;&gt;"")*$D$3:$W$3*($D$4:$W$4=AB$6)))</f>
        <v/>
      </c>
    </row>
    <row r="74">
      <c r="A74" s="5" t="n">
        <v>68</v>
      </c>
      <c r="B74" s="5">
        <f>IF('학생명단'!B74="","",'학생명단'!B74)</f>
        <v/>
      </c>
      <c r="C74" s="17">
        <f>IF('학생명단'!C74="","",'학생명단'!C74)</f>
        <v/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10">
        <f>IF(COUNTA(D74:W74)=0,"",SUMPRODUCT((D74:W74=$D$2:$W$2)*(D74:W74&lt;&gt;"")))</f>
        <v/>
      </c>
      <c r="Y74" s="27">
        <f>IF(COUNTA(D74:W74)=0,"",SUMPRODUCT((D74:W74=$D$2:$W$2)*(D74:W74&lt;&gt;"")*$D$3:$W$3))</f>
        <v/>
      </c>
      <c r="Z74" s="10">
        <f>IF($Y74="","",SUMPRODUCT(($D74:$W74=$D$2:$W$2)*($D74:$W74&lt;&gt;"")*$D$3:$W$3*($D$4:$W$4=Z$6)))</f>
        <v/>
      </c>
      <c r="AA74" s="10">
        <f>IF($Y74="","",SUMPRODUCT(($D74:$W74=$D$2:$W$2)*($D74:$W74&lt;&gt;"")*$D$3:$W$3*($D$4:$W$4=AA$6)))</f>
        <v/>
      </c>
      <c r="AB74" s="10">
        <f>IF($Y74="","",SUMPRODUCT(($D74:$W74=$D$2:$W$2)*($D74:$W74&lt;&gt;"")*$D$3:$W$3*($D$4:$W$4=AB$6)))</f>
        <v/>
      </c>
    </row>
    <row r="75">
      <c r="A75" s="5" t="n">
        <v>69</v>
      </c>
      <c r="B75" s="5">
        <f>IF('학생명단'!B75="","",'학생명단'!B75)</f>
        <v/>
      </c>
      <c r="C75" s="17">
        <f>IF('학생명단'!C75="","",'학생명단'!C75)</f>
        <v/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10">
        <f>IF(COUNTA(D75:W75)=0,"",SUMPRODUCT((D75:W75=$D$2:$W$2)*(D75:W75&lt;&gt;"")))</f>
        <v/>
      </c>
      <c r="Y75" s="27">
        <f>IF(COUNTA(D75:W75)=0,"",SUMPRODUCT((D75:W75=$D$2:$W$2)*(D75:W75&lt;&gt;"")*$D$3:$W$3))</f>
        <v/>
      </c>
      <c r="Z75" s="10">
        <f>IF($Y75="","",SUMPRODUCT(($D75:$W75=$D$2:$W$2)*($D75:$W75&lt;&gt;"")*$D$3:$W$3*($D$4:$W$4=Z$6)))</f>
        <v/>
      </c>
      <c r="AA75" s="10">
        <f>IF($Y75="","",SUMPRODUCT(($D75:$W75=$D$2:$W$2)*($D75:$W75&lt;&gt;"")*$D$3:$W$3*($D$4:$W$4=AA$6)))</f>
        <v/>
      </c>
      <c r="AB75" s="10">
        <f>IF($Y75="","",SUMPRODUCT(($D75:$W75=$D$2:$W$2)*($D75:$W75&lt;&gt;"")*$D$3:$W$3*($D$4:$W$4=AB$6)))</f>
        <v/>
      </c>
    </row>
    <row r="76">
      <c r="A76" s="5" t="n">
        <v>70</v>
      </c>
      <c r="B76" s="5">
        <f>IF('학생명단'!B76="","",'학생명단'!B76)</f>
        <v/>
      </c>
      <c r="C76" s="17">
        <f>IF('학생명단'!C76="","",'학생명단'!C76)</f>
        <v/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10">
        <f>IF(COUNTA(D76:W76)=0,"",SUMPRODUCT((D76:W76=$D$2:$W$2)*(D76:W76&lt;&gt;"")))</f>
        <v/>
      </c>
      <c r="Y76" s="27">
        <f>IF(COUNTA(D76:W76)=0,"",SUMPRODUCT((D76:W76=$D$2:$W$2)*(D76:W76&lt;&gt;"")*$D$3:$W$3))</f>
        <v/>
      </c>
      <c r="Z76" s="10">
        <f>IF($Y76="","",SUMPRODUCT(($D76:$W76=$D$2:$W$2)*($D76:$W76&lt;&gt;"")*$D$3:$W$3*($D$4:$W$4=Z$6)))</f>
        <v/>
      </c>
      <c r="AA76" s="10">
        <f>IF($Y76="","",SUMPRODUCT(($D76:$W76=$D$2:$W$2)*($D76:$W76&lt;&gt;"")*$D$3:$W$3*($D$4:$W$4=AA$6)))</f>
        <v/>
      </c>
      <c r="AB76" s="10">
        <f>IF($Y76="","",SUMPRODUCT(($D76:$W76=$D$2:$W$2)*($D76:$W76&lt;&gt;"")*$D$3:$W$3*($D$4:$W$4=AB$6)))</f>
        <v/>
      </c>
    </row>
    <row r="77">
      <c r="A77" s="5" t="n">
        <v>71</v>
      </c>
      <c r="B77" s="5">
        <f>IF('학생명단'!B77="","",'학생명단'!B77)</f>
        <v/>
      </c>
      <c r="C77" s="17">
        <f>IF('학생명단'!C77="","",'학생명단'!C77)</f>
        <v/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10">
        <f>IF(COUNTA(D77:W77)=0,"",SUMPRODUCT((D77:W77=$D$2:$W$2)*(D77:W77&lt;&gt;"")))</f>
        <v/>
      </c>
      <c r="Y77" s="27">
        <f>IF(COUNTA(D77:W77)=0,"",SUMPRODUCT((D77:W77=$D$2:$W$2)*(D77:W77&lt;&gt;"")*$D$3:$W$3))</f>
        <v/>
      </c>
      <c r="Z77" s="10">
        <f>IF($Y77="","",SUMPRODUCT(($D77:$W77=$D$2:$W$2)*($D77:$W77&lt;&gt;"")*$D$3:$W$3*($D$4:$W$4=Z$6)))</f>
        <v/>
      </c>
      <c r="AA77" s="10">
        <f>IF($Y77="","",SUMPRODUCT(($D77:$W77=$D$2:$W$2)*($D77:$W77&lt;&gt;"")*$D$3:$W$3*($D$4:$W$4=AA$6)))</f>
        <v/>
      </c>
      <c r="AB77" s="10">
        <f>IF($Y77="","",SUMPRODUCT(($D77:$W77=$D$2:$W$2)*($D77:$W77&lt;&gt;"")*$D$3:$W$3*($D$4:$W$4=AB$6)))</f>
        <v/>
      </c>
    </row>
    <row r="78">
      <c r="A78" s="5" t="n">
        <v>72</v>
      </c>
      <c r="B78" s="5">
        <f>IF('학생명단'!B78="","",'학생명단'!B78)</f>
        <v/>
      </c>
      <c r="C78" s="17">
        <f>IF('학생명단'!C78="","",'학생명단'!C78)</f>
        <v/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10">
        <f>IF(COUNTA(D78:W78)=0,"",SUMPRODUCT((D78:W78=$D$2:$W$2)*(D78:W78&lt;&gt;"")))</f>
        <v/>
      </c>
      <c r="Y78" s="27">
        <f>IF(COUNTA(D78:W78)=0,"",SUMPRODUCT((D78:W78=$D$2:$W$2)*(D78:W78&lt;&gt;"")*$D$3:$W$3))</f>
        <v/>
      </c>
      <c r="Z78" s="10">
        <f>IF($Y78="","",SUMPRODUCT(($D78:$W78=$D$2:$W$2)*($D78:$W78&lt;&gt;"")*$D$3:$W$3*($D$4:$W$4=Z$6)))</f>
        <v/>
      </c>
      <c r="AA78" s="10">
        <f>IF($Y78="","",SUMPRODUCT(($D78:$W78=$D$2:$W$2)*($D78:$W78&lt;&gt;"")*$D$3:$W$3*($D$4:$W$4=AA$6)))</f>
        <v/>
      </c>
      <c r="AB78" s="10">
        <f>IF($Y78="","",SUMPRODUCT(($D78:$W78=$D$2:$W$2)*($D78:$W78&lt;&gt;"")*$D$3:$W$3*($D$4:$W$4=AB$6)))</f>
        <v/>
      </c>
    </row>
    <row r="79">
      <c r="A79" s="5" t="n">
        <v>73</v>
      </c>
      <c r="B79" s="5">
        <f>IF('학생명단'!B79="","",'학생명단'!B79)</f>
        <v/>
      </c>
      <c r="C79" s="17">
        <f>IF('학생명단'!C79="","",'학생명단'!C79)</f>
        <v/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10">
        <f>IF(COUNTA(D79:W79)=0,"",SUMPRODUCT((D79:W79=$D$2:$W$2)*(D79:W79&lt;&gt;"")))</f>
        <v/>
      </c>
      <c r="Y79" s="27">
        <f>IF(COUNTA(D79:W79)=0,"",SUMPRODUCT((D79:W79=$D$2:$W$2)*(D79:W79&lt;&gt;"")*$D$3:$W$3))</f>
        <v/>
      </c>
      <c r="Z79" s="10">
        <f>IF($Y79="","",SUMPRODUCT(($D79:$W79=$D$2:$W$2)*($D79:$W79&lt;&gt;"")*$D$3:$W$3*($D$4:$W$4=Z$6)))</f>
        <v/>
      </c>
      <c r="AA79" s="10">
        <f>IF($Y79="","",SUMPRODUCT(($D79:$W79=$D$2:$W$2)*($D79:$W79&lt;&gt;"")*$D$3:$W$3*($D$4:$W$4=AA$6)))</f>
        <v/>
      </c>
      <c r="AB79" s="10">
        <f>IF($Y79="","",SUMPRODUCT(($D79:$W79=$D$2:$W$2)*($D79:$W79&lt;&gt;"")*$D$3:$W$3*($D$4:$W$4=AB$6)))</f>
        <v/>
      </c>
    </row>
    <row r="80">
      <c r="A80" s="5" t="n">
        <v>74</v>
      </c>
      <c r="B80" s="5">
        <f>IF('학생명단'!B80="","",'학생명단'!B80)</f>
        <v/>
      </c>
      <c r="C80" s="17">
        <f>IF('학생명단'!C80="","",'학생명단'!C80)</f>
        <v/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10">
        <f>IF(COUNTA(D80:W80)=0,"",SUMPRODUCT((D80:W80=$D$2:$W$2)*(D80:W80&lt;&gt;"")))</f>
        <v/>
      </c>
      <c r="Y80" s="27">
        <f>IF(COUNTA(D80:W80)=0,"",SUMPRODUCT((D80:W80=$D$2:$W$2)*(D80:W80&lt;&gt;"")*$D$3:$W$3))</f>
        <v/>
      </c>
      <c r="Z80" s="10">
        <f>IF($Y80="","",SUMPRODUCT(($D80:$W80=$D$2:$W$2)*($D80:$W80&lt;&gt;"")*$D$3:$W$3*($D$4:$W$4=Z$6)))</f>
        <v/>
      </c>
      <c r="AA80" s="10">
        <f>IF($Y80="","",SUMPRODUCT(($D80:$W80=$D$2:$W$2)*($D80:$W80&lt;&gt;"")*$D$3:$W$3*($D$4:$W$4=AA$6)))</f>
        <v/>
      </c>
      <c r="AB80" s="10">
        <f>IF($Y80="","",SUMPRODUCT(($D80:$W80=$D$2:$W$2)*($D80:$W80&lt;&gt;"")*$D$3:$W$3*($D$4:$W$4=AB$6)))</f>
        <v/>
      </c>
    </row>
    <row r="81">
      <c r="A81" s="5" t="n">
        <v>75</v>
      </c>
      <c r="B81" s="5">
        <f>IF('학생명단'!B81="","",'학생명단'!B81)</f>
        <v/>
      </c>
      <c r="C81" s="17">
        <f>IF('학생명단'!C81="","",'학생명단'!C81)</f>
        <v/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10">
        <f>IF(COUNTA(D81:W81)=0,"",SUMPRODUCT((D81:W81=$D$2:$W$2)*(D81:W81&lt;&gt;"")))</f>
        <v/>
      </c>
      <c r="Y81" s="27">
        <f>IF(COUNTA(D81:W81)=0,"",SUMPRODUCT((D81:W81=$D$2:$W$2)*(D81:W81&lt;&gt;"")*$D$3:$W$3))</f>
        <v/>
      </c>
      <c r="Z81" s="10">
        <f>IF($Y81="","",SUMPRODUCT(($D81:$W81=$D$2:$W$2)*($D81:$W81&lt;&gt;"")*$D$3:$W$3*($D$4:$W$4=Z$6)))</f>
        <v/>
      </c>
      <c r="AA81" s="10">
        <f>IF($Y81="","",SUMPRODUCT(($D81:$W81=$D$2:$W$2)*($D81:$W81&lt;&gt;"")*$D$3:$W$3*($D$4:$W$4=AA$6)))</f>
        <v/>
      </c>
      <c r="AB81" s="10">
        <f>IF($Y81="","",SUMPRODUCT(($D81:$W81=$D$2:$W$2)*($D81:$W81&lt;&gt;"")*$D$3:$W$3*($D$4:$W$4=AB$6)))</f>
        <v/>
      </c>
    </row>
    <row r="82">
      <c r="A82" s="5" t="n">
        <v>76</v>
      </c>
      <c r="B82" s="5">
        <f>IF('학생명단'!B82="","",'학생명단'!B82)</f>
        <v/>
      </c>
      <c r="C82" s="17">
        <f>IF('학생명단'!C82="","",'학생명단'!C82)</f>
        <v/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10">
        <f>IF(COUNTA(D82:W82)=0,"",SUMPRODUCT((D82:W82=$D$2:$W$2)*(D82:W82&lt;&gt;"")))</f>
        <v/>
      </c>
      <c r="Y82" s="27">
        <f>IF(COUNTA(D82:W82)=0,"",SUMPRODUCT((D82:W82=$D$2:$W$2)*(D82:W82&lt;&gt;"")*$D$3:$W$3))</f>
        <v/>
      </c>
      <c r="Z82" s="10">
        <f>IF($Y82="","",SUMPRODUCT(($D82:$W82=$D$2:$W$2)*($D82:$W82&lt;&gt;"")*$D$3:$W$3*($D$4:$W$4=Z$6)))</f>
        <v/>
      </c>
      <c r="AA82" s="10">
        <f>IF($Y82="","",SUMPRODUCT(($D82:$W82=$D$2:$W$2)*($D82:$W82&lt;&gt;"")*$D$3:$W$3*($D$4:$W$4=AA$6)))</f>
        <v/>
      </c>
      <c r="AB82" s="10">
        <f>IF($Y82="","",SUMPRODUCT(($D82:$W82=$D$2:$W$2)*($D82:$W82&lt;&gt;"")*$D$3:$W$3*($D$4:$W$4=AB$6)))</f>
        <v/>
      </c>
    </row>
    <row r="83">
      <c r="A83" s="5" t="n">
        <v>77</v>
      </c>
      <c r="B83" s="5">
        <f>IF('학생명단'!B83="","",'학생명단'!B83)</f>
        <v/>
      </c>
      <c r="C83" s="17">
        <f>IF('학생명단'!C83="","",'학생명단'!C83)</f>
        <v/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10">
        <f>IF(COUNTA(D83:W83)=0,"",SUMPRODUCT((D83:W83=$D$2:$W$2)*(D83:W83&lt;&gt;"")))</f>
        <v/>
      </c>
      <c r="Y83" s="27">
        <f>IF(COUNTA(D83:W83)=0,"",SUMPRODUCT((D83:W83=$D$2:$W$2)*(D83:W83&lt;&gt;"")*$D$3:$W$3))</f>
        <v/>
      </c>
      <c r="Z83" s="10">
        <f>IF($Y83="","",SUMPRODUCT(($D83:$W83=$D$2:$W$2)*($D83:$W83&lt;&gt;"")*$D$3:$W$3*($D$4:$W$4=Z$6)))</f>
        <v/>
      </c>
      <c r="AA83" s="10">
        <f>IF($Y83="","",SUMPRODUCT(($D83:$W83=$D$2:$W$2)*($D83:$W83&lt;&gt;"")*$D$3:$W$3*($D$4:$W$4=AA$6)))</f>
        <v/>
      </c>
      <c r="AB83" s="10">
        <f>IF($Y83="","",SUMPRODUCT(($D83:$W83=$D$2:$W$2)*($D83:$W83&lt;&gt;"")*$D$3:$W$3*($D$4:$W$4=AB$6)))</f>
        <v/>
      </c>
    </row>
    <row r="84">
      <c r="A84" s="5" t="n">
        <v>78</v>
      </c>
      <c r="B84" s="5">
        <f>IF('학생명단'!B84="","",'학생명단'!B84)</f>
        <v/>
      </c>
      <c r="C84" s="17">
        <f>IF('학생명단'!C84="","",'학생명단'!C84)</f>
        <v/>
      </c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10">
        <f>IF(COUNTA(D84:W84)=0,"",SUMPRODUCT((D84:W84=$D$2:$W$2)*(D84:W84&lt;&gt;"")))</f>
        <v/>
      </c>
      <c r="Y84" s="27">
        <f>IF(COUNTA(D84:W84)=0,"",SUMPRODUCT((D84:W84=$D$2:$W$2)*(D84:W84&lt;&gt;"")*$D$3:$W$3))</f>
        <v/>
      </c>
      <c r="Z84" s="10">
        <f>IF($Y84="","",SUMPRODUCT(($D84:$W84=$D$2:$W$2)*($D84:$W84&lt;&gt;"")*$D$3:$W$3*($D$4:$W$4=Z$6)))</f>
        <v/>
      </c>
      <c r="AA84" s="10">
        <f>IF($Y84="","",SUMPRODUCT(($D84:$W84=$D$2:$W$2)*($D84:$W84&lt;&gt;"")*$D$3:$W$3*($D$4:$W$4=AA$6)))</f>
        <v/>
      </c>
      <c r="AB84" s="10">
        <f>IF($Y84="","",SUMPRODUCT(($D84:$W84=$D$2:$W$2)*($D84:$W84&lt;&gt;"")*$D$3:$W$3*($D$4:$W$4=AB$6)))</f>
        <v/>
      </c>
    </row>
    <row r="85">
      <c r="A85" s="5" t="n">
        <v>79</v>
      </c>
      <c r="B85" s="5">
        <f>IF('학생명단'!B85="","",'학생명단'!B85)</f>
        <v/>
      </c>
      <c r="C85" s="17">
        <f>IF('학생명단'!C85="","",'학생명단'!C85)</f>
        <v/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10">
        <f>IF(COUNTA(D85:W85)=0,"",SUMPRODUCT((D85:W85=$D$2:$W$2)*(D85:W85&lt;&gt;"")))</f>
        <v/>
      </c>
      <c r="Y85" s="27">
        <f>IF(COUNTA(D85:W85)=0,"",SUMPRODUCT((D85:W85=$D$2:$W$2)*(D85:W85&lt;&gt;"")*$D$3:$W$3))</f>
        <v/>
      </c>
      <c r="Z85" s="10">
        <f>IF($Y85="","",SUMPRODUCT(($D85:$W85=$D$2:$W$2)*($D85:$W85&lt;&gt;"")*$D$3:$W$3*($D$4:$W$4=Z$6)))</f>
        <v/>
      </c>
      <c r="AA85" s="10">
        <f>IF($Y85="","",SUMPRODUCT(($D85:$W85=$D$2:$W$2)*($D85:$W85&lt;&gt;"")*$D$3:$W$3*($D$4:$W$4=AA$6)))</f>
        <v/>
      </c>
      <c r="AB85" s="10">
        <f>IF($Y85="","",SUMPRODUCT(($D85:$W85=$D$2:$W$2)*($D85:$W85&lt;&gt;"")*$D$3:$W$3*($D$4:$W$4=AB$6)))</f>
        <v/>
      </c>
    </row>
    <row r="86">
      <c r="A86" s="5" t="n">
        <v>80</v>
      </c>
      <c r="B86" s="5">
        <f>IF('학생명단'!B86="","",'학생명단'!B86)</f>
        <v/>
      </c>
      <c r="C86" s="17">
        <f>IF('학생명단'!C86="","",'학생명단'!C86)</f>
        <v/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10">
        <f>IF(COUNTA(D86:W86)=0,"",SUMPRODUCT((D86:W86=$D$2:$W$2)*(D86:W86&lt;&gt;"")))</f>
        <v/>
      </c>
      <c r="Y86" s="27">
        <f>IF(COUNTA(D86:W86)=0,"",SUMPRODUCT((D86:W86=$D$2:$W$2)*(D86:W86&lt;&gt;"")*$D$3:$W$3))</f>
        <v/>
      </c>
      <c r="Z86" s="10">
        <f>IF($Y86="","",SUMPRODUCT(($D86:$W86=$D$2:$W$2)*($D86:$W86&lt;&gt;"")*$D$3:$W$3*($D$4:$W$4=Z$6)))</f>
        <v/>
      </c>
      <c r="AA86" s="10">
        <f>IF($Y86="","",SUMPRODUCT(($D86:$W86=$D$2:$W$2)*($D86:$W86&lt;&gt;"")*$D$3:$W$3*($D$4:$W$4=AA$6)))</f>
        <v/>
      </c>
      <c r="AB86" s="10">
        <f>IF($Y86="","",SUMPRODUCT(($D86:$W86=$D$2:$W$2)*($D86:$W86&lt;&gt;"")*$D$3:$W$3*($D$4:$W$4=AB$6)))</f>
        <v/>
      </c>
    </row>
    <row r="87">
      <c r="A87" s="5" t="n">
        <v>81</v>
      </c>
      <c r="B87" s="5">
        <f>IF('학생명단'!B87="","",'학생명단'!B87)</f>
        <v/>
      </c>
      <c r="C87" s="17">
        <f>IF('학생명단'!C87="","",'학생명단'!C87)</f>
        <v/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10">
        <f>IF(COUNTA(D87:W87)=0,"",SUMPRODUCT((D87:W87=$D$2:$W$2)*(D87:W87&lt;&gt;"")))</f>
        <v/>
      </c>
      <c r="Y87" s="27">
        <f>IF(COUNTA(D87:W87)=0,"",SUMPRODUCT((D87:W87=$D$2:$W$2)*(D87:W87&lt;&gt;"")*$D$3:$W$3))</f>
        <v/>
      </c>
      <c r="Z87" s="10">
        <f>IF($Y87="","",SUMPRODUCT(($D87:$W87=$D$2:$W$2)*($D87:$W87&lt;&gt;"")*$D$3:$W$3*($D$4:$W$4=Z$6)))</f>
        <v/>
      </c>
      <c r="AA87" s="10">
        <f>IF($Y87="","",SUMPRODUCT(($D87:$W87=$D$2:$W$2)*($D87:$W87&lt;&gt;"")*$D$3:$W$3*($D$4:$W$4=AA$6)))</f>
        <v/>
      </c>
      <c r="AB87" s="10">
        <f>IF($Y87="","",SUMPRODUCT(($D87:$W87=$D$2:$W$2)*($D87:$W87&lt;&gt;"")*$D$3:$W$3*($D$4:$W$4=AB$6)))</f>
        <v/>
      </c>
    </row>
    <row r="88">
      <c r="A88" s="5" t="n">
        <v>82</v>
      </c>
      <c r="B88" s="5">
        <f>IF('학생명단'!B88="","",'학생명단'!B88)</f>
        <v/>
      </c>
      <c r="C88" s="17">
        <f>IF('학생명단'!C88="","",'학생명단'!C88)</f>
        <v/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10">
        <f>IF(COUNTA(D88:W88)=0,"",SUMPRODUCT((D88:W88=$D$2:$W$2)*(D88:W88&lt;&gt;"")))</f>
        <v/>
      </c>
      <c r="Y88" s="27">
        <f>IF(COUNTA(D88:W88)=0,"",SUMPRODUCT((D88:W88=$D$2:$W$2)*(D88:W88&lt;&gt;"")*$D$3:$W$3))</f>
        <v/>
      </c>
      <c r="Z88" s="10">
        <f>IF($Y88="","",SUMPRODUCT(($D88:$W88=$D$2:$W$2)*($D88:$W88&lt;&gt;"")*$D$3:$W$3*($D$4:$W$4=Z$6)))</f>
        <v/>
      </c>
      <c r="AA88" s="10">
        <f>IF($Y88="","",SUMPRODUCT(($D88:$W88=$D$2:$W$2)*($D88:$W88&lt;&gt;"")*$D$3:$W$3*($D$4:$W$4=AA$6)))</f>
        <v/>
      </c>
      <c r="AB88" s="10">
        <f>IF($Y88="","",SUMPRODUCT(($D88:$W88=$D$2:$W$2)*($D88:$W88&lt;&gt;"")*$D$3:$W$3*($D$4:$W$4=AB$6)))</f>
        <v/>
      </c>
    </row>
    <row r="89">
      <c r="A89" s="5" t="n">
        <v>83</v>
      </c>
      <c r="B89" s="5">
        <f>IF('학생명단'!B89="","",'학생명단'!B89)</f>
        <v/>
      </c>
      <c r="C89" s="17">
        <f>IF('학생명단'!C89="","",'학생명단'!C89)</f>
        <v/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10">
        <f>IF(COUNTA(D89:W89)=0,"",SUMPRODUCT((D89:W89=$D$2:$W$2)*(D89:W89&lt;&gt;"")))</f>
        <v/>
      </c>
      <c r="Y89" s="27">
        <f>IF(COUNTA(D89:W89)=0,"",SUMPRODUCT((D89:W89=$D$2:$W$2)*(D89:W89&lt;&gt;"")*$D$3:$W$3))</f>
        <v/>
      </c>
      <c r="Z89" s="10">
        <f>IF($Y89="","",SUMPRODUCT(($D89:$W89=$D$2:$W$2)*($D89:$W89&lt;&gt;"")*$D$3:$W$3*($D$4:$W$4=Z$6)))</f>
        <v/>
      </c>
      <c r="AA89" s="10">
        <f>IF($Y89="","",SUMPRODUCT(($D89:$W89=$D$2:$W$2)*($D89:$W89&lt;&gt;"")*$D$3:$W$3*($D$4:$W$4=AA$6)))</f>
        <v/>
      </c>
      <c r="AB89" s="10">
        <f>IF($Y89="","",SUMPRODUCT(($D89:$W89=$D$2:$W$2)*($D89:$W89&lt;&gt;"")*$D$3:$W$3*($D$4:$W$4=AB$6)))</f>
        <v/>
      </c>
    </row>
    <row r="90">
      <c r="A90" s="5" t="n">
        <v>84</v>
      </c>
      <c r="B90" s="5">
        <f>IF('학생명단'!B90="","",'학생명단'!B90)</f>
        <v/>
      </c>
      <c r="C90" s="17">
        <f>IF('학생명단'!C90="","",'학생명단'!C90)</f>
        <v/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10">
        <f>IF(COUNTA(D90:W90)=0,"",SUMPRODUCT((D90:W90=$D$2:$W$2)*(D90:W90&lt;&gt;"")))</f>
        <v/>
      </c>
      <c r="Y90" s="27">
        <f>IF(COUNTA(D90:W90)=0,"",SUMPRODUCT((D90:W90=$D$2:$W$2)*(D90:W90&lt;&gt;"")*$D$3:$W$3))</f>
        <v/>
      </c>
      <c r="Z90" s="10">
        <f>IF($Y90="","",SUMPRODUCT(($D90:$W90=$D$2:$W$2)*($D90:$W90&lt;&gt;"")*$D$3:$W$3*($D$4:$W$4=Z$6)))</f>
        <v/>
      </c>
      <c r="AA90" s="10">
        <f>IF($Y90="","",SUMPRODUCT(($D90:$W90=$D$2:$W$2)*($D90:$W90&lt;&gt;"")*$D$3:$W$3*($D$4:$W$4=AA$6)))</f>
        <v/>
      </c>
      <c r="AB90" s="10">
        <f>IF($Y90="","",SUMPRODUCT(($D90:$W90=$D$2:$W$2)*($D90:$W90&lt;&gt;"")*$D$3:$W$3*($D$4:$W$4=AB$6)))</f>
        <v/>
      </c>
    </row>
    <row r="91">
      <c r="A91" s="5" t="n">
        <v>85</v>
      </c>
      <c r="B91" s="5">
        <f>IF('학생명단'!B91="","",'학생명단'!B91)</f>
        <v/>
      </c>
      <c r="C91" s="17">
        <f>IF('학생명단'!C91="","",'학생명단'!C91)</f>
        <v/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10">
        <f>IF(COUNTA(D91:W91)=0,"",SUMPRODUCT((D91:W91=$D$2:$W$2)*(D91:W91&lt;&gt;"")))</f>
        <v/>
      </c>
      <c r="Y91" s="27">
        <f>IF(COUNTA(D91:W91)=0,"",SUMPRODUCT((D91:W91=$D$2:$W$2)*(D91:W91&lt;&gt;"")*$D$3:$W$3))</f>
        <v/>
      </c>
      <c r="Z91" s="10">
        <f>IF($Y91="","",SUMPRODUCT(($D91:$W91=$D$2:$W$2)*($D91:$W91&lt;&gt;"")*$D$3:$W$3*($D$4:$W$4=Z$6)))</f>
        <v/>
      </c>
      <c r="AA91" s="10">
        <f>IF($Y91="","",SUMPRODUCT(($D91:$W91=$D$2:$W$2)*($D91:$W91&lt;&gt;"")*$D$3:$W$3*($D$4:$W$4=AA$6)))</f>
        <v/>
      </c>
      <c r="AB91" s="10">
        <f>IF($Y91="","",SUMPRODUCT(($D91:$W91=$D$2:$W$2)*($D91:$W91&lt;&gt;"")*$D$3:$W$3*($D$4:$W$4=AB$6)))</f>
        <v/>
      </c>
    </row>
    <row r="92">
      <c r="A92" s="5" t="n">
        <v>86</v>
      </c>
      <c r="B92" s="5">
        <f>IF('학생명단'!B92="","",'학생명단'!B92)</f>
        <v/>
      </c>
      <c r="C92" s="17">
        <f>IF('학생명단'!C92="","",'학생명단'!C92)</f>
        <v/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10">
        <f>IF(COUNTA(D92:W92)=0,"",SUMPRODUCT((D92:W92=$D$2:$W$2)*(D92:W92&lt;&gt;"")))</f>
        <v/>
      </c>
      <c r="Y92" s="27">
        <f>IF(COUNTA(D92:W92)=0,"",SUMPRODUCT((D92:W92=$D$2:$W$2)*(D92:W92&lt;&gt;"")*$D$3:$W$3))</f>
        <v/>
      </c>
      <c r="Z92" s="10">
        <f>IF($Y92="","",SUMPRODUCT(($D92:$W92=$D$2:$W$2)*($D92:$W92&lt;&gt;"")*$D$3:$W$3*($D$4:$W$4=Z$6)))</f>
        <v/>
      </c>
      <c r="AA92" s="10">
        <f>IF($Y92="","",SUMPRODUCT(($D92:$W92=$D$2:$W$2)*($D92:$W92&lt;&gt;"")*$D$3:$W$3*($D$4:$W$4=AA$6)))</f>
        <v/>
      </c>
      <c r="AB92" s="10">
        <f>IF($Y92="","",SUMPRODUCT(($D92:$W92=$D$2:$W$2)*($D92:$W92&lt;&gt;"")*$D$3:$W$3*($D$4:$W$4=AB$6)))</f>
        <v/>
      </c>
    </row>
    <row r="93">
      <c r="A93" s="5" t="n">
        <v>87</v>
      </c>
      <c r="B93" s="5">
        <f>IF('학생명단'!B93="","",'학생명단'!B93)</f>
        <v/>
      </c>
      <c r="C93" s="17">
        <f>IF('학생명단'!C93="","",'학생명단'!C93)</f>
        <v/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10">
        <f>IF(COUNTA(D93:W93)=0,"",SUMPRODUCT((D93:W93=$D$2:$W$2)*(D93:W93&lt;&gt;"")))</f>
        <v/>
      </c>
      <c r="Y93" s="27">
        <f>IF(COUNTA(D93:W93)=0,"",SUMPRODUCT((D93:W93=$D$2:$W$2)*(D93:W93&lt;&gt;"")*$D$3:$W$3))</f>
        <v/>
      </c>
      <c r="Z93" s="10">
        <f>IF($Y93="","",SUMPRODUCT(($D93:$W93=$D$2:$W$2)*($D93:$W93&lt;&gt;"")*$D$3:$W$3*($D$4:$W$4=Z$6)))</f>
        <v/>
      </c>
      <c r="AA93" s="10">
        <f>IF($Y93="","",SUMPRODUCT(($D93:$W93=$D$2:$W$2)*($D93:$W93&lt;&gt;"")*$D$3:$W$3*($D$4:$W$4=AA$6)))</f>
        <v/>
      </c>
      <c r="AB93" s="10">
        <f>IF($Y93="","",SUMPRODUCT(($D93:$W93=$D$2:$W$2)*($D93:$W93&lt;&gt;"")*$D$3:$W$3*($D$4:$W$4=AB$6)))</f>
        <v/>
      </c>
    </row>
    <row r="94">
      <c r="A94" s="5" t="n">
        <v>88</v>
      </c>
      <c r="B94" s="5">
        <f>IF('학생명단'!B94="","",'학생명단'!B94)</f>
        <v/>
      </c>
      <c r="C94" s="17">
        <f>IF('학생명단'!C94="","",'학생명단'!C94)</f>
        <v/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10">
        <f>IF(COUNTA(D94:W94)=0,"",SUMPRODUCT((D94:W94=$D$2:$W$2)*(D94:W94&lt;&gt;"")))</f>
        <v/>
      </c>
      <c r="Y94" s="27">
        <f>IF(COUNTA(D94:W94)=0,"",SUMPRODUCT((D94:W94=$D$2:$W$2)*(D94:W94&lt;&gt;"")*$D$3:$W$3))</f>
        <v/>
      </c>
      <c r="Z94" s="10">
        <f>IF($Y94="","",SUMPRODUCT(($D94:$W94=$D$2:$W$2)*($D94:$W94&lt;&gt;"")*$D$3:$W$3*($D$4:$W$4=Z$6)))</f>
        <v/>
      </c>
      <c r="AA94" s="10">
        <f>IF($Y94="","",SUMPRODUCT(($D94:$W94=$D$2:$W$2)*($D94:$W94&lt;&gt;"")*$D$3:$W$3*($D$4:$W$4=AA$6)))</f>
        <v/>
      </c>
      <c r="AB94" s="10">
        <f>IF($Y94="","",SUMPRODUCT(($D94:$W94=$D$2:$W$2)*($D94:$W94&lt;&gt;"")*$D$3:$W$3*($D$4:$W$4=AB$6)))</f>
        <v/>
      </c>
    </row>
    <row r="95">
      <c r="A95" s="5" t="n">
        <v>89</v>
      </c>
      <c r="B95" s="5">
        <f>IF('학생명단'!B95="","",'학생명단'!B95)</f>
        <v/>
      </c>
      <c r="C95" s="17">
        <f>IF('학생명단'!C95="","",'학생명단'!C95)</f>
        <v/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10">
        <f>IF(COUNTA(D95:W95)=0,"",SUMPRODUCT((D95:W95=$D$2:$W$2)*(D95:W95&lt;&gt;"")))</f>
        <v/>
      </c>
      <c r="Y95" s="27">
        <f>IF(COUNTA(D95:W95)=0,"",SUMPRODUCT((D95:W95=$D$2:$W$2)*(D95:W95&lt;&gt;"")*$D$3:$W$3))</f>
        <v/>
      </c>
      <c r="Z95" s="10">
        <f>IF($Y95="","",SUMPRODUCT(($D95:$W95=$D$2:$W$2)*($D95:$W95&lt;&gt;"")*$D$3:$W$3*($D$4:$W$4=Z$6)))</f>
        <v/>
      </c>
      <c r="AA95" s="10">
        <f>IF($Y95="","",SUMPRODUCT(($D95:$W95=$D$2:$W$2)*($D95:$W95&lt;&gt;"")*$D$3:$W$3*($D$4:$W$4=AA$6)))</f>
        <v/>
      </c>
      <c r="AB95" s="10">
        <f>IF($Y95="","",SUMPRODUCT(($D95:$W95=$D$2:$W$2)*($D95:$W95&lt;&gt;"")*$D$3:$W$3*($D$4:$W$4=AB$6)))</f>
        <v/>
      </c>
    </row>
    <row r="96">
      <c r="A96" s="5" t="n">
        <v>90</v>
      </c>
      <c r="B96" s="5">
        <f>IF('학생명단'!B96="","",'학생명단'!B96)</f>
        <v/>
      </c>
      <c r="C96" s="17">
        <f>IF('학생명단'!C96="","",'학생명단'!C96)</f>
        <v/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10">
        <f>IF(COUNTA(D96:W96)=0,"",SUMPRODUCT((D96:W96=$D$2:$W$2)*(D96:W96&lt;&gt;"")))</f>
        <v/>
      </c>
      <c r="Y96" s="27">
        <f>IF(COUNTA(D96:W96)=0,"",SUMPRODUCT((D96:W96=$D$2:$W$2)*(D96:W96&lt;&gt;"")*$D$3:$W$3))</f>
        <v/>
      </c>
      <c r="Z96" s="10">
        <f>IF($Y96="","",SUMPRODUCT(($D96:$W96=$D$2:$W$2)*($D96:$W96&lt;&gt;"")*$D$3:$W$3*($D$4:$W$4=Z$6)))</f>
        <v/>
      </c>
      <c r="AA96" s="10">
        <f>IF($Y96="","",SUMPRODUCT(($D96:$W96=$D$2:$W$2)*($D96:$W96&lt;&gt;"")*$D$3:$W$3*($D$4:$W$4=AA$6)))</f>
        <v/>
      </c>
      <c r="AB96" s="10">
        <f>IF($Y96="","",SUMPRODUCT(($D96:$W96=$D$2:$W$2)*($D96:$W96&lt;&gt;"")*$D$3:$W$3*($D$4:$W$4=AB$6)))</f>
        <v/>
      </c>
    </row>
    <row r="97">
      <c r="A97" s="5" t="n">
        <v>91</v>
      </c>
      <c r="B97" s="5">
        <f>IF('학생명단'!B97="","",'학생명단'!B97)</f>
        <v/>
      </c>
      <c r="C97" s="17">
        <f>IF('학생명단'!C97="","",'학생명단'!C97)</f>
        <v/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10">
        <f>IF(COUNTA(D97:W97)=0,"",SUMPRODUCT((D97:W97=$D$2:$W$2)*(D97:W97&lt;&gt;"")))</f>
        <v/>
      </c>
      <c r="Y97" s="27">
        <f>IF(COUNTA(D97:W97)=0,"",SUMPRODUCT((D97:W97=$D$2:$W$2)*(D97:W97&lt;&gt;"")*$D$3:$W$3))</f>
        <v/>
      </c>
      <c r="Z97" s="10">
        <f>IF($Y97="","",SUMPRODUCT(($D97:$W97=$D$2:$W$2)*($D97:$W97&lt;&gt;"")*$D$3:$W$3*($D$4:$W$4=Z$6)))</f>
        <v/>
      </c>
      <c r="AA97" s="10">
        <f>IF($Y97="","",SUMPRODUCT(($D97:$W97=$D$2:$W$2)*($D97:$W97&lt;&gt;"")*$D$3:$W$3*($D$4:$W$4=AA$6)))</f>
        <v/>
      </c>
      <c r="AB97" s="10">
        <f>IF($Y97="","",SUMPRODUCT(($D97:$W97=$D$2:$W$2)*($D97:$W97&lt;&gt;"")*$D$3:$W$3*($D$4:$W$4=AB$6)))</f>
        <v/>
      </c>
    </row>
    <row r="98">
      <c r="A98" s="5" t="n">
        <v>92</v>
      </c>
      <c r="B98" s="5">
        <f>IF('학생명단'!B98="","",'학생명단'!B98)</f>
        <v/>
      </c>
      <c r="C98" s="17">
        <f>IF('학생명단'!C98="","",'학생명단'!C98)</f>
        <v/>
      </c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10">
        <f>IF(COUNTA(D98:W98)=0,"",SUMPRODUCT((D98:W98=$D$2:$W$2)*(D98:W98&lt;&gt;"")))</f>
        <v/>
      </c>
      <c r="Y98" s="27">
        <f>IF(COUNTA(D98:W98)=0,"",SUMPRODUCT((D98:W98=$D$2:$W$2)*(D98:W98&lt;&gt;"")*$D$3:$W$3))</f>
        <v/>
      </c>
      <c r="Z98" s="10">
        <f>IF($Y98="","",SUMPRODUCT(($D98:$W98=$D$2:$W$2)*($D98:$W98&lt;&gt;"")*$D$3:$W$3*($D$4:$W$4=Z$6)))</f>
        <v/>
      </c>
      <c r="AA98" s="10">
        <f>IF($Y98="","",SUMPRODUCT(($D98:$W98=$D$2:$W$2)*($D98:$W98&lt;&gt;"")*$D$3:$W$3*($D$4:$W$4=AA$6)))</f>
        <v/>
      </c>
      <c r="AB98" s="10">
        <f>IF($Y98="","",SUMPRODUCT(($D98:$W98=$D$2:$W$2)*($D98:$W98&lt;&gt;"")*$D$3:$W$3*($D$4:$W$4=AB$6)))</f>
        <v/>
      </c>
    </row>
    <row r="99">
      <c r="A99" s="5" t="n">
        <v>93</v>
      </c>
      <c r="B99" s="5">
        <f>IF('학생명단'!B99="","",'학생명단'!B99)</f>
        <v/>
      </c>
      <c r="C99" s="17">
        <f>IF('학생명단'!C99="","",'학생명단'!C99)</f>
        <v/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10">
        <f>IF(COUNTA(D99:W99)=0,"",SUMPRODUCT((D99:W99=$D$2:$W$2)*(D99:W99&lt;&gt;"")))</f>
        <v/>
      </c>
      <c r="Y99" s="27">
        <f>IF(COUNTA(D99:W99)=0,"",SUMPRODUCT((D99:W99=$D$2:$W$2)*(D99:W99&lt;&gt;"")*$D$3:$W$3))</f>
        <v/>
      </c>
      <c r="Z99" s="10">
        <f>IF($Y99="","",SUMPRODUCT(($D99:$W99=$D$2:$W$2)*($D99:$W99&lt;&gt;"")*$D$3:$W$3*($D$4:$W$4=Z$6)))</f>
        <v/>
      </c>
      <c r="AA99" s="10">
        <f>IF($Y99="","",SUMPRODUCT(($D99:$W99=$D$2:$W$2)*($D99:$W99&lt;&gt;"")*$D$3:$W$3*($D$4:$W$4=AA$6)))</f>
        <v/>
      </c>
      <c r="AB99" s="10">
        <f>IF($Y99="","",SUMPRODUCT(($D99:$W99=$D$2:$W$2)*($D99:$W99&lt;&gt;"")*$D$3:$W$3*($D$4:$W$4=AB$6)))</f>
        <v/>
      </c>
    </row>
    <row r="100">
      <c r="A100" s="5" t="n">
        <v>94</v>
      </c>
      <c r="B100" s="5">
        <f>IF('학생명단'!B100="","",'학생명단'!B100)</f>
        <v/>
      </c>
      <c r="C100" s="17">
        <f>IF('학생명단'!C100="","",'학생명단'!C100)</f>
        <v/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10">
        <f>IF(COUNTA(D100:W100)=0,"",SUMPRODUCT((D100:W100=$D$2:$W$2)*(D100:W100&lt;&gt;"")))</f>
        <v/>
      </c>
      <c r="Y100" s="27">
        <f>IF(COUNTA(D100:W100)=0,"",SUMPRODUCT((D100:W100=$D$2:$W$2)*(D100:W100&lt;&gt;"")*$D$3:$W$3))</f>
        <v/>
      </c>
      <c r="Z100" s="10">
        <f>IF($Y100="","",SUMPRODUCT(($D100:$W100=$D$2:$W$2)*($D100:$W100&lt;&gt;"")*$D$3:$W$3*($D$4:$W$4=Z$6)))</f>
        <v/>
      </c>
      <c r="AA100" s="10">
        <f>IF($Y100="","",SUMPRODUCT(($D100:$W100=$D$2:$W$2)*($D100:$W100&lt;&gt;"")*$D$3:$W$3*($D$4:$W$4=AA$6)))</f>
        <v/>
      </c>
      <c r="AB100" s="10">
        <f>IF($Y100="","",SUMPRODUCT(($D100:$W100=$D$2:$W$2)*($D100:$W100&lt;&gt;"")*$D$3:$W$3*($D$4:$W$4=AB$6)))</f>
        <v/>
      </c>
    </row>
    <row r="101">
      <c r="A101" s="5" t="n">
        <v>95</v>
      </c>
      <c r="B101" s="5">
        <f>IF('학생명단'!B101="","",'학생명단'!B101)</f>
        <v/>
      </c>
      <c r="C101" s="17">
        <f>IF('학생명단'!C101="","",'학생명단'!C101)</f>
        <v/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10">
        <f>IF(COUNTA(D101:W101)=0,"",SUMPRODUCT((D101:W101=$D$2:$W$2)*(D101:W101&lt;&gt;"")))</f>
        <v/>
      </c>
      <c r="Y101" s="27">
        <f>IF(COUNTA(D101:W101)=0,"",SUMPRODUCT((D101:W101=$D$2:$W$2)*(D101:W101&lt;&gt;"")*$D$3:$W$3))</f>
        <v/>
      </c>
      <c r="Z101" s="10">
        <f>IF($Y101="","",SUMPRODUCT(($D101:$W101=$D$2:$W$2)*($D101:$W101&lt;&gt;"")*$D$3:$W$3*($D$4:$W$4=Z$6)))</f>
        <v/>
      </c>
      <c r="AA101" s="10">
        <f>IF($Y101="","",SUMPRODUCT(($D101:$W101=$D$2:$W$2)*($D101:$W101&lt;&gt;"")*$D$3:$W$3*($D$4:$W$4=AA$6)))</f>
        <v/>
      </c>
      <c r="AB101" s="10">
        <f>IF($Y101="","",SUMPRODUCT(($D101:$W101=$D$2:$W$2)*($D101:$W101&lt;&gt;"")*$D$3:$W$3*($D$4:$W$4=AB$6)))</f>
        <v/>
      </c>
    </row>
    <row r="102">
      <c r="A102" s="5" t="n">
        <v>96</v>
      </c>
      <c r="B102" s="5">
        <f>IF('학생명단'!B102="","",'학생명단'!B102)</f>
        <v/>
      </c>
      <c r="C102" s="17">
        <f>IF('학생명단'!C102="","",'학생명단'!C102)</f>
        <v/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10">
        <f>IF(COUNTA(D102:W102)=0,"",SUMPRODUCT((D102:W102=$D$2:$W$2)*(D102:W102&lt;&gt;"")))</f>
        <v/>
      </c>
      <c r="Y102" s="27">
        <f>IF(COUNTA(D102:W102)=0,"",SUMPRODUCT((D102:W102=$D$2:$W$2)*(D102:W102&lt;&gt;"")*$D$3:$W$3))</f>
        <v/>
      </c>
      <c r="Z102" s="10">
        <f>IF($Y102="","",SUMPRODUCT(($D102:$W102=$D$2:$W$2)*($D102:$W102&lt;&gt;"")*$D$3:$W$3*($D$4:$W$4=Z$6)))</f>
        <v/>
      </c>
      <c r="AA102" s="10">
        <f>IF($Y102="","",SUMPRODUCT(($D102:$W102=$D$2:$W$2)*($D102:$W102&lt;&gt;"")*$D$3:$W$3*($D$4:$W$4=AA$6)))</f>
        <v/>
      </c>
      <c r="AB102" s="10">
        <f>IF($Y102="","",SUMPRODUCT(($D102:$W102=$D$2:$W$2)*($D102:$W102&lt;&gt;"")*$D$3:$W$3*($D$4:$W$4=AB$6)))</f>
        <v/>
      </c>
    </row>
    <row r="103">
      <c r="A103" s="5" t="n">
        <v>97</v>
      </c>
      <c r="B103" s="5">
        <f>IF('학생명단'!B103="","",'학생명단'!B103)</f>
        <v/>
      </c>
      <c r="C103" s="17">
        <f>IF('학생명단'!C103="","",'학생명단'!C103)</f>
        <v/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10">
        <f>IF(COUNTA(D103:W103)=0,"",SUMPRODUCT((D103:W103=$D$2:$W$2)*(D103:W103&lt;&gt;"")))</f>
        <v/>
      </c>
      <c r="Y103" s="27">
        <f>IF(COUNTA(D103:W103)=0,"",SUMPRODUCT((D103:W103=$D$2:$W$2)*(D103:W103&lt;&gt;"")*$D$3:$W$3))</f>
        <v/>
      </c>
      <c r="Z103" s="10">
        <f>IF($Y103="","",SUMPRODUCT(($D103:$W103=$D$2:$W$2)*($D103:$W103&lt;&gt;"")*$D$3:$W$3*($D$4:$W$4=Z$6)))</f>
        <v/>
      </c>
      <c r="AA103" s="10">
        <f>IF($Y103="","",SUMPRODUCT(($D103:$W103=$D$2:$W$2)*($D103:$W103&lt;&gt;"")*$D$3:$W$3*($D$4:$W$4=AA$6)))</f>
        <v/>
      </c>
      <c r="AB103" s="10">
        <f>IF($Y103="","",SUMPRODUCT(($D103:$W103=$D$2:$W$2)*($D103:$W103&lt;&gt;"")*$D$3:$W$3*($D$4:$W$4=AB$6)))</f>
        <v/>
      </c>
    </row>
    <row r="104">
      <c r="A104" s="5" t="n">
        <v>98</v>
      </c>
      <c r="B104" s="5">
        <f>IF('학생명단'!B104="","",'학생명단'!B104)</f>
        <v/>
      </c>
      <c r="C104" s="17">
        <f>IF('학생명단'!C104="","",'학생명단'!C104)</f>
        <v/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10">
        <f>IF(COUNTA(D104:W104)=0,"",SUMPRODUCT((D104:W104=$D$2:$W$2)*(D104:W104&lt;&gt;"")))</f>
        <v/>
      </c>
      <c r="Y104" s="27">
        <f>IF(COUNTA(D104:W104)=0,"",SUMPRODUCT((D104:W104=$D$2:$W$2)*(D104:W104&lt;&gt;"")*$D$3:$W$3))</f>
        <v/>
      </c>
      <c r="Z104" s="10">
        <f>IF($Y104="","",SUMPRODUCT(($D104:$W104=$D$2:$W$2)*($D104:$W104&lt;&gt;"")*$D$3:$W$3*($D$4:$W$4=Z$6)))</f>
        <v/>
      </c>
      <c r="AA104" s="10">
        <f>IF($Y104="","",SUMPRODUCT(($D104:$W104=$D$2:$W$2)*($D104:$W104&lt;&gt;"")*$D$3:$W$3*($D$4:$W$4=AA$6)))</f>
        <v/>
      </c>
      <c r="AB104" s="10">
        <f>IF($Y104="","",SUMPRODUCT(($D104:$W104=$D$2:$W$2)*($D104:$W104&lt;&gt;"")*$D$3:$W$3*($D$4:$W$4=AB$6)))</f>
        <v/>
      </c>
    </row>
    <row r="105">
      <c r="A105" s="5" t="n">
        <v>99</v>
      </c>
      <c r="B105" s="5">
        <f>IF('학생명단'!B105="","",'학생명단'!B105)</f>
        <v/>
      </c>
      <c r="C105" s="17">
        <f>IF('학생명단'!C105="","",'학생명단'!C105)</f>
        <v/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10">
        <f>IF(COUNTA(D105:W105)=0,"",SUMPRODUCT((D105:W105=$D$2:$W$2)*(D105:W105&lt;&gt;"")))</f>
        <v/>
      </c>
      <c r="Y105" s="27">
        <f>IF(COUNTA(D105:W105)=0,"",SUMPRODUCT((D105:W105=$D$2:$W$2)*(D105:W105&lt;&gt;"")*$D$3:$W$3))</f>
        <v/>
      </c>
      <c r="Z105" s="10">
        <f>IF($Y105="","",SUMPRODUCT(($D105:$W105=$D$2:$W$2)*($D105:$W105&lt;&gt;"")*$D$3:$W$3*($D$4:$W$4=Z$6)))</f>
        <v/>
      </c>
      <c r="AA105" s="10">
        <f>IF($Y105="","",SUMPRODUCT(($D105:$W105=$D$2:$W$2)*($D105:$W105&lt;&gt;"")*$D$3:$W$3*($D$4:$W$4=AA$6)))</f>
        <v/>
      </c>
      <c r="AB105" s="10">
        <f>IF($Y105="","",SUMPRODUCT(($D105:$W105=$D$2:$W$2)*($D105:$W105&lt;&gt;"")*$D$3:$W$3*($D$4:$W$4=AB$6)))</f>
        <v/>
      </c>
    </row>
    <row r="106">
      <c r="A106" s="5" t="n">
        <v>100</v>
      </c>
      <c r="B106" s="5">
        <f>IF('학생명단'!B106="","",'학생명단'!B106)</f>
        <v/>
      </c>
      <c r="C106" s="17">
        <f>IF('학생명단'!C106="","",'학생명단'!C106)</f>
        <v/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10">
        <f>IF(COUNTA(D106:W106)=0,"",SUMPRODUCT((D106:W106=$D$2:$W$2)*(D106:W106&lt;&gt;"")))</f>
        <v/>
      </c>
      <c r="Y106" s="27">
        <f>IF(COUNTA(D106:W106)=0,"",SUMPRODUCT((D106:W106=$D$2:$W$2)*(D106:W106&lt;&gt;"")*$D$3:$W$3))</f>
        <v/>
      </c>
      <c r="Z106" s="10">
        <f>IF($Y106="","",SUMPRODUCT(($D106:$W106=$D$2:$W$2)*($D106:$W106&lt;&gt;"")*$D$3:$W$3*($D$4:$W$4=Z$6)))</f>
        <v/>
      </c>
      <c r="AA106" s="10">
        <f>IF($Y106="","",SUMPRODUCT(($D106:$W106=$D$2:$W$2)*($D106:$W106&lt;&gt;"")*$D$3:$W$3*($D$4:$W$4=AA$6)))</f>
        <v/>
      </c>
      <c r="AB106" s="10">
        <f>IF($Y106="","",SUMPRODUCT(($D106:$W106=$D$2:$W$2)*($D106:$W106&lt;&gt;"")*$D$3:$W$3*($D$4:$W$4=AB$6)))</f>
        <v/>
      </c>
    </row>
    <row r="107">
      <c r="A107" s="5" t="n">
        <v>101</v>
      </c>
      <c r="B107" s="5">
        <f>IF('학생명단'!B107="","",'학생명단'!B107)</f>
        <v/>
      </c>
      <c r="C107" s="17">
        <f>IF('학생명단'!C107="","",'학생명단'!C107)</f>
        <v/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10">
        <f>IF(COUNTA(D107:W107)=0,"",SUMPRODUCT((D107:W107=$D$2:$W$2)*(D107:W107&lt;&gt;"")))</f>
        <v/>
      </c>
      <c r="Y107" s="27">
        <f>IF(COUNTA(D107:W107)=0,"",SUMPRODUCT((D107:W107=$D$2:$W$2)*(D107:W107&lt;&gt;"")*$D$3:$W$3))</f>
        <v/>
      </c>
      <c r="Z107" s="10">
        <f>IF($Y107="","",SUMPRODUCT(($D107:$W107=$D$2:$W$2)*($D107:$W107&lt;&gt;"")*$D$3:$W$3*($D$4:$W$4=Z$6)))</f>
        <v/>
      </c>
      <c r="AA107" s="10">
        <f>IF($Y107="","",SUMPRODUCT(($D107:$W107=$D$2:$W$2)*($D107:$W107&lt;&gt;"")*$D$3:$W$3*($D$4:$W$4=AA$6)))</f>
        <v/>
      </c>
      <c r="AB107" s="10">
        <f>IF($Y107="","",SUMPRODUCT(($D107:$W107=$D$2:$W$2)*($D107:$W107&lt;&gt;"")*$D$3:$W$3*($D$4:$W$4=AB$6)))</f>
        <v/>
      </c>
    </row>
    <row r="108">
      <c r="A108" s="5" t="n">
        <v>102</v>
      </c>
      <c r="B108" s="5">
        <f>IF('학생명단'!B108="","",'학생명단'!B108)</f>
        <v/>
      </c>
      <c r="C108" s="17">
        <f>IF('학생명단'!C108="","",'학생명단'!C108)</f>
        <v/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10">
        <f>IF(COUNTA(D108:W108)=0,"",SUMPRODUCT((D108:W108=$D$2:$W$2)*(D108:W108&lt;&gt;"")))</f>
        <v/>
      </c>
      <c r="Y108" s="27">
        <f>IF(COUNTA(D108:W108)=0,"",SUMPRODUCT((D108:W108=$D$2:$W$2)*(D108:W108&lt;&gt;"")*$D$3:$W$3))</f>
        <v/>
      </c>
      <c r="Z108" s="10">
        <f>IF($Y108="","",SUMPRODUCT(($D108:$W108=$D$2:$W$2)*($D108:$W108&lt;&gt;"")*$D$3:$W$3*($D$4:$W$4=Z$6)))</f>
        <v/>
      </c>
      <c r="AA108" s="10">
        <f>IF($Y108="","",SUMPRODUCT(($D108:$W108=$D$2:$W$2)*($D108:$W108&lt;&gt;"")*$D$3:$W$3*($D$4:$W$4=AA$6)))</f>
        <v/>
      </c>
      <c r="AB108" s="10">
        <f>IF($Y108="","",SUMPRODUCT(($D108:$W108=$D$2:$W$2)*($D108:$W108&lt;&gt;"")*$D$3:$W$3*($D$4:$W$4=AB$6)))</f>
        <v/>
      </c>
    </row>
    <row r="109">
      <c r="A109" s="5" t="n">
        <v>103</v>
      </c>
      <c r="B109" s="5">
        <f>IF('학생명단'!B109="","",'학생명단'!B109)</f>
        <v/>
      </c>
      <c r="C109" s="17">
        <f>IF('학생명단'!C109="","",'학생명단'!C109)</f>
        <v/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10">
        <f>IF(COUNTA(D109:W109)=0,"",SUMPRODUCT((D109:W109=$D$2:$W$2)*(D109:W109&lt;&gt;"")))</f>
        <v/>
      </c>
      <c r="Y109" s="27">
        <f>IF(COUNTA(D109:W109)=0,"",SUMPRODUCT((D109:W109=$D$2:$W$2)*(D109:W109&lt;&gt;"")*$D$3:$W$3))</f>
        <v/>
      </c>
      <c r="Z109" s="10">
        <f>IF($Y109="","",SUMPRODUCT(($D109:$W109=$D$2:$W$2)*($D109:$W109&lt;&gt;"")*$D$3:$W$3*($D$4:$W$4=Z$6)))</f>
        <v/>
      </c>
      <c r="AA109" s="10">
        <f>IF($Y109="","",SUMPRODUCT(($D109:$W109=$D$2:$W$2)*($D109:$W109&lt;&gt;"")*$D$3:$W$3*($D$4:$W$4=AA$6)))</f>
        <v/>
      </c>
      <c r="AB109" s="10">
        <f>IF($Y109="","",SUMPRODUCT(($D109:$W109=$D$2:$W$2)*($D109:$W109&lt;&gt;"")*$D$3:$W$3*($D$4:$W$4=AB$6)))</f>
        <v/>
      </c>
    </row>
    <row r="110">
      <c r="A110" s="5" t="n">
        <v>104</v>
      </c>
      <c r="B110" s="5">
        <f>IF('학생명단'!B110="","",'학생명단'!B110)</f>
        <v/>
      </c>
      <c r="C110" s="17">
        <f>IF('학생명단'!C110="","",'학생명단'!C110)</f>
        <v/>
      </c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10">
        <f>IF(COUNTA(D110:W110)=0,"",SUMPRODUCT((D110:W110=$D$2:$W$2)*(D110:W110&lt;&gt;"")))</f>
        <v/>
      </c>
      <c r="Y110" s="27">
        <f>IF(COUNTA(D110:W110)=0,"",SUMPRODUCT((D110:W110=$D$2:$W$2)*(D110:W110&lt;&gt;"")*$D$3:$W$3))</f>
        <v/>
      </c>
      <c r="Z110" s="10">
        <f>IF($Y110="","",SUMPRODUCT(($D110:$W110=$D$2:$W$2)*($D110:$W110&lt;&gt;"")*$D$3:$W$3*($D$4:$W$4=Z$6)))</f>
        <v/>
      </c>
      <c r="AA110" s="10">
        <f>IF($Y110="","",SUMPRODUCT(($D110:$W110=$D$2:$W$2)*($D110:$W110&lt;&gt;"")*$D$3:$W$3*($D$4:$W$4=AA$6)))</f>
        <v/>
      </c>
      <c r="AB110" s="10">
        <f>IF($Y110="","",SUMPRODUCT(($D110:$W110=$D$2:$W$2)*($D110:$W110&lt;&gt;"")*$D$3:$W$3*($D$4:$W$4=AB$6)))</f>
        <v/>
      </c>
    </row>
    <row r="111">
      <c r="A111" s="5" t="n">
        <v>105</v>
      </c>
      <c r="B111" s="5">
        <f>IF('학생명단'!B111="","",'학생명단'!B111)</f>
        <v/>
      </c>
      <c r="C111" s="17">
        <f>IF('학생명단'!C111="","",'학생명단'!C111)</f>
        <v/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10">
        <f>IF(COUNTA(D111:W111)=0,"",SUMPRODUCT((D111:W111=$D$2:$W$2)*(D111:W111&lt;&gt;"")))</f>
        <v/>
      </c>
      <c r="Y111" s="27">
        <f>IF(COUNTA(D111:W111)=0,"",SUMPRODUCT((D111:W111=$D$2:$W$2)*(D111:W111&lt;&gt;"")*$D$3:$W$3))</f>
        <v/>
      </c>
      <c r="Z111" s="10">
        <f>IF($Y111="","",SUMPRODUCT(($D111:$W111=$D$2:$W$2)*($D111:$W111&lt;&gt;"")*$D$3:$W$3*($D$4:$W$4=Z$6)))</f>
        <v/>
      </c>
      <c r="AA111" s="10">
        <f>IF($Y111="","",SUMPRODUCT(($D111:$W111=$D$2:$W$2)*($D111:$W111&lt;&gt;"")*$D$3:$W$3*($D$4:$W$4=AA$6)))</f>
        <v/>
      </c>
      <c r="AB111" s="10">
        <f>IF($Y111="","",SUMPRODUCT(($D111:$W111=$D$2:$W$2)*($D111:$W111&lt;&gt;"")*$D$3:$W$3*($D$4:$W$4=AB$6)))</f>
        <v/>
      </c>
    </row>
    <row r="112">
      <c r="A112" s="5" t="n">
        <v>106</v>
      </c>
      <c r="B112" s="5">
        <f>IF('학생명단'!B112="","",'학생명단'!B112)</f>
        <v/>
      </c>
      <c r="C112" s="17">
        <f>IF('학생명단'!C112="","",'학생명단'!C112)</f>
        <v/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10">
        <f>IF(COUNTA(D112:W112)=0,"",SUMPRODUCT((D112:W112=$D$2:$W$2)*(D112:W112&lt;&gt;"")))</f>
        <v/>
      </c>
      <c r="Y112" s="27">
        <f>IF(COUNTA(D112:W112)=0,"",SUMPRODUCT((D112:W112=$D$2:$W$2)*(D112:W112&lt;&gt;"")*$D$3:$W$3))</f>
        <v/>
      </c>
      <c r="Z112" s="10">
        <f>IF($Y112="","",SUMPRODUCT(($D112:$W112=$D$2:$W$2)*($D112:$W112&lt;&gt;"")*$D$3:$W$3*($D$4:$W$4=Z$6)))</f>
        <v/>
      </c>
      <c r="AA112" s="10">
        <f>IF($Y112="","",SUMPRODUCT(($D112:$W112=$D$2:$W$2)*($D112:$W112&lt;&gt;"")*$D$3:$W$3*($D$4:$W$4=AA$6)))</f>
        <v/>
      </c>
      <c r="AB112" s="10">
        <f>IF($Y112="","",SUMPRODUCT(($D112:$W112=$D$2:$W$2)*($D112:$W112&lt;&gt;"")*$D$3:$W$3*($D$4:$W$4=AB$6)))</f>
        <v/>
      </c>
    </row>
    <row r="113">
      <c r="A113" s="5" t="n">
        <v>107</v>
      </c>
      <c r="B113" s="5">
        <f>IF('학생명단'!B113="","",'학생명단'!B113)</f>
        <v/>
      </c>
      <c r="C113" s="17">
        <f>IF('학생명단'!C113="","",'학생명단'!C113)</f>
        <v/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10">
        <f>IF(COUNTA(D113:W113)=0,"",SUMPRODUCT((D113:W113=$D$2:$W$2)*(D113:W113&lt;&gt;"")))</f>
        <v/>
      </c>
      <c r="Y113" s="27">
        <f>IF(COUNTA(D113:W113)=0,"",SUMPRODUCT((D113:W113=$D$2:$W$2)*(D113:W113&lt;&gt;"")*$D$3:$W$3))</f>
        <v/>
      </c>
      <c r="Z113" s="10">
        <f>IF($Y113="","",SUMPRODUCT(($D113:$W113=$D$2:$W$2)*($D113:$W113&lt;&gt;"")*$D$3:$W$3*($D$4:$W$4=Z$6)))</f>
        <v/>
      </c>
      <c r="AA113" s="10">
        <f>IF($Y113="","",SUMPRODUCT(($D113:$W113=$D$2:$W$2)*($D113:$W113&lt;&gt;"")*$D$3:$W$3*($D$4:$W$4=AA$6)))</f>
        <v/>
      </c>
      <c r="AB113" s="10">
        <f>IF($Y113="","",SUMPRODUCT(($D113:$W113=$D$2:$W$2)*($D113:$W113&lt;&gt;"")*$D$3:$W$3*($D$4:$W$4=AB$6)))</f>
        <v/>
      </c>
    </row>
    <row r="114">
      <c r="A114" s="5" t="n">
        <v>108</v>
      </c>
      <c r="B114" s="5">
        <f>IF('학생명단'!B114="","",'학생명단'!B114)</f>
        <v/>
      </c>
      <c r="C114" s="17">
        <f>IF('학생명단'!C114="","",'학생명단'!C114)</f>
        <v/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10">
        <f>IF(COUNTA(D114:W114)=0,"",SUMPRODUCT((D114:W114=$D$2:$W$2)*(D114:W114&lt;&gt;"")))</f>
        <v/>
      </c>
      <c r="Y114" s="27">
        <f>IF(COUNTA(D114:W114)=0,"",SUMPRODUCT((D114:W114=$D$2:$W$2)*(D114:W114&lt;&gt;"")*$D$3:$W$3))</f>
        <v/>
      </c>
      <c r="Z114" s="10">
        <f>IF($Y114="","",SUMPRODUCT(($D114:$W114=$D$2:$W$2)*($D114:$W114&lt;&gt;"")*$D$3:$W$3*($D$4:$W$4=Z$6)))</f>
        <v/>
      </c>
      <c r="AA114" s="10">
        <f>IF($Y114="","",SUMPRODUCT(($D114:$W114=$D$2:$W$2)*($D114:$W114&lt;&gt;"")*$D$3:$W$3*($D$4:$W$4=AA$6)))</f>
        <v/>
      </c>
      <c r="AB114" s="10">
        <f>IF($Y114="","",SUMPRODUCT(($D114:$W114=$D$2:$W$2)*($D114:$W114&lt;&gt;"")*$D$3:$W$3*($D$4:$W$4=AB$6)))</f>
        <v/>
      </c>
    </row>
    <row r="115">
      <c r="A115" s="5" t="n">
        <v>109</v>
      </c>
      <c r="B115" s="5">
        <f>IF('학생명단'!B115="","",'학생명단'!B115)</f>
        <v/>
      </c>
      <c r="C115" s="17">
        <f>IF('학생명단'!C115="","",'학생명단'!C115)</f>
        <v/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10">
        <f>IF(COUNTA(D115:W115)=0,"",SUMPRODUCT((D115:W115=$D$2:$W$2)*(D115:W115&lt;&gt;"")))</f>
        <v/>
      </c>
      <c r="Y115" s="27">
        <f>IF(COUNTA(D115:W115)=0,"",SUMPRODUCT((D115:W115=$D$2:$W$2)*(D115:W115&lt;&gt;"")*$D$3:$W$3))</f>
        <v/>
      </c>
      <c r="Z115" s="10">
        <f>IF($Y115="","",SUMPRODUCT(($D115:$W115=$D$2:$W$2)*($D115:$W115&lt;&gt;"")*$D$3:$W$3*($D$4:$W$4=Z$6)))</f>
        <v/>
      </c>
      <c r="AA115" s="10">
        <f>IF($Y115="","",SUMPRODUCT(($D115:$W115=$D$2:$W$2)*($D115:$W115&lt;&gt;"")*$D$3:$W$3*($D$4:$W$4=AA$6)))</f>
        <v/>
      </c>
      <c r="AB115" s="10">
        <f>IF($Y115="","",SUMPRODUCT(($D115:$W115=$D$2:$W$2)*($D115:$W115&lt;&gt;"")*$D$3:$W$3*($D$4:$W$4=AB$6)))</f>
        <v/>
      </c>
    </row>
    <row r="116">
      <c r="A116" s="5" t="n">
        <v>110</v>
      </c>
      <c r="B116" s="5">
        <f>IF('학생명단'!B116="","",'학생명단'!B116)</f>
        <v/>
      </c>
      <c r="C116" s="17">
        <f>IF('학생명단'!C116="","",'학생명단'!C116)</f>
        <v/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10">
        <f>IF(COUNTA(D116:W116)=0,"",SUMPRODUCT((D116:W116=$D$2:$W$2)*(D116:W116&lt;&gt;"")))</f>
        <v/>
      </c>
      <c r="Y116" s="27">
        <f>IF(COUNTA(D116:W116)=0,"",SUMPRODUCT((D116:W116=$D$2:$W$2)*(D116:W116&lt;&gt;"")*$D$3:$W$3))</f>
        <v/>
      </c>
      <c r="Z116" s="10">
        <f>IF($Y116="","",SUMPRODUCT(($D116:$W116=$D$2:$W$2)*($D116:$W116&lt;&gt;"")*$D$3:$W$3*($D$4:$W$4=Z$6)))</f>
        <v/>
      </c>
      <c r="AA116" s="10">
        <f>IF($Y116="","",SUMPRODUCT(($D116:$W116=$D$2:$W$2)*($D116:$W116&lt;&gt;"")*$D$3:$W$3*($D$4:$W$4=AA$6)))</f>
        <v/>
      </c>
      <c r="AB116" s="10">
        <f>IF($Y116="","",SUMPRODUCT(($D116:$W116=$D$2:$W$2)*($D116:$W116&lt;&gt;"")*$D$3:$W$3*($D$4:$W$4=AB$6)))</f>
        <v/>
      </c>
    </row>
    <row r="117">
      <c r="A117" s="5" t="n">
        <v>111</v>
      </c>
      <c r="B117" s="5">
        <f>IF('학생명단'!B117="","",'학생명단'!B117)</f>
        <v/>
      </c>
      <c r="C117" s="17">
        <f>IF('학생명단'!C117="","",'학생명단'!C117)</f>
        <v/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10">
        <f>IF(COUNTA(D117:W117)=0,"",SUMPRODUCT((D117:W117=$D$2:$W$2)*(D117:W117&lt;&gt;"")))</f>
        <v/>
      </c>
      <c r="Y117" s="27">
        <f>IF(COUNTA(D117:W117)=0,"",SUMPRODUCT((D117:W117=$D$2:$W$2)*(D117:W117&lt;&gt;"")*$D$3:$W$3))</f>
        <v/>
      </c>
      <c r="Z117" s="10">
        <f>IF($Y117="","",SUMPRODUCT(($D117:$W117=$D$2:$W$2)*($D117:$W117&lt;&gt;"")*$D$3:$W$3*($D$4:$W$4=Z$6)))</f>
        <v/>
      </c>
      <c r="AA117" s="10">
        <f>IF($Y117="","",SUMPRODUCT(($D117:$W117=$D$2:$W$2)*($D117:$W117&lt;&gt;"")*$D$3:$W$3*($D$4:$W$4=AA$6)))</f>
        <v/>
      </c>
      <c r="AB117" s="10">
        <f>IF($Y117="","",SUMPRODUCT(($D117:$W117=$D$2:$W$2)*($D117:$W117&lt;&gt;"")*$D$3:$W$3*($D$4:$W$4=AB$6)))</f>
        <v/>
      </c>
    </row>
    <row r="118">
      <c r="A118" s="5" t="n">
        <v>112</v>
      </c>
      <c r="B118" s="5">
        <f>IF('학생명단'!B118="","",'학생명단'!B118)</f>
        <v/>
      </c>
      <c r="C118" s="17">
        <f>IF('학생명단'!C118="","",'학생명단'!C118)</f>
        <v/>
      </c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10">
        <f>IF(COUNTA(D118:W118)=0,"",SUMPRODUCT((D118:W118=$D$2:$W$2)*(D118:W118&lt;&gt;"")))</f>
        <v/>
      </c>
      <c r="Y118" s="27">
        <f>IF(COUNTA(D118:W118)=0,"",SUMPRODUCT((D118:W118=$D$2:$W$2)*(D118:W118&lt;&gt;"")*$D$3:$W$3))</f>
        <v/>
      </c>
      <c r="Z118" s="10">
        <f>IF($Y118="","",SUMPRODUCT(($D118:$W118=$D$2:$W$2)*($D118:$W118&lt;&gt;"")*$D$3:$W$3*($D$4:$W$4=Z$6)))</f>
        <v/>
      </c>
      <c r="AA118" s="10">
        <f>IF($Y118="","",SUMPRODUCT(($D118:$W118=$D$2:$W$2)*($D118:$W118&lt;&gt;"")*$D$3:$W$3*($D$4:$W$4=AA$6)))</f>
        <v/>
      </c>
      <c r="AB118" s="10">
        <f>IF($Y118="","",SUMPRODUCT(($D118:$W118=$D$2:$W$2)*($D118:$W118&lt;&gt;"")*$D$3:$W$3*($D$4:$W$4=AB$6)))</f>
        <v/>
      </c>
    </row>
    <row r="119">
      <c r="A119" s="5" t="n">
        <v>113</v>
      </c>
      <c r="B119" s="5">
        <f>IF('학생명단'!B119="","",'학생명단'!B119)</f>
        <v/>
      </c>
      <c r="C119" s="17">
        <f>IF('학생명단'!C119="","",'학생명단'!C119)</f>
        <v/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10">
        <f>IF(COUNTA(D119:W119)=0,"",SUMPRODUCT((D119:W119=$D$2:$W$2)*(D119:W119&lt;&gt;"")))</f>
        <v/>
      </c>
      <c r="Y119" s="27">
        <f>IF(COUNTA(D119:W119)=0,"",SUMPRODUCT((D119:W119=$D$2:$W$2)*(D119:W119&lt;&gt;"")*$D$3:$W$3))</f>
        <v/>
      </c>
      <c r="Z119" s="10">
        <f>IF($Y119="","",SUMPRODUCT(($D119:$W119=$D$2:$W$2)*($D119:$W119&lt;&gt;"")*$D$3:$W$3*($D$4:$W$4=Z$6)))</f>
        <v/>
      </c>
      <c r="AA119" s="10">
        <f>IF($Y119="","",SUMPRODUCT(($D119:$W119=$D$2:$W$2)*($D119:$W119&lt;&gt;"")*$D$3:$W$3*($D$4:$W$4=AA$6)))</f>
        <v/>
      </c>
      <c r="AB119" s="10">
        <f>IF($Y119="","",SUMPRODUCT(($D119:$W119=$D$2:$W$2)*($D119:$W119&lt;&gt;"")*$D$3:$W$3*($D$4:$W$4=AB$6)))</f>
        <v/>
      </c>
    </row>
    <row r="120">
      <c r="A120" s="5" t="n">
        <v>114</v>
      </c>
      <c r="B120" s="5">
        <f>IF('학생명단'!B120="","",'학생명단'!B120)</f>
        <v/>
      </c>
      <c r="C120" s="17">
        <f>IF('학생명단'!C120="","",'학생명단'!C120)</f>
        <v/>
      </c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10">
        <f>IF(COUNTA(D120:W120)=0,"",SUMPRODUCT((D120:W120=$D$2:$W$2)*(D120:W120&lt;&gt;"")))</f>
        <v/>
      </c>
      <c r="Y120" s="27">
        <f>IF(COUNTA(D120:W120)=0,"",SUMPRODUCT((D120:W120=$D$2:$W$2)*(D120:W120&lt;&gt;"")*$D$3:$W$3))</f>
        <v/>
      </c>
      <c r="Z120" s="10">
        <f>IF($Y120="","",SUMPRODUCT(($D120:$W120=$D$2:$W$2)*($D120:$W120&lt;&gt;"")*$D$3:$W$3*($D$4:$W$4=Z$6)))</f>
        <v/>
      </c>
      <c r="AA120" s="10">
        <f>IF($Y120="","",SUMPRODUCT(($D120:$W120=$D$2:$W$2)*($D120:$W120&lt;&gt;"")*$D$3:$W$3*($D$4:$W$4=AA$6)))</f>
        <v/>
      </c>
      <c r="AB120" s="10">
        <f>IF($Y120="","",SUMPRODUCT(($D120:$W120=$D$2:$W$2)*($D120:$W120&lt;&gt;"")*$D$3:$W$3*($D$4:$W$4=AB$6)))</f>
        <v/>
      </c>
    </row>
    <row r="121">
      <c r="A121" s="5" t="n">
        <v>115</v>
      </c>
      <c r="B121" s="5">
        <f>IF('학생명단'!B121="","",'학생명단'!B121)</f>
        <v/>
      </c>
      <c r="C121" s="17">
        <f>IF('학생명단'!C121="","",'학생명단'!C121)</f>
        <v/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10">
        <f>IF(COUNTA(D121:W121)=0,"",SUMPRODUCT((D121:W121=$D$2:$W$2)*(D121:W121&lt;&gt;"")))</f>
        <v/>
      </c>
      <c r="Y121" s="27">
        <f>IF(COUNTA(D121:W121)=0,"",SUMPRODUCT((D121:W121=$D$2:$W$2)*(D121:W121&lt;&gt;"")*$D$3:$W$3))</f>
        <v/>
      </c>
      <c r="Z121" s="10">
        <f>IF($Y121="","",SUMPRODUCT(($D121:$W121=$D$2:$W$2)*($D121:$W121&lt;&gt;"")*$D$3:$W$3*($D$4:$W$4=Z$6)))</f>
        <v/>
      </c>
      <c r="AA121" s="10">
        <f>IF($Y121="","",SUMPRODUCT(($D121:$W121=$D$2:$W$2)*($D121:$W121&lt;&gt;"")*$D$3:$W$3*($D$4:$W$4=AA$6)))</f>
        <v/>
      </c>
      <c r="AB121" s="10">
        <f>IF($Y121="","",SUMPRODUCT(($D121:$W121=$D$2:$W$2)*($D121:$W121&lt;&gt;"")*$D$3:$W$3*($D$4:$W$4=AB$6)))</f>
        <v/>
      </c>
    </row>
    <row r="122">
      <c r="A122" s="5" t="n">
        <v>116</v>
      </c>
      <c r="B122" s="5">
        <f>IF('학생명단'!B122="","",'학생명단'!B122)</f>
        <v/>
      </c>
      <c r="C122" s="17">
        <f>IF('학생명단'!C122="","",'학생명단'!C122)</f>
        <v/>
      </c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10">
        <f>IF(COUNTA(D122:W122)=0,"",SUMPRODUCT((D122:W122=$D$2:$W$2)*(D122:W122&lt;&gt;"")))</f>
        <v/>
      </c>
      <c r="Y122" s="27">
        <f>IF(COUNTA(D122:W122)=0,"",SUMPRODUCT((D122:W122=$D$2:$W$2)*(D122:W122&lt;&gt;"")*$D$3:$W$3))</f>
        <v/>
      </c>
      <c r="Z122" s="10">
        <f>IF($Y122="","",SUMPRODUCT(($D122:$W122=$D$2:$W$2)*($D122:$W122&lt;&gt;"")*$D$3:$W$3*($D$4:$W$4=Z$6)))</f>
        <v/>
      </c>
      <c r="AA122" s="10">
        <f>IF($Y122="","",SUMPRODUCT(($D122:$W122=$D$2:$W$2)*($D122:$W122&lt;&gt;"")*$D$3:$W$3*($D$4:$W$4=AA$6)))</f>
        <v/>
      </c>
      <c r="AB122" s="10">
        <f>IF($Y122="","",SUMPRODUCT(($D122:$W122=$D$2:$W$2)*($D122:$W122&lt;&gt;"")*$D$3:$W$3*($D$4:$W$4=AB$6)))</f>
        <v/>
      </c>
    </row>
    <row r="123">
      <c r="A123" s="5" t="n">
        <v>117</v>
      </c>
      <c r="B123" s="5">
        <f>IF('학생명단'!B123="","",'학생명단'!B123)</f>
        <v/>
      </c>
      <c r="C123" s="17">
        <f>IF('학생명단'!C123="","",'학생명단'!C123)</f>
        <v/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10">
        <f>IF(COUNTA(D123:W123)=0,"",SUMPRODUCT((D123:W123=$D$2:$W$2)*(D123:W123&lt;&gt;"")))</f>
        <v/>
      </c>
      <c r="Y123" s="27">
        <f>IF(COUNTA(D123:W123)=0,"",SUMPRODUCT((D123:W123=$D$2:$W$2)*(D123:W123&lt;&gt;"")*$D$3:$W$3))</f>
        <v/>
      </c>
      <c r="Z123" s="10">
        <f>IF($Y123="","",SUMPRODUCT(($D123:$W123=$D$2:$W$2)*($D123:$W123&lt;&gt;"")*$D$3:$W$3*($D$4:$W$4=Z$6)))</f>
        <v/>
      </c>
      <c r="AA123" s="10">
        <f>IF($Y123="","",SUMPRODUCT(($D123:$W123=$D$2:$W$2)*($D123:$W123&lt;&gt;"")*$D$3:$W$3*($D$4:$W$4=AA$6)))</f>
        <v/>
      </c>
      <c r="AB123" s="10">
        <f>IF($Y123="","",SUMPRODUCT(($D123:$W123=$D$2:$W$2)*($D123:$W123&lt;&gt;"")*$D$3:$W$3*($D$4:$W$4=AB$6)))</f>
        <v/>
      </c>
    </row>
    <row r="124">
      <c r="A124" s="5" t="n">
        <v>118</v>
      </c>
      <c r="B124" s="5">
        <f>IF('학생명단'!B124="","",'학생명단'!B124)</f>
        <v/>
      </c>
      <c r="C124" s="17">
        <f>IF('학생명단'!C124="","",'학생명단'!C124)</f>
        <v/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10">
        <f>IF(COUNTA(D124:W124)=0,"",SUMPRODUCT((D124:W124=$D$2:$W$2)*(D124:W124&lt;&gt;"")))</f>
        <v/>
      </c>
      <c r="Y124" s="27">
        <f>IF(COUNTA(D124:W124)=0,"",SUMPRODUCT((D124:W124=$D$2:$W$2)*(D124:W124&lt;&gt;"")*$D$3:$W$3))</f>
        <v/>
      </c>
      <c r="Z124" s="10">
        <f>IF($Y124="","",SUMPRODUCT(($D124:$W124=$D$2:$W$2)*($D124:$W124&lt;&gt;"")*$D$3:$W$3*($D$4:$W$4=Z$6)))</f>
        <v/>
      </c>
      <c r="AA124" s="10">
        <f>IF($Y124="","",SUMPRODUCT(($D124:$W124=$D$2:$W$2)*($D124:$W124&lt;&gt;"")*$D$3:$W$3*($D$4:$W$4=AA$6)))</f>
        <v/>
      </c>
      <c r="AB124" s="10">
        <f>IF($Y124="","",SUMPRODUCT(($D124:$W124=$D$2:$W$2)*($D124:$W124&lt;&gt;"")*$D$3:$W$3*($D$4:$W$4=AB$6)))</f>
        <v/>
      </c>
    </row>
    <row r="125">
      <c r="A125" s="5" t="n">
        <v>119</v>
      </c>
      <c r="B125" s="5">
        <f>IF('학생명단'!B125="","",'학생명단'!B125)</f>
        <v/>
      </c>
      <c r="C125" s="17">
        <f>IF('학생명단'!C125="","",'학생명단'!C125)</f>
        <v/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10">
        <f>IF(COUNTA(D125:W125)=0,"",SUMPRODUCT((D125:W125=$D$2:$W$2)*(D125:W125&lt;&gt;"")))</f>
        <v/>
      </c>
      <c r="Y125" s="27">
        <f>IF(COUNTA(D125:W125)=0,"",SUMPRODUCT((D125:W125=$D$2:$W$2)*(D125:W125&lt;&gt;"")*$D$3:$W$3))</f>
        <v/>
      </c>
      <c r="Z125" s="10">
        <f>IF($Y125="","",SUMPRODUCT(($D125:$W125=$D$2:$W$2)*($D125:$W125&lt;&gt;"")*$D$3:$W$3*($D$4:$W$4=Z$6)))</f>
        <v/>
      </c>
      <c r="AA125" s="10">
        <f>IF($Y125="","",SUMPRODUCT(($D125:$W125=$D$2:$W$2)*($D125:$W125&lt;&gt;"")*$D$3:$W$3*($D$4:$W$4=AA$6)))</f>
        <v/>
      </c>
      <c r="AB125" s="10">
        <f>IF($Y125="","",SUMPRODUCT(($D125:$W125=$D$2:$W$2)*($D125:$W125&lt;&gt;"")*$D$3:$W$3*($D$4:$W$4=AB$6)))</f>
        <v/>
      </c>
    </row>
    <row r="126">
      <c r="A126" s="5" t="n">
        <v>120</v>
      </c>
      <c r="B126" s="5">
        <f>IF('학생명단'!B126="","",'학생명단'!B126)</f>
        <v/>
      </c>
      <c r="C126" s="17">
        <f>IF('학생명단'!C126="","",'학생명단'!C126)</f>
        <v/>
      </c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10">
        <f>IF(COUNTA(D126:W126)=0,"",SUMPRODUCT((D126:W126=$D$2:$W$2)*(D126:W126&lt;&gt;"")))</f>
        <v/>
      </c>
      <c r="Y126" s="27">
        <f>IF(COUNTA(D126:W126)=0,"",SUMPRODUCT((D126:W126=$D$2:$W$2)*(D126:W126&lt;&gt;"")*$D$3:$W$3))</f>
        <v/>
      </c>
      <c r="Z126" s="10">
        <f>IF($Y126="","",SUMPRODUCT(($D126:$W126=$D$2:$W$2)*($D126:$W126&lt;&gt;"")*$D$3:$W$3*($D$4:$W$4=Z$6)))</f>
        <v/>
      </c>
      <c r="AA126" s="10">
        <f>IF($Y126="","",SUMPRODUCT(($D126:$W126=$D$2:$W$2)*($D126:$W126&lt;&gt;"")*$D$3:$W$3*($D$4:$W$4=AA$6)))</f>
        <v/>
      </c>
      <c r="AB126" s="10">
        <f>IF($Y126="","",SUMPRODUCT(($D126:$W126=$D$2:$W$2)*($D126:$W126&lt;&gt;"")*$D$3:$W$3*($D$4:$W$4=AB$6)))</f>
        <v/>
      </c>
    </row>
    <row r="127">
      <c r="A127" s="5" t="n">
        <v>121</v>
      </c>
      <c r="B127" s="5">
        <f>IF('학생명단'!B127="","",'학생명단'!B127)</f>
        <v/>
      </c>
      <c r="C127" s="17">
        <f>IF('학생명단'!C127="","",'학생명단'!C127)</f>
        <v/>
      </c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10">
        <f>IF(COUNTA(D127:W127)=0,"",SUMPRODUCT((D127:W127=$D$2:$W$2)*(D127:W127&lt;&gt;"")))</f>
        <v/>
      </c>
      <c r="Y127" s="27">
        <f>IF(COUNTA(D127:W127)=0,"",SUMPRODUCT((D127:W127=$D$2:$W$2)*(D127:W127&lt;&gt;"")*$D$3:$W$3))</f>
        <v/>
      </c>
      <c r="Z127" s="10">
        <f>IF($Y127="","",SUMPRODUCT(($D127:$W127=$D$2:$W$2)*($D127:$W127&lt;&gt;"")*$D$3:$W$3*($D$4:$W$4=Z$6)))</f>
        <v/>
      </c>
      <c r="AA127" s="10">
        <f>IF($Y127="","",SUMPRODUCT(($D127:$W127=$D$2:$W$2)*($D127:$W127&lt;&gt;"")*$D$3:$W$3*($D$4:$W$4=AA$6)))</f>
        <v/>
      </c>
      <c r="AB127" s="10">
        <f>IF($Y127="","",SUMPRODUCT(($D127:$W127=$D$2:$W$2)*($D127:$W127&lt;&gt;"")*$D$3:$W$3*($D$4:$W$4=AB$6)))</f>
        <v/>
      </c>
    </row>
    <row r="128">
      <c r="A128" s="5" t="n">
        <v>122</v>
      </c>
      <c r="B128" s="5">
        <f>IF('학생명단'!B128="","",'학생명단'!B128)</f>
        <v/>
      </c>
      <c r="C128" s="17">
        <f>IF('학생명단'!C128="","",'학생명단'!C128)</f>
        <v/>
      </c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10">
        <f>IF(COUNTA(D128:W128)=0,"",SUMPRODUCT((D128:W128=$D$2:$W$2)*(D128:W128&lt;&gt;"")))</f>
        <v/>
      </c>
      <c r="Y128" s="27">
        <f>IF(COUNTA(D128:W128)=0,"",SUMPRODUCT((D128:W128=$D$2:$W$2)*(D128:W128&lt;&gt;"")*$D$3:$W$3))</f>
        <v/>
      </c>
      <c r="Z128" s="10">
        <f>IF($Y128="","",SUMPRODUCT(($D128:$W128=$D$2:$W$2)*($D128:$W128&lt;&gt;"")*$D$3:$W$3*($D$4:$W$4=Z$6)))</f>
        <v/>
      </c>
      <c r="AA128" s="10">
        <f>IF($Y128="","",SUMPRODUCT(($D128:$W128=$D$2:$W$2)*($D128:$W128&lt;&gt;"")*$D$3:$W$3*($D$4:$W$4=AA$6)))</f>
        <v/>
      </c>
      <c r="AB128" s="10">
        <f>IF($Y128="","",SUMPRODUCT(($D128:$W128=$D$2:$W$2)*($D128:$W128&lt;&gt;"")*$D$3:$W$3*($D$4:$W$4=AB$6)))</f>
        <v/>
      </c>
    </row>
    <row r="129">
      <c r="A129" s="5" t="n">
        <v>123</v>
      </c>
      <c r="B129" s="5">
        <f>IF('학생명단'!B129="","",'학생명단'!B129)</f>
        <v/>
      </c>
      <c r="C129" s="17">
        <f>IF('학생명단'!C129="","",'학생명단'!C129)</f>
        <v/>
      </c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10">
        <f>IF(COUNTA(D129:W129)=0,"",SUMPRODUCT((D129:W129=$D$2:$W$2)*(D129:W129&lt;&gt;"")))</f>
        <v/>
      </c>
      <c r="Y129" s="27">
        <f>IF(COUNTA(D129:W129)=0,"",SUMPRODUCT((D129:W129=$D$2:$W$2)*(D129:W129&lt;&gt;"")*$D$3:$W$3))</f>
        <v/>
      </c>
      <c r="Z129" s="10">
        <f>IF($Y129="","",SUMPRODUCT(($D129:$W129=$D$2:$W$2)*($D129:$W129&lt;&gt;"")*$D$3:$W$3*($D$4:$W$4=Z$6)))</f>
        <v/>
      </c>
      <c r="AA129" s="10">
        <f>IF($Y129="","",SUMPRODUCT(($D129:$W129=$D$2:$W$2)*($D129:$W129&lt;&gt;"")*$D$3:$W$3*($D$4:$W$4=AA$6)))</f>
        <v/>
      </c>
      <c r="AB129" s="10">
        <f>IF($Y129="","",SUMPRODUCT(($D129:$W129=$D$2:$W$2)*($D129:$W129&lt;&gt;"")*$D$3:$W$3*($D$4:$W$4=AB$6)))</f>
        <v/>
      </c>
    </row>
    <row r="130">
      <c r="A130" s="5" t="n">
        <v>124</v>
      </c>
      <c r="B130" s="5">
        <f>IF('학생명단'!B130="","",'학생명단'!B130)</f>
        <v/>
      </c>
      <c r="C130" s="17">
        <f>IF('학생명단'!C130="","",'학생명단'!C130)</f>
        <v/>
      </c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10">
        <f>IF(COUNTA(D130:W130)=0,"",SUMPRODUCT((D130:W130=$D$2:$W$2)*(D130:W130&lt;&gt;"")))</f>
        <v/>
      </c>
      <c r="Y130" s="27">
        <f>IF(COUNTA(D130:W130)=0,"",SUMPRODUCT((D130:W130=$D$2:$W$2)*(D130:W130&lt;&gt;"")*$D$3:$W$3))</f>
        <v/>
      </c>
      <c r="Z130" s="10">
        <f>IF($Y130="","",SUMPRODUCT(($D130:$W130=$D$2:$W$2)*($D130:$W130&lt;&gt;"")*$D$3:$W$3*($D$4:$W$4=Z$6)))</f>
        <v/>
      </c>
      <c r="AA130" s="10">
        <f>IF($Y130="","",SUMPRODUCT(($D130:$W130=$D$2:$W$2)*($D130:$W130&lt;&gt;"")*$D$3:$W$3*($D$4:$W$4=AA$6)))</f>
        <v/>
      </c>
      <c r="AB130" s="10">
        <f>IF($Y130="","",SUMPRODUCT(($D130:$W130=$D$2:$W$2)*($D130:$W130&lt;&gt;"")*$D$3:$W$3*($D$4:$W$4=AB$6)))</f>
        <v/>
      </c>
    </row>
    <row r="131">
      <c r="A131" s="5" t="n">
        <v>125</v>
      </c>
      <c r="B131" s="5">
        <f>IF('학생명단'!B131="","",'학생명단'!B131)</f>
        <v/>
      </c>
      <c r="C131" s="17">
        <f>IF('학생명단'!C131="","",'학생명단'!C131)</f>
        <v/>
      </c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10">
        <f>IF(COUNTA(D131:W131)=0,"",SUMPRODUCT((D131:W131=$D$2:$W$2)*(D131:W131&lt;&gt;"")))</f>
        <v/>
      </c>
      <c r="Y131" s="27">
        <f>IF(COUNTA(D131:W131)=0,"",SUMPRODUCT((D131:W131=$D$2:$W$2)*(D131:W131&lt;&gt;"")*$D$3:$W$3))</f>
        <v/>
      </c>
      <c r="Z131" s="10">
        <f>IF($Y131="","",SUMPRODUCT(($D131:$W131=$D$2:$W$2)*($D131:$W131&lt;&gt;"")*$D$3:$W$3*($D$4:$W$4=Z$6)))</f>
        <v/>
      </c>
      <c r="AA131" s="10">
        <f>IF($Y131="","",SUMPRODUCT(($D131:$W131=$D$2:$W$2)*($D131:$W131&lt;&gt;"")*$D$3:$W$3*($D$4:$W$4=AA$6)))</f>
        <v/>
      </c>
      <c r="AB131" s="10">
        <f>IF($Y131="","",SUMPRODUCT(($D131:$W131=$D$2:$W$2)*($D131:$W131&lt;&gt;"")*$D$3:$W$3*($D$4:$W$4=AB$6)))</f>
        <v/>
      </c>
    </row>
    <row r="132">
      <c r="A132" s="5" t="n">
        <v>126</v>
      </c>
      <c r="B132" s="5">
        <f>IF('학생명단'!B132="","",'학생명단'!B132)</f>
        <v/>
      </c>
      <c r="C132" s="17">
        <f>IF('학생명단'!C132="","",'학생명단'!C132)</f>
        <v/>
      </c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10">
        <f>IF(COUNTA(D132:W132)=0,"",SUMPRODUCT((D132:W132=$D$2:$W$2)*(D132:W132&lt;&gt;"")))</f>
        <v/>
      </c>
      <c r="Y132" s="27">
        <f>IF(COUNTA(D132:W132)=0,"",SUMPRODUCT((D132:W132=$D$2:$W$2)*(D132:W132&lt;&gt;"")*$D$3:$W$3))</f>
        <v/>
      </c>
      <c r="Z132" s="10">
        <f>IF($Y132="","",SUMPRODUCT(($D132:$W132=$D$2:$W$2)*($D132:$W132&lt;&gt;"")*$D$3:$W$3*($D$4:$W$4=Z$6)))</f>
        <v/>
      </c>
      <c r="AA132" s="10">
        <f>IF($Y132="","",SUMPRODUCT(($D132:$W132=$D$2:$W$2)*($D132:$W132&lt;&gt;"")*$D$3:$W$3*($D$4:$W$4=AA$6)))</f>
        <v/>
      </c>
      <c r="AB132" s="10">
        <f>IF($Y132="","",SUMPRODUCT(($D132:$W132=$D$2:$W$2)*($D132:$W132&lt;&gt;"")*$D$3:$W$3*($D$4:$W$4=AB$6)))</f>
        <v/>
      </c>
    </row>
    <row r="133">
      <c r="A133" s="5" t="n">
        <v>127</v>
      </c>
      <c r="B133" s="5">
        <f>IF('학생명단'!B133="","",'학생명단'!B133)</f>
        <v/>
      </c>
      <c r="C133" s="17">
        <f>IF('학생명단'!C133="","",'학생명단'!C133)</f>
        <v/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10">
        <f>IF(COUNTA(D133:W133)=0,"",SUMPRODUCT((D133:W133=$D$2:$W$2)*(D133:W133&lt;&gt;"")))</f>
        <v/>
      </c>
      <c r="Y133" s="27">
        <f>IF(COUNTA(D133:W133)=0,"",SUMPRODUCT((D133:W133=$D$2:$W$2)*(D133:W133&lt;&gt;"")*$D$3:$W$3))</f>
        <v/>
      </c>
      <c r="Z133" s="10">
        <f>IF($Y133="","",SUMPRODUCT(($D133:$W133=$D$2:$W$2)*($D133:$W133&lt;&gt;"")*$D$3:$W$3*($D$4:$W$4=Z$6)))</f>
        <v/>
      </c>
      <c r="AA133" s="10">
        <f>IF($Y133="","",SUMPRODUCT(($D133:$W133=$D$2:$W$2)*($D133:$W133&lt;&gt;"")*$D$3:$W$3*($D$4:$W$4=AA$6)))</f>
        <v/>
      </c>
      <c r="AB133" s="10">
        <f>IF($Y133="","",SUMPRODUCT(($D133:$W133=$D$2:$W$2)*($D133:$W133&lt;&gt;"")*$D$3:$W$3*($D$4:$W$4=AB$6)))</f>
        <v/>
      </c>
    </row>
    <row r="134">
      <c r="A134" s="5" t="n">
        <v>128</v>
      </c>
      <c r="B134" s="5">
        <f>IF('학생명단'!B134="","",'학생명단'!B134)</f>
        <v/>
      </c>
      <c r="C134" s="17">
        <f>IF('학생명단'!C134="","",'학생명단'!C134)</f>
        <v/>
      </c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10">
        <f>IF(COUNTA(D134:W134)=0,"",SUMPRODUCT((D134:W134=$D$2:$W$2)*(D134:W134&lt;&gt;"")))</f>
        <v/>
      </c>
      <c r="Y134" s="27">
        <f>IF(COUNTA(D134:W134)=0,"",SUMPRODUCT((D134:W134=$D$2:$W$2)*(D134:W134&lt;&gt;"")*$D$3:$W$3))</f>
        <v/>
      </c>
      <c r="Z134" s="10">
        <f>IF($Y134="","",SUMPRODUCT(($D134:$W134=$D$2:$W$2)*($D134:$W134&lt;&gt;"")*$D$3:$W$3*($D$4:$W$4=Z$6)))</f>
        <v/>
      </c>
      <c r="AA134" s="10">
        <f>IF($Y134="","",SUMPRODUCT(($D134:$W134=$D$2:$W$2)*($D134:$W134&lt;&gt;"")*$D$3:$W$3*($D$4:$W$4=AA$6)))</f>
        <v/>
      </c>
      <c r="AB134" s="10">
        <f>IF($Y134="","",SUMPRODUCT(($D134:$W134=$D$2:$W$2)*($D134:$W134&lt;&gt;"")*$D$3:$W$3*($D$4:$W$4=AB$6)))</f>
        <v/>
      </c>
    </row>
    <row r="135">
      <c r="A135" s="5" t="n">
        <v>129</v>
      </c>
      <c r="B135" s="5">
        <f>IF('학생명단'!B135="","",'학생명단'!B135)</f>
        <v/>
      </c>
      <c r="C135" s="17">
        <f>IF('학생명단'!C135="","",'학생명단'!C135)</f>
        <v/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10">
        <f>IF(COUNTA(D135:W135)=0,"",SUMPRODUCT((D135:W135=$D$2:$W$2)*(D135:W135&lt;&gt;"")))</f>
        <v/>
      </c>
      <c r="Y135" s="27">
        <f>IF(COUNTA(D135:W135)=0,"",SUMPRODUCT((D135:W135=$D$2:$W$2)*(D135:W135&lt;&gt;"")*$D$3:$W$3))</f>
        <v/>
      </c>
      <c r="Z135" s="10">
        <f>IF($Y135="","",SUMPRODUCT(($D135:$W135=$D$2:$W$2)*($D135:$W135&lt;&gt;"")*$D$3:$W$3*($D$4:$W$4=Z$6)))</f>
        <v/>
      </c>
      <c r="AA135" s="10">
        <f>IF($Y135="","",SUMPRODUCT(($D135:$W135=$D$2:$W$2)*($D135:$W135&lt;&gt;"")*$D$3:$W$3*($D$4:$W$4=AA$6)))</f>
        <v/>
      </c>
      <c r="AB135" s="10">
        <f>IF($Y135="","",SUMPRODUCT(($D135:$W135=$D$2:$W$2)*($D135:$W135&lt;&gt;"")*$D$3:$W$3*($D$4:$W$4=AB$6)))</f>
        <v/>
      </c>
    </row>
    <row r="136">
      <c r="A136" s="5" t="n">
        <v>130</v>
      </c>
      <c r="B136" s="5">
        <f>IF('학생명단'!B136="","",'학생명단'!B136)</f>
        <v/>
      </c>
      <c r="C136" s="17">
        <f>IF('학생명단'!C136="","",'학생명단'!C136)</f>
        <v/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10">
        <f>IF(COUNTA(D136:W136)=0,"",SUMPRODUCT((D136:W136=$D$2:$W$2)*(D136:W136&lt;&gt;"")))</f>
        <v/>
      </c>
      <c r="Y136" s="27">
        <f>IF(COUNTA(D136:W136)=0,"",SUMPRODUCT((D136:W136=$D$2:$W$2)*(D136:W136&lt;&gt;"")*$D$3:$W$3))</f>
        <v/>
      </c>
      <c r="Z136" s="10">
        <f>IF($Y136="","",SUMPRODUCT(($D136:$W136=$D$2:$W$2)*($D136:$W136&lt;&gt;"")*$D$3:$W$3*($D$4:$W$4=Z$6)))</f>
        <v/>
      </c>
      <c r="AA136" s="10">
        <f>IF($Y136="","",SUMPRODUCT(($D136:$W136=$D$2:$W$2)*($D136:$W136&lt;&gt;"")*$D$3:$W$3*($D$4:$W$4=AA$6)))</f>
        <v/>
      </c>
      <c r="AB136" s="10">
        <f>IF($Y136="","",SUMPRODUCT(($D136:$W136=$D$2:$W$2)*($D136:$W136&lt;&gt;"")*$D$3:$W$3*($D$4:$W$4=AB$6)))</f>
        <v/>
      </c>
    </row>
    <row r="137">
      <c r="A137" s="5" t="n">
        <v>131</v>
      </c>
      <c r="B137" s="5">
        <f>IF('학생명단'!B137="","",'학생명단'!B137)</f>
        <v/>
      </c>
      <c r="C137" s="17">
        <f>IF('학생명단'!C137="","",'학생명단'!C137)</f>
        <v/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10">
        <f>IF(COUNTA(D137:W137)=0,"",SUMPRODUCT((D137:W137=$D$2:$W$2)*(D137:W137&lt;&gt;"")))</f>
        <v/>
      </c>
      <c r="Y137" s="27">
        <f>IF(COUNTA(D137:W137)=0,"",SUMPRODUCT((D137:W137=$D$2:$W$2)*(D137:W137&lt;&gt;"")*$D$3:$W$3))</f>
        <v/>
      </c>
      <c r="Z137" s="10">
        <f>IF($Y137="","",SUMPRODUCT(($D137:$W137=$D$2:$W$2)*($D137:$W137&lt;&gt;"")*$D$3:$W$3*($D$4:$W$4=Z$6)))</f>
        <v/>
      </c>
      <c r="AA137" s="10">
        <f>IF($Y137="","",SUMPRODUCT(($D137:$W137=$D$2:$W$2)*($D137:$W137&lt;&gt;"")*$D$3:$W$3*($D$4:$W$4=AA$6)))</f>
        <v/>
      </c>
      <c r="AB137" s="10">
        <f>IF($Y137="","",SUMPRODUCT(($D137:$W137=$D$2:$W$2)*($D137:$W137&lt;&gt;"")*$D$3:$W$3*($D$4:$W$4=AB$6)))</f>
        <v/>
      </c>
    </row>
    <row r="138">
      <c r="A138" s="5" t="n">
        <v>132</v>
      </c>
      <c r="B138" s="5">
        <f>IF('학생명단'!B138="","",'학생명단'!B138)</f>
        <v/>
      </c>
      <c r="C138" s="17">
        <f>IF('학생명단'!C138="","",'학생명단'!C138)</f>
        <v/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10">
        <f>IF(COUNTA(D138:W138)=0,"",SUMPRODUCT((D138:W138=$D$2:$W$2)*(D138:W138&lt;&gt;"")))</f>
        <v/>
      </c>
      <c r="Y138" s="27">
        <f>IF(COUNTA(D138:W138)=0,"",SUMPRODUCT((D138:W138=$D$2:$W$2)*(D138:W138&lt;&gt;"")*$D$3:$W$3))</f>
        <v/>
      </c>
      <c r="Z138" s="10">
        <f>IF($Y138="","",SUMPRODUCT(($D138:$W138=$D$2:$W$2)*($D138:$W138&lt;&gt;"")*$D$3:$W$3*($D$4:$W$4=Z$6)))</f>
        <v/>
      </c>
      <c r="AA138" s="10">
        <f>IF($Y138="","",SUMPRODUCT(($D138:$W138=$D$2:$W$2)*($D138:$W138&lt;&gt;"")*$D$3:$W$3*($D$4:$W$4=AA$6)))</f>
        <v/>
      </c>
      <c r="AB138" s="10">
        <f>IF($Y138="","",SUMPRODUCT(($D138:$W138=$D$2:$W$2)*($D138:$W138&lt;&gt;"")*$D$3:$W$3*($D$4:$W$4=AB$6)))</f>
        <v/>
      </c>
    </row>
    <row r="139">
      <c r="A139" s="5" t="n">
        <v>133</v>
      </c>
      <c r="B139" s="5">
        <f>IF('학생명단'!B139="","",'학생명단'!B139)</f>
        <v/>
      </c>
      <c r="C139" s="17">
        <f>IF('학생명단'!C139="","",'학생명단'!C139)</f>
        <v/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10">
        <f>IF(COUNTA(D139:W139)=0,"",SUMPRODUCT((D139:W139=$D$2:$W$2)*(D139:W139&lt;&gt;"")))</f>
        <v/>
      </c>
      <c r="Y139" s="27">
        <f>IF(COUNTA(D139:W139)=0,"",SUMPRODUCT((D139:W139=$D$2:$W$2)*(D139:W139&lt;&gt;"")*$D$3:$W$3))</f>
        <v/>
      </c>
      <c r="Z139" s="10">
        <f>IF($Y139="","",SUMPRODUCT(($D139:$W139=$D$2:$W$2)*($D139:$W139&lt;&gt;"")*$D$3:$W$3*($D$4:$W$4=Z$6)))</f>
        <v/>
      </c>
      <c r="AA139" s="10">
        <f>IF($Y139="","",SUMPRODUCT(($D139:$W139=$D$2:$W$2)*($D139:$W139&lt;&gt;"")*$D$3:$W$3*($D$4:$W$4=AA$6)))</f>
        <v/>
      </c>
      <c r="AB139" s="10">
        <f>IF($Y139="","",SUMPRODUCT(($D139:$W139=$D$2:$W$2)*($D139:$W139&lt;&gt;"")*$D$3:$W$3*($D$4:$W$4=AB$6)))</f>
        <v/>
      </c>
    </row>
    <row r="140">
      <c r="A140" s="5" t="n">
        <v>134</v>
      </c>
      <c r="B140" s="5">
        <f>IF('학생명단'!B140="","",'학생명단'!B140)</f>
        <v/>
      </c>
      <c r="C140" s="17">
        <f>IF('학생명단'!C140="","",'학생명단'!C140)</f>
        <v/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10">
        <f>IF(COUNTA(D140:W140)=0,"",SUMPRODUCT((D140:W140=$D$2:$W$2)*(D140:W140&lt;&gt;"")))</f>
        <v/>
      </c>
      <c r="Y140" s="27">
        <f>IF(COUNTA(D140:W140)=0,"",SUMPRODUCT((D140:W140=$D$2:$W$2)*(D140:W140&lt;&gt;"")*$D$3:$W$3))</f>
        <v/>
      </c>
      <c r="Z140" s="10">
        <f>IF($Y140="","",SUMPRODUCT(($D140:$W140=$D$2:$W$2)*($D140:$W140&lt;&gt;"")*$D$3:$W$3*($D$4:$W$4=Z$6)))</f>
        <v/>
      </c>
      <c r="AA140" s="10">
        <f>IF($Y140="","",SUMPRODUCT(($D140:$W140=$D$2:$W$2)*($D140:$W140&lt;&gt;"")*$D$3:$W$3*($D$4:$W$4=AA$6)))</f>
        <v/>
      </c>
      <c r="AB140" s="10">
        <f>IF($Y140="","",SUMPRODUCT(($D140:$W140=$D$2:$W$2)*($D140:$W140&lt;&gt;"")*$D$3:$W$3*($D$4:$W$4=AB$6)))</f>
        <v/>
      </c>
    </row>
    <row r="141">
      <c r="A141" s="5" t="n">
        <v>135</v>
      </c>
      <c r="B141" s="5">
        <f>IF('학생명단'!B141="","",'학생명단'!B141)</f>
        <v/>
      </c>
      <c r="C141" s="17">
        <f>IF('학생명단'!C141="","",'학생명단'!C141)</f>
        <v/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10">
        <f>IF(COUNTA(D141:W141)=0,"",SUMPRODUCT((D141:W141=$D$2:$W$2)*(D141:W141&lt;&gt;"")))</f>
        <v/>
      </c>
      <c r="Y141" s="27">
        <f>IF(COUNTA(D141:W141)=0,"",SUMPRODUCT((D141:W141=$D$2:$W$2)*(D141:W141&lt;&gt;"")*$D$3:$W$3))</f>
        <v/>
      </c>
      <c r="Z141" s="10">
        <f>IF($Y141="","",SUMPRODUCT(($D141:$W141=$D$2:$W$2)*($D141:$W141&lt;&gt;"")*$D$3:$W$3*($D$4:$W$4=Z$6)))</f>
        <v/>
      </c>
      <c r="AA141" s="10">
        <f>IF($Y141="","",SUMPRODUCT(($D141:$W141=$D$2:$W$2)*($D141:$W141&lt;&gt;"")*$D$3:$W$3*($D$4:$W$4=AA$6)))</f>
        <v/>
      </c>
      <c r="AB141" s="10">
        <f>IF($Y141="","",SUMPRODUCT(($D141:$W141=$D$2:$W$2)*($D141:$W141&lt;&gt;"")*$D$3:$W$3*($D$4:$W$4=AB$6)))</f>
        <v/>
      </c>
    </row>
    <row r="142">
      <c r="A142" s="5" t="n">
        <v>136</v>
      </c>
      <c r="B142" s="5">
        <f>IF('학생명단'!B142="","",'학생명단'!B142)</f>
        <v/>
      </c>
      <c r="C142" s="17">
        <f>IF('학생명단'!C142="","",'학생명단'!C142)</f>
        <v/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10">
        <f>IF(COUNTA(D142:W142)=0,"",SUMPRODUCT((D142:W142=$D$2:$W$2)*(D142:W142&lt;&gt;"")))</f>
        <v/>
      </c>
      <c r="Y142" s="27">
        <f>IF(COUNTA(D142:W142)=0,"",SUMPRODUCT((D142:W142=$D$2:$W$2)*(D142:W142&lt;&gt;"")*$D$3:$W$3))</f>
        <v/>
      </c>
      <c r="Z142" s="10">
        <f>IF($Y142="","",SUMPRODUCT(($D142:$W142=$D$2:$W$2)*($D142:$W142&lt;&gt;"")*$D$3:$W$3*($D$4:$W$4=Z$6)))</f>
        <v/>
      </c>
      <c r="AA142" s="10">
        <f>IF($Y142="","",SUMPRODUCT(($D142:$W142=$D$2:$W$2)*($D142:$W142&lt;&gt;"")*$D$3:$W$3*($D$4:$W$4=AA$6)))</f>
        <v/>
      </c>
      <c r="AB142" s="10">
        <f>IF($Y142="","",SUMPRODUCT(($D142:$W142=$D$2:$W$2)*($D142:$W142&lt;&gt;"")*$D$3:$W$3*($D$4:$W$4=AB$6)))</f>
        <v/>
      </c>
    </row>
    <row r="143">
      <c r="A143" s="5" t="n">
        <v>137</v>
      </c>
      <c r="B143" s="5">
        <f>IF('학생명단'!B143="","",'학생명단'!B143)</f>
        <v/>
      </c>
      <c r="C143" s="17">
        <f>IF('학생명단'!C143="","",'학생명단'!C143)</f>
        <v/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10">
        <f>IF(COUNTA(D143:W143)=0,"",SUMPRODUCT((D143:W143=$D$2:$W$2)*(D143:W143&lt;&gt;"")))</f>
        <v/>
      </c>
      <c r="Y143" s="27">
        <f>IF(COUNTA(D143:W143)=0,"",SUMPRODUCT((D143:W143=$D$2:$W$2)*(D143:W143&lt;&gt;"")*$D$3:$W$3))</f>
        <v/>
      </c>
      <c r="Z143" s="10">
        <f>IF($Y143="","",SUMPRODUCT(($D143:$W143=$D$2:$W$2)*($D143:$W143&lt;&gt;"")*$D$3:$W$3*($D$4:$W$4=Z$6)))</f>
        <v/>
      </c>
      <c r="AA143" s="10">
        <f>IF($Y143="","",SUMPRODUCT(($D143:$W143=$D$2:$W$2)*($D143:$W143&lt;&gt;"")*$D$3:$W$3*($D$4:$W$4=AA$6)))</f>
        <v/>
      </c>
      <c r="AB143" s="10">
        <f>IF($Y143="","",SUMPRODUCT(($D143:$W143=$D$2:$W$2)*($D143:$W143&lt;&gt;"")*$D$3:$W$3*($D$4:$W$4=AB$6)))</f>
        <v/>
      </c>
    </row>
    <row r="144">
      <c r="A144" s="5" t="n">
        <v>138</v>
      </c>
      <c r="B144" s="5">
        <f>IF('학생명단'!B144="","",'학생명단'!B144)</f>
        <v/>
      </c>
      <c r="C144" s="17">
        <f>IF('학생명단'!C144="","",'학생명단'!C144)</f>
        <v/>
      </c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10">
        <f>IF(COUNTA(D144:W144)=0,"",SUMPRODUCT((D144:W144=$D$2:$W$2)*(D144:W144&lt;&gt;"")))</f>
        <v/>
      </c>
      <c r="Y144" s="27">
        <f>IF(COUNTA(D144:W144)=0,"",SUMPRODUCT((D144:W144=$D$2:$W$2)*(D144:W144&lt;&gt;"")*$D$3:$W$3))</f>
        <v/>
      </c>
      <c r="Z144" s="10">
        <f>IF($Y144="","",SUMPRODUCT(($D144:$W144=$D$2:$W$2)*($D144:$W144&lt;&gt;"")*$D$3:$W$3*($D$4:$W$4=Z$6)))</f>
        <v/>
      </c>
      <c r="AA144" s="10">
        <f>IF($Y144="","",SUMPRODUCT(($D144:$W144=$D$2:$W$2)*($D144:$W144&lt;&gt;"")*$D$3:$W$3*($D$4:$W$4=AA$6)))</f>
        <v/>
      </c>
      <c r="AB144" s="10">
        <f>IF($Y144="","",SUMPRODUCT(($D144:$W144=$D$2:$W$2)*($D144:$W144&lt;&gt;"")*$D$3:$W$3*($D$4:$W$4=AB$6)))</f>
        <v/>
      </c>
    </row>
    <row r="145">
      <c r="A145" s="5" t="n">
        <v>139</v>
      </c>
      <c r="B145" s="5">
        <f>IF('학생명단'!B145="","",'학생명단'!B145)</f>
        <v/>
      </c>
      <c r="C145" s="17">
        <f>IF('학생명단'!C145="","",'학생명단'!C145)</f>
        <v/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10">
        <f>IF(COUNTA(D145:W145)=0,"",SUMPRODUCT((D145:W145=$D$2:$W$2)*(D145:W145&lt;&gt;"")))</f>
        <v/>
      </c>
      <c r="Y145" s="27">
        <f>IF(COUNTA(D145:W145)=0,"",SUMPRODUCT((D145:W145=$D$2:$W$2)*(D145:W145&lt;&gt;"")*$D$3:$W$3))</f>
        <v/>
      </c>
      <c r="Z145" s="10">
        <f>IF($Y145="","",SUMPRODUCT(($D145:$W145=$D$2:$W$2)*($D145:$W145&lt;&gt;"")*$D$3:$W$3*($D$4:$W$4=Z$6)))</f>
        <v/>
      </c>
      <c r="AA145" s="10">
        <f>IF($Y145="","",SUMPRODUCT(($D145:$W145=$D$2:$W$2)*($D145:$W145&lt;&gt;"")*$D$3:$W$3*($D$4:$W$4=AA$6)))</f>
        <v/>
      </c>
      <c r="AB145" s="10">
        <f>IF($Y145="","",SUMPRODUCT(($D145:$W145=$D$2:$W$2)*($D145:$W145&lt;&gt;"")*$D$3:$W$3*($D$4:$W$4=AB$6)))</f>
        <v/>
      </c>
    </row>
    <row r="146">
      <c r="A146" s="5" t="n">
        <v>140</v>
      </c>
      <c r="B146" s="5">
        <f>IF('학생명단'!B146="","",'학생명단'!B146)</f>
        <v/>
      </c>
      <c r="C146" s="17">
        <f>IF('학생명단'!C146="","",'학생명단'!C146)</f>
        <v/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10">
        <f>IF(COUNTA(D146:W146)=0,"",SUMPRODUCT((D146:W146=$D$2:$W$2)*(D146:W146&lt;&gt;"")))</f>
        <v/>
      </c>
      <c r="Y146" s="27">
        <f>IF(COUNTA(D146:W146)=0,"",SUMPRODUCT((D146:W146=$D$2:$W$2)*(D146:W146&lt;&gt;"")*$D$3:$W$3))</f>
        <v/>
      </c>
      <c r="Z146" s="10">
        <f>IF($Y146="","",SUMPRODUCT(($D146:$W146=$D$2:$W$2)*($D146:$W146&lt;&gt;"")*$D$3:$W$3*($D$4:$W$4=Z$6)))</f>
        <v/>
      </c>
      <c r="AA146" s="10">
        <f>IF($Y146="","",SUMPRODUCT(($D146:$W146=$D$2:$W$2)*($D146:$W146&lt;&gt;"")*$D$3:$W$3*($D$4:$W$4=AA$6)))</f>
        <v/>
      </c>
      <c r="AB146" s="10">
        <f>IF($Y146="","",SUMPRODUCT(($D146:$W146=$D$2:$W$2)*($D146:$W146&lt;&gt;"")*$D$3:$W$3*($D$4:$W$4=AB$6)))</f>
        <v/>
      </c>
    </row>
    <row r="147">
      <c r="A147" s="5" t="n">
        <v>141</v>
      </c>
      <c r="B147" s="5">
        <f>IF('학생명단'!B147="","",'학생명단'!B147)</f>
        <v/>
      </c>
      <c r="C147" s="17">
        <f>IF('학생명단'!C147="","",'학생명단'!C147)</f>
        <v/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10">
        <f>IF(COUNTA(D147:W147)=0,"",SUMPRODUCT((D147:W147=$D$2:$W$2)*(D147:W147&lt;&gt;"")))</f>
        <v/>
      </c>
      <c r="Y147" s="27">
        <f>IF(COUNTA(D147:W147)=0,"",SUMPRODUCT((D147:W147=$D$2:$W$2)*(D147:W147&lt;&gt;"")*$D$3:$W$3))</f>
        <v/>
      </c>
      <c r="Z147" s="10">
        <f>IF($Y147="","",SUMPRODUCT(($D147:$W147=$D$2:$W$2)*($D147:$W147&lt;&gt;"")*$D$3:$W$3*($D$4:$W$4=Z$6)))</f>
        <v/>
      </c>
      <c r="AA147" s="10">
        <f>IF($Y147="","",SUMPRODUCT(($D147:$W147=$D$2:$W$2)*($D147:$W147&lt;&gt;"")*$D$3:$W$3*($D$4:$W$4=AA$6)))</f>
        <v/>
      </c>
      <c r="AB147" s="10">
        <f>IF($Y147="","",SUMPRODUCT(($D147:$W147=$D$2:$W$2)*($D147:$W147&lt;&gt;"")*$D$3:$W$3*($D$4:$W$4=AB$6)))</f>
        <v/>
      </c>
    </row>
    <row r="148">
      <c r="A148" s="5" t="n">
        <v>142</v>
      </c>
      <c r="B148" s="5">
        <f>IF('학생명단'!B148="","",'학생명단'!B148)</f>
        <v/>
      </c>
      <c r="C148" s="17">
        <f>IF('학생명단'!C148="","",'학생명단'!C148)</f>
        <v/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10">
        <f>IF(COUNTA(D148:W148)=0,"",SUMPRODUCT((D148:W148=$D$2:$W$2)*(D148:W148&lt;&gt;"")))</f>
        <v/>
      </c>
      <c r="Y148" s="27">
        <f>IF(COUNTA(D148:W148)=0,"",SUMPRODUCT((D148:W148=$D$2:$W$2)*(D148:W148&lt;&gt;"")*$D$3:$W$3))</f>
        <v/>
      </c>
      <c r="Z148" s="10">
        <f>IF($Y148="","",SUMPRODUCT(($D148:$W148=$D$2:$W$2)*($D148:$W148&lt;&gt;"")*$D$3:$W$3*($D$4:$W$4=Z$6)))</f>
        <v/>
      </c>
      <c r="AA148" s="10">
        <f>IF($Y148="","",SUMPRODUCT(($D148:$W148=$D$2:$W$2)*($D148:$W148&lt;&gt;"")*$D$3:$W$3*($D$4:$W$4=AA$6)))</f>
        <v/>
      </c>
      <c r="AB148" s="10">
        <f>IF($Y148="","",SUMPRODUCT(($D148:$W148=$D$2:$W$2)*($D148:$W148&lt;&gt;"")*$D$3:$W$3*($D$4:$W$4=AB$6)))</f>
        <v/>
      </c>
    </row>
    <row r="149">
      <c r="A149" s="5" t="n">
        <v>143</v>
      </c>
      <c r="B149" s="5">
        <f>IF('학생명단'!B149="","",'학생명단'!B149)</f>
        <v/>
      </c>
      <c r="C149" s="17">
        <f>IF('학생명단'!C149="","",'학생명단'!C149)</f>
        <v/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10">
        <f>IF(COUNTA(D149:W149)=0,"",SUMPRODUCT((D149:W149=$D$2:$W$2)*(D149:W149&lt;&gt;"")))</f>
        <v/>
      </c>
      <c r="Y149" s="27">
        <f>IF(COUNTA(D149:W149)=0,"",SUMPRODUCT((D149:W149=$D$2:$W$2)*(D149:W149&lt;&gt;"")*$D$3:$W$3))</f>
        <v/>
      </c>
      <c r="Z149" s="10">
        <f>IF($Y149="","",SUMPRODUCT(($D149:$W149=$D$2:$W$2)*($D149:$W149&lt;&gt;"")*$D$3:$W$3*($D$4:$W$4=Z$6)))</f>
        <v/>
      </c>
      <c r="AA149" s="10">
        <f>IF($Y149="","",SUMPRODUCT(($D149:$W149=$D$2:$W$2)*($D149:$W149&lt;&gt;"")*$D$3:$W$3*($D$4:$W$4=AA$6)))</f>
        <v/>
      </c>
      <c r="AB149" s="10">
        <f>IF($Y149="","",SUMPRODUCT(($D149:$W149=$D$2:$W$2)*($D149:$W149&lt;&gt;"")*$D$3:$W$3*($D$4:$W$4=AB$6)))</f>
        <v/>
      </c>
    </row>
    <row r="150">
      <c r="A150" s="5" t="n">
        <v>144</v>
      </c>
      <c r="B150" s="5">
        <f>IF('학생명단'!B150="","",'학생명단'!B150)</f>
        <v/>
      </c>
      <c r="C150" s="17">
        <f>IF('학생명단'!C150="","",'학생명단'!C150)</f>
        <v/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10">
        <f>IF(COUNTA(D150:W150)=0,"",SUMPRODUCT((D150:W150=$D$2:$W$2)*(D150:W150&lt;&gt;"")))</f>
        <v/>
      </c>
      <c r="Y150" s="27">
        <f>IF(COUNTA(D150:W150)=0,"",SUMPRODUCT((D150:W150=$D$2:$W$2)*(D150:W150&lt;&gt;"")*$D$3:$W$3))</f>
        <v/>
      </c>
      <c r="Z150" s="10">
        <f>IF($Y150="","",SUMPRODUCT(($D150:$W150=$D$2:$W$2)*($D150:$W150&lt;&gt;"")*$D$3:$W$3*($D$4:$W$4=Z$6)))</f>
        <v/>
      </c>
      <c r="AA150" s="10">
        <f>IF($Y150="","",SUMPRODUCT(($D150:$W150=$D$2:$W$2)*($D150:$W150&lt;&gt;"")*$D$3:$W$3*($D$4:$W$4=AA$6)))</f>
        <v/>
      </c>
      <c r="AB150" s="10">
        <f>IF($Y150="","",SUMPRODUCT(($D150:$W150=$D$2:$W$2)*($D150:$W150&lt;&gt;"")*$D$3:$W$3*($D$4:$W$4=AB$6)))</f>
        <v/>
      </c>
    </row>
    <row r="151">
      <c r="A151" s="5" t="n">
        <v>145</v>
      </c>
      <c r="B151" s="5">
        <f>IF('학생명단'!B151="","",'학생명단'!B151)</f>
        <v/>
      </c>
      <c r="C151" s="17">
        <f>IF('학생명단'!C151="","",'학생명단'!C151)</f>
        <v/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10">
        <f>IF(COUNTA(D151:W151)=0,"",SUMPRODUCT((D151:W151=$D$2:$W$2)*(D151:W151&lt;&gt;"")))</f>
        <v/>
      </c>
      <c r="Y151" s="27">
        <f>IF(COUNTA(D151:W151)=0,"",SUMPRODUCT((D151:W151=$D$2:$W$2)*(D151:W151&lt;&gt;"")*$D$3:$W$3))</f>
        <v/>
      </c>
      <c r="Z151" s="10">
        <f>IF($Y151="","",SUMPRODUCT(($D151:$W151=$D$2:$W$2)*($D151:$W151&lt;&gt;"")*$D$3:$W$3*($D$4:$W$4=Z$6)))</f>
        <v/>
      </c>
      <c r="AA151" s="10">
        <f>IF($Y151="","",SUMPRODUCT(($D151:$W151=$D$2:$W$2)*($D151:$W151&lt;&gt;"")*$D$3:$W$3*($D$4:$W$4=AA$6)))</f>
        <v/>
      </c>
      <c r="AB151" s="10">
        <f>IF($Y151="","",SUMPRODUCT(($D151:$W151=$D$2:$W$2)*($D151:$W151&lt;&gt;"")*$D$3:$W$3*($D$4:$W$4=AB$6)))</f>
        <v/>
      </c>
    </row>
    <row r="152">
      <c r="A152" s="5" t="n">
        <v>146</v>
      </c>
      <c r="B152" s="5">
        <f>IF('학생명단'!B152="","",'학생명단'!B152)</f>
        <v/>
      </c>
      <c r="C152" s="17">
        <f>IF('학생명단'!C152="","",'학생명단'!C152)</f>
        <v/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10">
        <f>IF(COUNTA(D152:W152)=0,"",SUMPRODUCT((D152:W152=$D$2:$W$2)*(D152:W152&lt;&gt;"")))</f>
        <v/>
      </c>
      <c r="Y152" s="27">
        <f>IF(COUNTA(D152:W152)=0,"",SUMPRODUCT((D152:W152=$D$2:$W$2)*(D152:W152&lt;&gt;"")*$D$3:$W$3))</f>
        <v/>
      </c>
      <c r="Z152" s="10">
        <f>IF($Y152="","",SUMPRODUCT(($D152:$W152=$D$2:$W$2)*($D152:$W152&lt;&gt;"")*$D$3:$W$3*($D$4:$W$4=Z$6)))</f>
        <v/>
      </c>
      <c r="AA152" s="10">
        <f>IF($Y152="","",SUMPRODUCT(($D152:$W152=$D$2:$W$2)*($D152:$W152&lt;&gt;"")*$D$3:$W$3*($D$4:$W$4=AA$6)))</f>
        <v/>
      </c>
      <c r="AB152" s="10">
        <f>IF($Y152="","",SUMPRODUCT(($D152:$W152=$D$2:$W$2)*($D152:$W152&lt;&gt;"")*$D$3:$W$3*($D$4:$W$4=AB$6)))</f>
        <v/>
      </c>
    </row>
    <row r="153">
      <c r="A153" s="5" t="n">
        <v>147</v>
      </c>
      <c r="B153" s="5">
        <f>IF('학생명단'!B153="","",'학생명단'!B153)</f>
        <v/>
      </c>
      <c r="C153" s="17">
        <f>IF('학생명단'!C153="","",'학생명단'!C153)</f>
        <v/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10">
        <f>IF(COUNTA(D153:W153)=0,"",SUMPRODUCT((D153:W153=$D$2:$W$2)*(D153:W153&lt;&gt;"")))</f>
        <v/>
      </c>
      <c r="Y153" s="27">
        <f>IF(COUNTA(D153:W153)=0,"",SUMPRODUCT((D153:W153=$D$2:$W$2)*(D153:W153&lt;&gt;"")*$D$3:$W$3))</f>
        <v/>
      </c>
      <c r="Z153" s="10">
        <f>IF($Y153="","",SUMPRODUCT(($D153:$W153=$D$2:$W$2)*($D153:$W153&lt;&gt;"")*$D$3:$W$3*($D$4:$W$4=Z$6)))</f>
        <v/>
      </c>
      <c r="AA153" s="10">
        <f>IF($Y153="","",SUMPRODUCT(($D153:$W153=$D$2:$W$2)*($D153:$W153&lt;&gt;"")*$D$3:$W$3*($D$4:$W$4=AA$6)))</f>
        <v/>
      </c>
      <c r="AB153" s="10">
        <f>IF($Y153="","",SUMPRODUCT(($D153:$W153=$D$2:$W$2)*($D153:$W153&lt;&gt;"")*$D$3:$W$3*($D$4:$W$4=AB$6)))</f>
        <v/>
      </c>
    </row>
    <row r="154">
      <c r="A154" s="5" t="n">
        <v>148</v>
      </c>
      <c r="B154" s="5">
        <f>IF('학생명단'!B154="","",'학생명단'!B154)</f>
        <v/>
      </c>
      <c r="C154" s="17">
        <f>IF('학생명단'!C154="","",'학생명단'!C154)</f>
        <v/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10">
        <f>IF(COUNTA(D154:W154)=0,"",SUMPRODUCT((D154:W154=$D$2:$W$2)*(D154:W154&lt;&gt;"")))</f>
        <v/>
      </c>
      <c r="Y154" s="27">
        <f>IF(COUNTA(D154:W154)=0,"",SUMPRODUCT((D154:W154=$D$2:$W$2)*(D154:W154&lt;&gt;"")*$D$3:$W$3))</f>
        <v/>
      </c>
      <c r="Z154" s="10">
        <f>IF($Y154="","",SUMPRODUCT(($D154:$W154=$D$2:$W$2)*($D154:$W154&lt;&gt;"")*$D$3:$W$3*($D$4:$W$4=Z$6)))</f>
        <v/>
      </c>
      <c r="AA154" s="10">
        <f>IF($Y154="","",SUMPRODUCT(($D154:$W154=$D$2:$W$2)*($D154:$W154&lt;&gt;"")*$D$3:$W$3*($D$4:$W$4=AA$6)))</f>
        <v/>
      </c>
      <c r="AB154" s="10">
        <f>IF($Y154="","",SUMPRODUCT(($D154:$W154=$D$2:$W$2)*($D154:$W154&lt;&gt;"")*$D$3:$W$3*($D$4:$W$4=AB$6)))</f>
        <v/>
      </c>
    </row>
    <row r="155">
      <c r="A155" s="5" t="n">
        <v>149</v>
      </c>
      <c r="B155" s="5">
        <f>IF('학생명단'!B155="","",'학생명단'!B155)</f>
        <v/>
      </c>
      <c r="C155" s="17">
        <f>IF('학생명단'!C155="","",'학생명단'!C155)</f>
        <v/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10">
        <f>IF(COUNTA(D155:W155)=0,"",SUMPRODUCT((D155:W155=$D$2:$W$2)*(D155:W155&lt;&gt;"")))</f>
        <v/>
      </c>
      <c r="Y155" s="27">
        <f>IF(COUNTA(D155:W155)=0,"",SUMPRODUCT((D155:W155=$D$2:$W$2)*(D155:W155&lt;&gt;"")*$D$3:$W$3))</f>
        <v/>
      </c>
      <c r="Z155" s="10">
        <f>IF($Y155="","",SUMPRODUCT(($D155:$W155=$D$2:$W$2)*($D155:$W155&lt;&gt;"")*$D$3:$W$3*($D$4:$W$4=Z$6)))</f>
        <v/>
      </c>
      <c r="AA155" s="10">
        <f>IF($Y155="","",SUMPRODUCT(($D155:$W155=$D$2:$W$2)*($D155:$W155&lt;&gt;"")*$D$3:$W$3*($D$4:$W$4=AA$6)))</f>
        <v/>
      </c>
      <c r="AB155" s="10">
        <f>IF($Y155="","",SUMPRODUCT(($D155:$W155=$D$2:$W$2)*($D155:$W155&lt;&gt;"")*$D$3:$W$3*($D$4:$W$4=AB$6)))</f>
        <v/>
      </c>
    </row>
    <row r="156">
      <c r="A156" s="5" t="n">
        <v>150</v>
      </c>
      <c r="B156" s="5">
        <f>IF('학생명단'!B156="","",'학생명단'!B156)</f>
        <v/>
      </c>
      <c r="C156" s="17">
        <f>IF('학생명단'!C156="","",'학생명단'!C156)</f>
        <v/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10">
        <f>IF(COUNTA(D156:W156)=0,"",SUMPRODUCT((D156:W156=$D$2:$W$2)*(D156:W156&lt;&gt;"")))</f>
        <v/>
      </c>
      <c r="Y156" s="27">
        <f>IF(COUNTA(D156:W156)=0,"",SUMPRODUCT((D156:W156=$D$2:$W$2)*(D156:W156&lt;&gt;"")*$D$3:$W$3))</f>
        <v/>
      </c>
      <c r="Z156" s="10">
        <f>IF($Y156="","",SUMPRODUCT(($D156:$W156=$D$2:$W$2)*($D156:$W156&lt;&gt;"")*$D$3:$W$3*($D$4:$W$4=Z$6)))</f>
        <v/>
      </c>
      <c r="AA156" s="10">
        <f>IF($Y156="","",SUMPRODUCT(($D156:$W156=$D$2:$W$2)*($D156:$W156&lt;&gt;"")*$D$3:$W$3*($D$4:$W$4=AA$6)))</f>
        <v/>
      </c>
      <c r="AB156" s="10">
        <f>IF($Y156="","",SUMPRODUCT(($D156:$W156=$D$2:$W$2)*($D156:$W156&lt;&gt;"")*$D$3:$W$3*($D$4:$W$4=AB$6)))</f>
        <v/>
      </c>
    </row>
  </sheetData>
  <mergeCells count="6">
    <mergeCell ref="D1:AB1"/>
    <mergeCell ref="A1:C1"/>
    <mergeCell ref="A5:C5"/>
    <mergeCell ref="A3:C3"/>
    <mergeCell ref="A4:C4"/>
    <mergeCell ref="A2:C2"/>
  </mergeCells>
  <conditionalFormatting sqref="D7:W156">
    <cfRule type="expression" priority="1" dxfId="0">
      <formula>AND(D7&lt;&gt;"",D$2&lt;&gt;"",D7&lt;&gt;D$2)</formula>
    </cfRule>
  </conditionalFormatting>
  <conditionalFormatting sqref="D2:W2">
    <cfRule type="expression" priority="2" dxfId="1">
      <formula>D2=""</formula>
    </cfRule>
  </conditionalFormatting>
  <dataValidations count="4">
    <dataValidation sqref="D4:W4" showDropDown="0" showInputMessage="0" showErrorMessage="0" allowBlank="1" type="list">
      <formula1>='설정'!$B$24:$B$26</formula1>
    </dataValidation>
    <dataValidation sqref="D5:W5" showDropDown="0" showInputMessage="0" showErrorMessage="0" allowBlank="1" type="list">
      <formula1>"하,중하,중,중상,상,최상"</formula1>
    </dataValidation>
    <dataValidation sqref="D2 D7:D156 E2 E7:E156 F2 F7:F156 G2 G7:G156 H2 H7:H156 I2 I7:I156 J2 J7:J156 K2 K7:K156 L2 L7:L156 M2 M7:M156 N2 N7:N156 O2 O7:O156 P2 P7:P156 Q2 Q7:Q156" showDropDown="0" showInputMessage="0" showErrorMessage="1" allowBlank="1" errorTitle="입력 오류" error="객관식은 1~5 사이 정수만 입력" type="whole" operator="between">
      <formula1>1</formula1>
      <formula2>5</formula2>
    </dataValidation>
    <dataValidation sqref="R7:R156 S7:S156 T7:T156 U7:U156 V7:V156 W7:W156" showDropDown="0" showInputMessage="0" showErrorMessage="1" allowBlank="1" errorTitle="입력 오류" error="단답형은 맞으면 1, 틀리면 0을 입력" type="whole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9" customWidth="1" min="5" max="5"/>
    <col width="22" customWidth="1" min="6" max="6"/>
    <col width="7" customWidth="1" min="7" max="7"/>
    <col width="7" customWidth="1" min="8" max="8"/>
    <col width="8" customWidth="1" min="9" max="9"/>
    <col width="6" customWidth="1" min="10" max="10"/>
    <col width="10" customWidth="1" min="11" max="11"/>
    <col width="6" customWidth="1" min="12" max="12"/>
    <col width="10" customWidth="1" min="13" max="13"/>
    <col width="10" customWidth="1" min="14" max="14"/>
    <col width="10" customWidth="1" min="15" max="15"/>
    <col width="12" customWidth="1" min="16" max="16"/>
    <col hidden="1" width="13" customWidth="1" min="17" max="17"/>
    <col width="10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26" customHeight="1">
      <c r="A1" s="1" t="inlineStr">
        <is>
          <t>반 배정 (공통수학반 + 선행 과목반)</t>
        </is>
      </c>
    </row>
    <row r="2" ht="30" customHeight="1">
      <c r="A2" s="2" t="inlineStr">
        <is>
          <t>학생마다 2개 반 수강: ① 공통수학반 = 시험 결과 기준 자동배정('설정' ①, 해당 없으면 보류). 노란 칸 '공통수학반'에 적으면 그 반이 우선. ② 선행반 = 학습 진도를 보고 노란 칸 '선행반'에서 1과목 선택('설정' ⑦ 목록). 두 반 모두 학부모 보고서에 들어갑니다. 주황색 행 = 기준 점수 경계.</t>
        </is>
      </c>
    </row>
    <row r="5">
      <c r="S5" s="3" t="inlineStr">
        <is>
          <t>공통수학반별 요약 (최종 기준)</t>
        </is>
      </c>
    </row>
    <row r="6" ht="30" customHeight="1">
      <c r="A6" s="4" t="inlineStr">
        <is>
          <t>No</t>
        </is>
      </c>
      <c r="B6" s="4" t="inlineStr">
        <is>
          <t>이름</t>
        </is>
      </c>
      <c r="C6" s="4" t="inlineStr">
        <is>
          <t>학교</t>
        </is>
      </c>
      <c r="D6" s="4" t="inlineStr">
        <is>
          <t>구분</t>
        </is>
      </c>
      <c r="E6" s="4" t="inlineStr">
        <is>
          <t>기존 반</t>
        </is>
      </c>
      <c r="F6" s="4" t="inlineStr">
        <is>
          <t>학습 진도</t>
        </is>
      </c>
      <c r="G6" s="4" t="inlineStr">
        <is>
          <t>공수1</t>
        </is>
      </c>
      <c r="H6" s="4" t="inlineStr">
        <is>
          <t>공수2</t>
        </is>
      </c>
      <c r="I6" s="4" t="inlineStr">
        <is>
          <t>환산총점</t>
        </is>
      </c>
      <c r="J6" s="4" t="inlineStr">
        <is>
          <t>석차</t>
        </is>
      </c>
      <c r="K6" s="4" t="inlineStr">
        <is>
          <t>자동배정</t>
        </is>
      </c>
      <c r="L6" s="4" t="inlineStr">
        <is>
          <t>경계</t>
        </is>
      </c>
      <c r="M6" s="4" t="inlineStr">
        <is>
          <t>공통수학반
(입력)</t>
        </is>
      </c>
      <c r="N6" s="4" t="inlineStr">
        <is>
          <t>선행반
(입력)</t>
        </is>
      </c>
      <c r="O6" s="4" t="inlineStr">
        <is>
          <t>공통수학반
(최종)</t>
        </is>
      </c>
      <c r="P6" s="4" t="inlineStr">
        <is>
          <t>비고</t>
        </is>
      </c>
      <c r="S6" s="4" t="inlineStr">
        <is>
          <t>반</t>
        </is>
      </c>
      <c r="T6" s="4" t="inlineStr">
        <is>
          <t>자동
인원</t>
        </is>
      </c>
      <c r="U6" s="4" t="inlineStr">
        <is>
          <t>최종
인원</t>
        </is>
      </c>
      <c r="V6" s="4" t="inlineStr">
        <is>
          <t>공수1
평균</t>
        </is>
      </c>
      <c r="W6" s="4" t="inlineStr">
        <is>
          <t>공수2
평균</t>
        </is>
      </c>
      <c r="X6" s="4" t="inlineStr">
        <is>
          <t>재원</t>
        </is>
      </c>
      <c r="Y6" s="4" t="inlineStr">
        <is>
          <t>외부</t>
        </is>
      </c>
    </row>
    <row r="7">
      <c r="A7" s="5" t="n">
        <v>1</v>
      </c>
      <c r="B7" s="10">
        <f>IF('학생명단'!B7="","",'학생명단'!B7)</f>
        <v/>
      </c>
      <c r="C7" s="10">
        <f>IF('학생명단'!C7="","",'학생명단'!C7)</f>
        <v/>
      </c>
      <c r="D7" s="10">
        <f>IF('학생명단'!D7="","",'학생명단'!D7)</f>
        <v/>
      </c>
      <c r="E7" s="10">
        <f>IF('학생명단'!E7="","",'학생명단'!E7)</f>
        <v/>
      </c>
      <c r="F7" s="11">
        <f>IF('학생명단'!F7="","",'학생명단'!F7)</f>
        <v/>
      </c>
      <c r="G7" s="10">
        <f>'공수1'!Y7</f>
        <v/>
      </c>
      <c r="H7" s="10">
        <f>'공수2'!Y7</f>
        <v/>
      </c>
      <c r="I7" s="28">
        <f>IF(AND(G7="",H7=""),"",N(G7)*'설정'!$C$13+N(H7)*'설정'!$C$14)</f>
        <v/>
      </c>
      <c r="J7" s="10">
        <f>IF(I7="","",COUNTIF($I$7:$I$156,"&gt;"&amp;I7)+1)</f>
        <v/>
      </c>
      <c r="K7" s="27">
        <f>IF(I7="","",IF(IF(COUNT('설정'!$C$6:$F$6)=0,AND(G7&lt;&gt;"",H7&lt;&gt;""),OR(AND('설정'!$C$6&lt;&gt;"",G7&lt;&gt;"",N(G7)&gt;='설정'!$C$6),AND('설정'!$D$6&lt;&gt;"",AND(G7&lt;&gt;"",H7&lt;&gt;""),(N(G7)+N(H7))&gt;='설정'!$D$6),AND('설정'!$E$6&lt;&gt;"",OR(AND(G7&lt;&gt;"",N(G7)&lt;='설정'!$E$6),AND(H7&lt;&gt;"",N(H7)&lt;='설정'!$E$6))),AND('설정'!$F$6&lt;&gt;"",AND(G7&lt;&gt;"",H7&lt;&gt;""),(N(G7)+N(H7))&lt;='설정'!$F$6))),'설정'!$B$6,IF(IF(COUNT('설정'!$C$7:$F$7)=0,AND(G7&lt;&gt;"",H7&lt;&gt;""),OR(AND('설정'!$C$7&lt;&gt;"",G7&lt;&gt;"",N(G7)&gt;='설정'!$C$7),AND('설정'!$D$7&lt;&gt;"",AND(G7&lt;&gt;"",H7&lt;&gt;""),(N(G7)+N(H7))&gt;='설정'!$D$7),AND('설정'!$E$7&lt;&gt;"",OR(AND(G7&lt;&gt;"",N(G7)&lt;='설정'!$E$7),AND(H7&lt;&gt;"",N(H7)&lt;='설정'!$E$7))),AND('설정'!$F$7&lt;&gt;"",AND(G7&lt;&gt;"",H7&lt;&gt;""),(N(G7)+N(H7))&lt;='설정'!$F$7))),'설정'!$B$7,IF(IF(COUNT('설정'!$C$8:$F$8)=0,AND(G7&lt;&gt;"",H7&lt;&gt;""),OR(AND('설정'!$C$8&lt;&gt;"",G7&lt;&gt;"",N(G7)&gt;='설정'!$C$8),AND('설정'!$D$8&lt;&gt;"",AND(G7&lt;&gt;"",H7&lt;&gt;""),(N(G7)+N(H7))&gt;='설정'!$D$8),AND('설정'!$E$8&lt;&gt;"",OR(AND(G7&lt;&gt;"",N(G7)&lt;='설정'!$E$8),AND(H7&lt;&gt;"",N(H7)&lt;='설정'!$E$8))),AND('설정'!$F$8&lt;&gt;"",AND(G7&lt;&gt;"",H7&lt;&gt;""),(N(G7)+N(H7))&lt;='설정'!$F$8))),'설정'!$B$8,'설정'!$B$9))))</f>
        <v/>
      </c>
      <c r="L7" s="29">
        <f>IF(OR(G7="",H7=""),"",IF(SUMPRODUCT(ISNUMBER('설정'!$C$6:$C$8)*(ABS(G7-'설정'!$C$6:$C$8)&lt;='설정'!$C$15))+SUMPRODUCT(ISNUMBER('설정'!$D$6:$D$8)*(ABS((G7+H7)-'설정'!$D$6:$D$8)&lt;='설정'!$C$15))+SUMPRODUCT(ISNUMBER('설정'!$F$6:$F$8)*(ABS((G7+H7)-'설정'!$F$6:$F$8)&lt;='설정'!$C$15))+SUMPRODUCT(ISNUMBER('설정'!$E$6:$E$8)*(ABS(G7-'설정'!$E$6:$E$8)&lt;='설정'!$C$15))+SUMPRODUCT(ISNUMBER('설정'!$E$6:$E$8)*(ABS(H7-'설정'!$E$6:$E$8)&lt;='설정'!$C$15))&gt;0,"경계",""))</f>
        <v/>
      </c>
      <c r="M7" s="7" t="n"/>
      <c r="N7" s="7" t="n"/>
      <c r="O7" s="27">
        <f>IF(M7&lt;&gt;"",M7,K7)</f>
        <v/>
      </c>
      <c r="P7" s="30">
        <f>IF(I7="","",IF(G7="","공수1 미응시",IF(H7="","공수2 미응시","")))</f>
        <v/>
      </c>
      <c r="Q7" s="10">
        <f>IF(J7="","",J7+ROW()/100000)</f>
        <v/>
      </c>
      <c r="S7" s="31">
        <f>'설정'!$B$6</f>
        <v/>
      </c>
      <c r="T7" s="10">
        <f>COUNTIF($K$7:$K$156,S7)</f>
        <v/>
      </c>
      <c r="U7" s="27">
        <f>COUNTIF($O$7:$O$156,S7)</f>
        <v/>
      </c>
      <c r="V7" s="32">
        <f>IFERROR(AVERAGEIF($O$7:$O$156,S7,$G$7:$G$156),"")</f>
        <v/>
      </c>
      <c r="W7" s="32">
        <f>IFERROR(AVERAGEIF($O$7:$O$156,S7,$H$7:$H$156),"")</f>
        <v/>
      </c>
      <c r="X7" s="10">
        <f>COUNTIFS($O$7:$O$156,S7,$D$7:$D$156,"재원")</f>
        <v/>
      </c>
      <c r="Y7" s="10">
        <f>COUNTIFS($O$7:$O$156,S7,$D$7:$D$156,"외부")</f>
        <v/>
      </c>
    </row>
    <row r="8">
      <c r="A8" s="5" t="n">
        <v>2</v>
      </c>
      <c r="B8" s="10">
        <f>IF('학생명단'!B8="","",'학생명단'!B8)</f>
        <v/>
      </c>
      <c r="C8" s="10">
        <f>IF('학생명단'!C8="","",'학생명단'!C8)</f>
        <v/>
      </c>
      <c r="D8" s="10">
        <f>IF('학생명단'!D8="","",'학생명단'!D8)</f>
        <v/>
      </c>
      <c r="E8" s="10">
        <f>IF('학생명단'!E8="","",'학생명단'!E8)</f>
        <v/>
      </c>
      <c r="F8" s="11">
        <f>IF('학생명단'!F8="","",'학생명단'!F8)</f>
        <v/>
      </c>
      <c r="G8" s="10">
        <f>'공수1'!Y8</f>
        <v/>
      </c>
      <c r="H8" s="10">
        <f>'공수2'!Y8</f>
        <v/>
      </c>
      <c r="I8" s="28">
        <f>IF(AND(G8="",H8=""),"",N(G8)*'설정'!$C$13+N(H8)*'설정'!$C$14)</f>
        <v/>
      </c>
      <c r="J8" s="10">
        <f>IF(I8="","",COUNTIF($I$7:$I$156,"&gt;"&amp;I8)+1)</f>
        <v/>
      </c>
      <c r="K8" s="27">
        <f>IF(I8="","",IF(IF(COUNT('설정'!$C$6:$F$6)=0,AND(G8&lt;&gt;"",H8&lt;&gt;""),OR(AND('설정'!$C$6&lt;&gt;"",G8&lt;&gt;"",N(G8)&gt;='설정'!$C$6),AND('설정'!$D$6&lt;&gt;"",AND(G8&lt;&gt;"",H8&lt;&gt;""),(N(G8)+N(H8))&gt;='설정'!$D$6),AND('설정'!$E$6&lt;&gt;"",OR(AND(G8&lt;&gt;"",N(G8)&lt;='설정'!$E$6),AND(H8&lt;&gt;"",N(H8)&lt;='설정'!$E$6))),AND('설정'!$F$6&lt;&gt;"",AND(G8&lt;&gt;"",H8&lt;&gt;""),(N(G8)+N(H8))&lt;='설정'!$F$6))),'설정'!$B$6,IF(IF(COUNT('설정'!$C$7:$F$7)=0,AND(G8&lt;&gt;"",H8&lt;&gt;""),OR(AND('설정'!$C$7&lt;&gt;"",G8&lt;&gt;"",N(G8)&gt;='설정'!$C$7),AND('설정'!$D$7&lt;&gt;"",AND(G8&lt;&gt;"",H8&lt;&gt;""),(N(G8)+N(H8))&gt;='설정'!$D$7),AND('설정'!$E$7&lt;&gt;"",OR(AND(G8&lt;&gt;"",N(G8)&lt;='설정'!$E$7),AND(H8&lt;&gt;"",N(H8)&lt;='설정'!$E$7))),AND('설정'!$F$7&lt;&gt;"",AND(G8&lt;&gt;"",H8&lt;&gt;""),(N(G8)+N(H8))&lt;='설정'!$F$7))),'설정'!$B$7,IF(IF(COUNT('설정'!$C$8:$F$8)=0,AND(G8&lt;&gt;"",H8&lt;&gt;""),OR(AND('설정'!$C$8&lt;&gt;"",G8&lt;&gt;"",N(G8)&gt;='설정'!$C$8),AND('설정'!$D$8&lt;&gt;"",AND(G8&lt;&gt;"",H8&lt;&gt;""),(N(G8)+N(H8))&gt;='설정'!$D$8),AND('설정'!$E$8&lt;&gt;"",OR(AND(G8&lt;&gt;"",N(G8)&lt;='설정'!$E$8),AND(H8&lt;&gt;"",N(H8)&lt;='설정'!$E$8))),AND('설정'!$F$8&lt;&gt;"",AND(G8&lt;&gt;"",H8&lt;&gt;""),(N(G8)+N(H8))&lt;='설정'!$F$8))),'설정'!$B$8,'설정'!$B$9))))</f>
        <v/>
      </c>
      <c r="L8" s="29">
        <f>IF(OR(G8="",H8=""),"",IF(SUMPRODUCT(ISNUMBER('설정'!$C$6:$C$8)*(ABS(G8-'설정'!$C$6:$C$8)&lt;='설정'!$C$15))+SUMPRODUCT(ISNUMBER('설정'!$D$6:$D$8)*(ABS((G8+H8)-'설정'!$D$6:$D$8)&lt;='설정'!$C$15))+SUMPRODUCT(ISNUMBER('설정'!$F$6:$F$8)*(ABS((G8+H8)-'설정'!$F$6:$F$8)&lt;='설정'!$C$15))+SUMPRODUCT(ISNUMBER('설정'!$E$6:$E$8)*(ABS(G8-'설정'!$E$6:$E$8)&lt;='설정'!$C$15))+SUMPRODUCT(ISNUMBER('설정'!$E$6:$E$8)*(ABS(H8-'설정'!$E$6:$E$8)&lt;='설정'!$C$15))&gt;0,"경계",""))</f>
        <v/>
      </c>
      <c r="M8" s="7" t="n"/>
      <c r="N8" s="7" t="n"/>
      <c r="O8" s="27">
        <f>IF(M8&lt;&gt;"",M8,K8)</f>
        <v/>
      </c>
      <c r="P8" s="30">
        <f>IF(I8="","",IF(G8="","공수1 미응시",IF(H8="","공수2 미응시","")))</f>
        <v/>
      </c>
      <c r="Q8" s="10">
        <f>IF(J8="","",J8+ROW()/100000)</f>
        <v/>
      </c>
      <c r="S8" s="33">
        <f>'설정'!$B$7</f>
        <v/>
      </c>
      <c r="T8" s="10">
        <f>COUNTIF($K$7:$K$156,S8)</f>
        <v/>
      </c>
      <c r="U8" s="27">
        <f>COUNTIF($O$7:$O$156,S8)</f>
        <v/>
      </c>
      <c r="V8" s="32">
        <f>IFERROR(AVERAGEIF($O$7:$O$156,S8,$G$7:$G$156),"")</f>
        <v/>
      </c>
      <c r="W8" s="32">
        <f>IFERROR(AVERAGEIF($O$7:$O$156,S8,$H$7:$H$156),"")</f>
        <v/>
      </c>
      <c r="X8" s="10">
        <f>COUNTIFS($O$7:$O$156,S8,$D$7:$D$156,"재원")</f>
        <v/>
      </c>
      <c r="Y8" s="10">
        <f>COUNTIFS($O$7:$O$156,S8,$D$7:$D$156,"외부")</f>
        <v/>
      </c>
    </row>
    <row r="9">
      <c r="A9" s="5" t="n">
        <v>3</v>
      </c>
      <c r="B9" s="10">
        <f>IF('학생명단'!B9="","",'학생명단'!B9)</f>
        <v/>
      </c>
      <c r="C9" s="10">
        <f>IF('학생명단'!C9="","",'학생명단'!C9)</f>
        <v/>
      </c>
      <c r="D9" s="10">
        <f>IF('학생명단'!D9="","",'학생명단'!D9)</f>
        <v/>
      </c>
      <c r="E9" s="10">
        <f>IF('학생명단'!E9="","",'학생명단'!E9)</f>
        <v/>
      </c>
      <c r="F9" s="11">
        <f>IF('학생명단'!F9="","",'학생명단'!F9)</f>
        <v/>
      </c>
      <c r="G9" s="10">
        <f>'공수1'!Y9</f>
        <v/>
      </c>
      <c r="H9" s="10">
        <f>'공수2'!Y9</f>
        <v/>
      </c>
      <c r="I9" s="28">
        <f>IF(AND(G9="",H9=""),"",N(G9)*'설정'!$C$13+N(H9)*'설정'!$C$14)</f>
        <v/>
      </c>
      <c r="J9" s="10">
        <f>IF(I9="","",COUNTIF($I$7:$I$156,"&gt;"&amp;I9)+1)</f>
        <v/>
      </c>
      <c r="K9" s="27">
        <f>IF(I9="","",IF(IF(COUNT('설정'!$C$6:$F$6)=0,AND(G9&lt;&gt;"",H9&lt;&gt;""),OR(AND('설정'!$C$6&lt;&gt;"",G9&lt;&gt;"",N(G9)&gt;='설정'!$C$6),AND('설정'!$D$6&lt;&gt;"",AND(G9&lt;&gt;"",H9&lt;&gt;""),(N(G9)+N(H9))&gt;='설정'!$D$6),AND('설정'!$E$6&lt;&gt;"",OR(AND(G9&lt;&gt;"",N(G9)&lt;='설정'!$E$6),AND(H9&lt;&gt;"",N(H9)&lt;='설정'!$E$6))),AND('설정'!$F$6&lt;&gt;"",AND(G9&lt;&gt;"",H9&lt;&gt;""),(N(G9)+N(H9))&lt;='설정'!$F$6))),'설정'!$B$6,IF(IF(COUNT('설정'!$C$7:$F$7)=0,AND(G9&lt;&gt;"",H9&lt;&gt;""),OR(AND('설정'!$C$7&lt;&gt;"",G9&lt;&gt;"",N(G9)&gt;='설정'!$C$7),AND('설정'!$D$7&lt;&gt;"",AND(G9&lt;&gt;"",H9&lt;&gt;""),(N(G9)+N(H9))&gt;='설정'!$D$7),AND('설정'!$E$7&lt;&gt;"",OR(AND(G9&lt;&gt;"",N(G9)&lt;='설정'!$E$7),AND(H9&lt;&gt;"",N(H9)&lt;='설정'!$E$7))),AND('설정'!$F$7&lt;&gt;"",AND(G9&lt;&gt;"",H9&lt;&gt;""),(N(G9)+N(H9))&lt;='설정'!$F$7))),'설정'!$B$7,IF(IF(COUNT('설정'!$C$8:$F$8)=0,AND(G9&lt;&gt;"",H9&lt;&gt;""),OR(AND('설정'!$C$8&lt;&gt;"",G9&lt;&gt;"",N(G9)&gt;='설정'!$C$8),AND('설정'!$D$8&lt;&gt;"",AND(G9&lt;&gt;"",H9&lt;&gt;""),(N(G9)+N(H9))&gt;='설정'!$D$8),AND('설정'!$E$8&lt;&gt;"",OR(AND(G9&lt;&gt;"",N(G9)&lt;='설정'!$E$8),AND(H9&lt;&gt;"",N(H9)&lt;='설정'!$E$8))),AND('설정'!$F$8&lt;&gt;"",AND(G9&lt;&gt;"",H9&lt;&gt;""),(N(G9)+N(H9))&lt;='설정'!$F$8))),'설정'!$B$8,'설정'!$B$9))))</f>
        <v/>
      </c>
      <c r="L9" s="29">
        <f>IF(OR(G9="",H9=""),"",IF(SUMPRODUCT(ISNUMBER('설정'!$C$6:$C$8)*(ABS(G9-'설정'!$C$6:$C$8)&lt;='설정'!$C$15))+SUMPRODUCT(ISNUMBER('설정'!$D$6:$D$8)*(ABS((G9+H9)-'설정'!$D$6:$D$8)&lt;='설정'!$C$15))+SUMPRODUCT(ISNUMBER('설정'!$F$6:$F$8)*(ABS((G9+H9)-'설정'!$F$6:$F$8)&lt;='설정'!$C$15))+SUMPRODUCT(ISNUMBER('설정'!$E$6:$E$8)*(ABS(G9-'설정'!$E$6:$E$8)&lt;='설정'!$C$15))+SUMPRODUCT(ISNUMBER('설정'!$E$6:$E$8)*(ABS(H9-'설정'!$E$6:$E$8)&lt;='설정'!$C$15))&gt;0,"경계",""))</f>
        <v/>
      </c>
      <c r="M9" s="7" t="n"/>
      <c r="N9" s="7" t="n"/>
      <c r="O9" s="27">
        <f>IF(M9&lt;&gt;"",M9,K9)</f>
        <v/>
      </c>
      <c r="P9" s="30">
        <f>IF(I9="","",IF(G9="","공수1 미응시",IF(H9="","공수2 미응시","")))</f>
        <v/>
      </c>
      <c r="Q9" s="10">
        <f>IF(J9="","",J9+ROW()/100000)</f>
        <v/>
      </c>
      <c r="S9" s="34">
        <f>'설정'!$B$8</f>
        <v/>
      </c>
      <c r="T9" s="10">
        <f>COUNTIF($K$7:$K$156,S9)</f>
        <v/>
      </c>
      <c r="U9" s="27">
        <f>COUNTIF($O$7:$O$156,S9)</f>
        <v/>
      </c>
      <c r="V9" s="32">
        <f>IFERROR(AVERAGEIF($O$7:$O$156,S9,$G$7:$G$156),"")</f>
        <v/>
      </c>
      <c r="W9" s="32">
        <f>IFERROR(AVERAGEIF($O$7:$O$156,S9,$H$7:$H$156),"")</f>
        <v/>
      </c>
      <c r="X9" s="10">
        <f>COUNTIFS($O$7:$O$156,S9,$D$7:$D$156,"재원")</f>
        <v/>
      </c>
      <c r="Y9" s="10">
        <f>COUNTIFS($O$7:$O$156,S9,$D$7:$D$156,"외부")</f>
        <v/>
      </c>
    </row>
    <row r="10">
      <c r="A10" s="5" t="n">
        <v>4</v>
      </c>
      <c r="B10" s="10">
        <f>IF('학생명단'!B10="","",'학생명단'!B10)</f>
        <v/>
      </c>
      <c r="C10" s="10">
        <f>IF('학생명단'!C10="","",'학생명단'!C10)</f>
        <v/>
      </c>
      <c r="D10" s="10">
        <f>IF('학생명단'!D10="","",'학생명단'!D10)</f>
        <v/>
      </c>
      <c r="E10" s="10">
        <f>IF('학생명단'!E10="","",'학생명단'!E10)</f>
        <v/>
      </c>
      <c r="F10" s="11">
        <f>IF('학생명단'!F10="","",'학생명단'!F10)</f>
        <v/>
      </c>
      <c r="G10" s="10">
        <f>'공수1'!Y10</f>
        <v/>
      </c>
      <c r="H10" s="10">
        <f>'공수2'!Y10</f>
        <v/>
      </c>
      <c r="I10" s="28">
        <f>IF(AND(G10="",H10=""),"",N(G10)*'설정'!$C$13+N(H10)*'설정'!$C$14)</f>
        <v/>
      </c>
      <c r="J10" s="10">
        <f>IF(I10="","",COUNTIF($I$7:$I$156,"&gt;"&amp;I10)+1)</f>
        <v/>
      </c>
      <c r="K10" s="27">
        <f>IF(I10="","",IF(IF(COUNT('설정'!$C$6:$F$6)=0,AND(G10&lt;&gt;"",H10&lt;&gt;""),OR(AND('설정'!$C$6&lt;&gt;"",G10&lt;&gt;"",N(G10)&gt;='설정'!$C$6),AND('설정'!$D$6&lt;&gt;"",AND(G10&lt;&gt;"",H10&lt;&gt;""),(N(G10)+N(H10))&gt;='설정'!$D$6),AND('설정'!$E$6&lt;&gt;"",OR(AND(G10&lt;&gt;"",N(G10)&lt;='설정'!$E$6),AND(H10&lt;&gt;"",N(H10)&lt;='설정'!$E$6))),AND('설정'!$F$6&lt;&gt;"",AND(G10&lt;&gt;"",H10&lt;&gt;""),(N(G10)+N(H10))&lt;='설정'!$F$6))),'설정'!$B$6,IF(IF(COUNT('설정'!$C$7:$F$7)=0,AND(G10&lt;&gt;"",H10&lt;&gt;""),OR(AND('설정'!$C$7&lt;&gt;"",G10&lt;&gt;"",N(G10)&gt;='설정'!$C$7),AND('설정'!$D$7&lt;&gt;"",AND(G10&lt;&gt;"",H10&lt;&gt;""),(N(G10)+N(H10))&gt;='설정'!$D$7),AND('설정'!$E$7&lt;&gt;"",OR(AND(G10&lt;&gt;"",N(G10)&lt;='설정'!$E$7),AND(H10&lt;&gt;"",N(H10)&lt;='설정'!$E$7))),AND('설정'!$F$7&lt;&gt;"",AND(G10&lt;&gt;"",H10&lt;&gt;""),(N(G10)+N(H10))&lt;='설정'!$F$7))),'설정'!$B$7,IF(IF(COUNT('설정'!$C$8:$F$8)=0,AND(G10&lt;&gt;"",H10&lt;&gt;""),OR(AND('설정'!$C$8&lt;&gt;"",G10&lt;&gt;"",N(G10)&gt;='설정'!$C$8),AND('설정'!$D$8&lt;&gt;"",AND(G10&lt;&gt;"",H10&lt;&gt;""),(N(G10)+N(H10))&gt;='설정'!$D$8),AND('설정'!$E$8&lt;&gt;"",OR(AND(G10&lt;&gt;"",N(G10)&lt;='설정'!$E$8),AND(H10&lt;&gt;"",N(H10)&lt;='설정'!$E$8))),AND('설정'!$F$8&lt;&gt;"",AND(G10&lt;&gt;"",H10&lt;&gt;""),(N(G10)+N(H10))&lt;='설정'!$F$8))),'설정'!$B$8,'설정'!$B$9))))</f>
        <v/>
      </c>
      <c r="L10" s="29">
        <f>IF(OR(G10="",H10=""),"",IF(SUMPRODUCT(ISNUMBER('설정'!$C$6:$C$8)*(ABS(G10-'설정'!$C$6:$C$8)&lt;='설정'!$C$15))+SUMPRODUCT(ISNUMBER('설정'!$D$6:$D$8)*(ABS((G10+H10)-'설정'!$D$6:$D$8)&lt;='설정'!$C$15))+SUMPRODUCT(ISNUMBER('설정'!$F$6:$F$8)*(ABS((G10+H10)-'설정'!$F$6:$F$8)&lt;='설정'!$C$15))+SUMPRODUCT(ISNUMBER('설정'!$E$6:$E$8)*(ABS(G10-'설정'!$E$6:$E$8)&lt;='설정'!$C$15))+SUMPRODUCT(ISNUMBER('설정'!$E$6:$E$8)*(ABS(H10-'설정'!$E$6:$E$8)&lt;='설정'!$C$15))&gt;0,"경계",""))</f>
        <v/>
      </c>
      <c r="M10" s="7" t="n"/>
      <c r="N10" s="7" t="n"/>
      <c r="O10" s="27">
        <f>IF(M10&lt;&gt;"",M10,K10)</f>
        <v/>
      </c>
      <c r="P10" s="30">
        <f>IF(I10="","",IF(G10="","공수1 미응시",IF(H10="","공수2 미응시","")))</f>
        <v/>
      </c>
      <c r="Q10" s="10">
        <f>IF(J10="","",J10+ROW()/100000)</f>
        <v/>
      </c>
      <c r="S10" s="35">
        <f>'설정'!$B$9</f>
        <v/>
      </c>
      <c r="T10" s="10">
        <f>COUNTIF($K$7:$K$156,S10)</f>
        <v/>
      </c>
      <c r="U10" s="27">
        <f>COUNTIF($O$7:$O$156,S10)</f>
        <v/>
      </c>
      <c r="V10" s="32">
        <f>IFERROR(AVERAGEIF($O$7:$O$156,S10,$G$7:$G$156),"")</f>
        <v/>
      </c>
      <c r="W10" s="32">
        <f>IFERROR(AVERAGEIF($O$7:$O$156,S10,$H$7:$H$156),"")</f>
        <v/>
      </c>
      <c r="X10" s="10">
        <f>COUNTIFS($O$7:$O$156,S10,$D$7:$D$156,"재원")</f>
        <v/>
      </c>
      <c r="Y10" s="10">
        <f>COUNTIFS($O$7:$O$156,S10,$D$7:$D$156,"외부")</f>
        <v/>
      </c>
    </row>
    <row r="11">
      <c r="A11" s="5" t="n">
        <v>5</v>
      </c>
      <c r="B11" s="10">
        <f>IF('학생명단'!B11="","",'학생명단'!B11)</f>
        <v/>
      </c>
      <c r="C11" s="10">
        <f>IF('학생명단'!C11="","",'학생명단'!C11)</f>
        <v/>
      </c>
      <c r="D11" s="10">
        <f>IF('학생명단'!D11="","",'학생명단'!D11)</f>
        <v/>
      </c>
      <c r="E11" s="10">
        <f>IF('학생명단'!E11="","",'학생명단'!E11)</f>
        <v/>
      </c>
      <c r="F11" s="11">
        <f>IF('학생명단'!F11="","",'학생명단'!F11)</f>
        <v/>
      </c>
      <c r="G11" s="10">
        <f>'공수1'!Y11</f>
        <v/>
      </c>
      <c r="H11" s="10">
        <f>'공수2'!Y11</f>
        <v/>
      </c>
      <c r="I11" s="28">
        <f>IF(AND(G11="",H11=""),"",N(G11)*'설정'!$C$13+N(H11)*'설정'!$C$14)</f>
        <v/>
      </c>
      <c r="J11" s="10">
        <f>IF(I11="","",COUNTIF($I$7:$I$156,"&gt;"&amp;I11)+1)</f>
        <v/>
      </c>
      <c r="K11" s="27">
        <f>IF(I11="","",IF(IF(COUNT('설정'!$C$6:$F$6)=0,AND(G11&lt;&gt;"",H11&lt;&gt;""),OR(AND('설정'!$C$6&lt;&gt;"",G11&lt;&gt;"",N(G11)&gt;='설정'!$C$6),AND('설정'!$D$6&lt;&gt;"",AND(G11&lt;&gt;"",H11&lt;&gt;""),(N(G11)+N(H11))&gt;='설정'!$D$6),AND('설정'!$E$6&lt;&gt;"",OR(AND(G11&lt;&gt;"",N(G11)&lt;='설정'!$E$6),AND(H11&lt;&gt;"",N(H11)&lt;='설정'!$E$6))),AND('설정'!$F$6&lt;&gt;"",AND(G11&lt;&gt;"",H11&lt;&gt;""),(N(G11)+N(H11))&lt;='설정'!$F$6))),'설정'!$B$6,IF(IF(COUNT('설정'!$C$7:$F$7)=0,AND(G11&lt;&gt;"",H11&lt;&gt;""),OR(AND('설정'!$C$7&lt;&gt;"",G11&lt;&gt;"",N(G11)&gt;='설정'!$C$7),AND('설정'!$D$7&lt;&gt;"",AND(G11&lt;&gt;"",H11&lt;&gt;""),(N(G11)+N(H11))&gt;='설정'!$D$7),AND('설정'!$E$7&lt;&gt;"",OR(AND(G11&lt;&gt;"",N(G11)&lt;='설정'!$E$7),AND(H11&lt;&gt;"",N(H11)&lt;='설정'!$E$7))),AND('설정'!$F$7&lt;&gt;"",AND(G11&lt;&gt;"",H11&lt;&gt;""),(N(G11)+N(H11))&lt;='설정'!$F$7))),'설정'!$B$7,IF(IF(COUNT('설정'!$C$8:$F$8)=0,AND(G11&lt;&gt;"",H11&lt;&gt;""),OR(AND('설정'!$C$8&lt;&gt;"",G11&lt;&gt;"",N(G11)&gt;='설정'!$C$8),AND('설정'!$D$8&lt;&gt;"",AND(G11&lt;&gt;"",H11&lt;&gt;""),(N(G11)+N(H11))&gt;='설정'!$D$8),AND('설정'!$E$8&lt;&gt;"",OR(AND(G11&lt;&gt;"",N(G11)&lt;='설정'!$E$8),AND(H11&lt;&gt;"",N(H11)&lt;='설정'!$E$8))),AND('설정'!$F$8&lt;&gt;"",AND(G11&lt;&gt;"",H11&lt;&gt;""),(N(G11)+N(H11))&lt;='설정'!$F$8))),'설정'!$B$8,'설정'!$B$9))))</f>
        <v/>
      </c>
      <c r="L11" s="29">
        <f>IF(OR(G11="",H11=""),"",IF(SUMPRODUCT(ISNUMBER('설정'!$C$6:$C$8)*(ABS(G11-'설정'!$C$6:$C$8)&lt;='설정'!$C$15))+SUMPRODUCT(ISNUMBER('설정'!$D$6:$D$8)*(ABS((G11+H11)-'설정'!$D$6:$D$8)&lt;='설정'!$C$15))+SUMPRODUCT(ISNUMBER('설정'!$F$6:$F$8)*(ABS((G11+H11)-'설정'!$F$6:$F$8)&lt;='설정'!$C$15))+SUMPRODUCT(ISNUMBER('설정'!$E$6:$E$8)*(ABS(G11-'설정'!$E$6:$E$8)&lt;='설정'!$C$15))+SUMPRODUCT(ISNUMBER('설정'!$E$6:$E$8)*(ABS(H11-'설정'!$E$6:$E$8)&lt;='설정'!$C$15))&gt;0,"경계",""))</f>
        <v/>
      </c>
      <c r="M11" s="7" t="n"/>
      <c r="N11" s="7" t="n"/>
      <c r="O11" s="27">
        <f>IF(M11&lt;&gt;"",M11,K11)</f>
        <v/>
      </c>
      <c r="P11" s="30">
        <f>IF(I11="","",IF(G11="","공수1 미응시",IF(H11="","공수2 미응시","")))</f>
        <v/>
      </c>
      <c r="Q11" s="10">
        <f>IF(J11="","",J11+ROW()/100000)</f>
        <v/>
      </c>
      <c r="S11" s="8" t="inlineStr">
        <is>
          <t>합계</t>
        </is>
      </c>
      <c r="T11" s="8">
        <f>SUM(T7:T10)</f>
        <v/>
      </c>
      <c r="U11" s="8">
        <f>SUM(U7:U10)</f>
        <v/>
      </c>
      <c r="V11" s="36">
        <f>IFERROR(AVERAGE($G$7:$G$156),"")</f>
        <v/>
      </c>
      <c r="W11" s="36">
        <f>IFERROR(AVERAGE($H$7:$H$156),"")</f>
        <v/>
      </c>
      <c r="X11" s="8">
        <f>SUM(X7:X10)</f>
        <v/>
      </c>
      <c r="Y11" s="8">
        <f>SUM(Y7:Y10)</f>
        <v/>
      </c>
    </row>
    <row r="12">
      <c r="A12" s="5" t="n">
        <v>6</v>
      </c>
      <c r="B12" s="10">
        <f>IF('학생명단'!B12="","",'학생명단'!B12)</f>
        <v/>
      </c>
      <c r="C12" s="10">
        <f>IF('학생명단'!C12="","",'학생명단'!C12)</f>
        <v/>
      </c>
      <c r="D12" s="10">
        <f>IF('학생명단'!D12="","",'학생명단'!D12)</f>
        <v/>
      </c>
      <c r="E12" s="10">
        <f>IF('학생명단'!E12="","",'학생명단'!E12)</f>
        <v/>
      </c>
      <c r="F12" s="11">
        <f>IF('학생명단'!F12="","",'학생명단'!F12)</f>
        <v/>
      </c>
      <c r="G12" s="10">
        <f>'공수1'!Y12</f>
        <v/>
      </c>
      <c r="H12" s="10">
        <f>'공수2'!Y12</f>
        <v/>
      </c>
      <c r="I12" s="28">
        <f>IF(AND(G12="",H12=""),"",N(G12)*'설정'!$C$13+N(H12)*'설정'!$C$14)</f>
        <v/>
      </c>
      <c r="J12" s="10">
        <f>IF(I12="","",COUNTIF($I$7:$I$156,"&gt;"&amp;I12)+1)</f>
        <v/>
      </c>
      <c r="K12" s="27">
        <f>IF(I12="","",IF(IF(COUNT('설정'!$C$6:$F$6)=0,AND(G12&lt;&gt;"",H12&lt;&gt;""),OR(AND('설정'!$C$6&lt;&gt;"",G12&lt;&gt;"",N(G12)&gt;='설정'!$C$6),AND('설정'!$D$6&lt;&gt;"",AND(G12&lt;&gt;"",H12&lt;&gt;""),(N(G12)+N(H12))&gt;='설정'!$D$6),AND('설정'!$E$6&lt;&gt;"",OR(AND(G12&lt;&gt;"",N(G12)&lt;='설정'!$E$6),AND(H12&lt;&gt;"",N(H12)&lt;='설정'!$E$6))),AND('설정'!$F$6&lt;&gt;"",AND(G12&lt;&gt;"",H12&lt;&gt;""),(N(G12)+N(H12))&lt;='설정'!$F$6))),'설정'!$B$6,IF(IF(COUNT('설정'!$C$7:$F$7)=0,AND(G12&lt;&gt;"",H12&lt;&gt;""),OR(AND('설정'!$C$7&lt;&gt;"",G12&lt;&gt;"",N(G12)&gt;='설정'!$C$7),AND('설정'!$D$7&lt;&gt;"",AND(G12&lt;&gt;"",H12&lt;&gt;""),(N(G12)+N(H12))&gt;='설정'!$D$7),AND('설정'!$E$7&lt;&gt;"",OR(AND(G12&lt;&gt;"",N(G12)&lt;='설정'!$E$7),AND(H12&lt;&gt;"",N(H12)&lt;='설정'!$E$7))),AND('설정'!$F$7&lt;&gt;"",AND(G12&lt;&gt;"",H12&lt;&gt;""),(N(G12)+N(H12))&lt;='설정'!$F$7))),'설정'!$B$7,IF(IF(COUNT('설정'!$C$8:$F$8)=0,AND(G12&lt;&gt;"",H12&lt;&gt;""),OR(AND('설정'!$C$8&lt;&gt;"",G12&lt;&gt;"",N(G12)&gt;='설정'!$C$8),AND('설정'!$D$8&lt;&gt;"",AND(G12&lt;&gt;"",H12&lt;&gt;""),(N(G12)+N(H12))&gt;='설정'!$D$8),AND('설정'!$E$8&lt;&gt;"",OR(AND(G12&lt;&gt;"",N(G12)&lt;='설정'!$E$8),AND(H12&lt;&gt;"",N(H12)&lt;='설정'!$E$8))),AND('설정'!$F$8&lt;&gt;"",AND(G12&lt;&gt;"",H12&lt;&gt;""),(N(G12)+N(H12))&lt;='설정'!$F$8))),'설정'!$B$8,'설정'!$B$9))))</f>
        <v/>
      </c>
      <c r="L12" s="29">
        <f>IF(OR(G12="",H12=""),"",IF(SUMPRODUCT(ISNUMBER('설정'!$C$6:$C$8)*(ABS(G12-'설정'!$C$6:$C$8)&lt;='설정'!$C$15))+SUMPRODUCT(ISNUMBER('설정'!$D$6:$D$8)*(ABS((G12+H12)-'설정'!$D$6:$D$8)&lt;='설정'!$C$15))+SUMPRODUCT(ISNUMBER('설정'!$F$6:$F$8)*(ABS((G12+H12)-'설정'!$F$6:$F$8)&lt;='설정'!$C$15))+SUMPRODUCT(ISNUMBER('설정'!$E$6:$E$8)*(ABS(G12-'설정'!$E$6:$E$8)&lt;='설정'!$C$15))+SUMPRODUCT(ISNUMBER('설정'!$E$6:$E$8)*(ABS(H12-'설정'!$E$6:$E$8)&lt;='설정'!$C$15))&gt;0,"경계",""))</f>
        <v/>
      </c>
      <c r="M12" s="7" t="n"/>
      <c r="N12" s="7" t="n"/>
      <c r="O12" s="27">
        <f>IF(M12&lt;&gt;"",M12,K12)</f>
        <v/>
      </c>
      <c r="P12" s="30">
        <f>IF(I12="","",IF(G12="","공수1 미응시",IF(H12="","공수2 미응시","")))</f>
        <v/>
      </c>
      <c r="Q12" s="10">
        <f>IF(J12="","",J12+ROW()/100000)</f>
        <v/>
      </c>
    </row>
    <row r="13">
      <c r="A13" s="5" t="n">
        <v>7</v>
      </c>
      <c r="B13" s="10">
        <f>IF('학생명단'!B13="","",'학생명단'!B13)</f>
        <v/>
      </c>
      <c r="C13" s="10">
        <f>IF('학생명단'!C13="","",'학생명단'!C13)</f>
        <v/>
      </c>
      <c r="D13" s="10">
        <f>IF('학생명단'!D13="","",'학생명단'!D13)</f>
        <v/>
      </c>
      <c r="E13" s="10">
        <f>IF('학생명단'!E13="","",'학생명단'!E13)</f>
        <v/>
      </c>
      <c r="F13" s="11">
        <f>IF('학생명단'!F13="","",'학생명단'!F13)</f>
        <v/>
      </c>
      <c r="G13" s="10">
        <f>'공수1'!Y13</f>
        <v/>
      </c>
      <c r="H13" s="10">
        <f>'공수2'!Y13</f>
        <v/>
      </c>
      <c r="I13" s="28">
        <f>IF(AND(G13="",H13=""),"",N(G13)*'설정'!$C$13+N(H13)*'설정'!$C$14)</f>
        <v/>
      </c>
      <c r="J13" s="10">
        <f>IF(I13="","",COUNTIF($I$7:$I$156,"&gt;"&amp;I13)+1)</f>
        <v/>
      </c>
      <c r="K13" s="27">
        <f>IF(I13="","",IF(IF(COUNT('설정'!$C$6:$F$6)=0,AND(G13&lt;&gt;"",H13&lt;&gt;""),OR(AND('설정'!$C$6&lt;&gt;"",G13&lt;&gt;"",N(G13)&gt;='설정'!$C$6),AND('설정'!$D$6&lt;&gt;"",AND(G13&lt;&gt;"",H13&lt;&gt;""),(N(G13)+N(H13))&gt;='설정'!$D$6),AND('설정'!$E$6&lt;&gt;"",OR(AND(G13&lt;&gt;"",N(G13)&lt;='설정'!$E$6),AND(H13&lt;&gt;"",N(H13)&lt;='설정'!$E$6))),AND('설정'!$F$6&lt;&gt;"",AND(G13&lt;&gt;"",H13&lt;&gt;""),(N(G13)+N(H13))&lt;='설정'!$F$6))),'설정'!$B$6,IF(IF(COUNT('설정'!$C$7:$F$7)=0,AND(G13&lt;&gt;"",H13&lt;&gt;""),OR(AND('설정'!$C$7&lt;&gt;"",G13&lt;&gt;"",N(G13)&gt;='설정'!$C$7),AND('설정'!$D$7&lt;&gt;"",AND(G13&lt;&gt;"",H13&lt;&gt;""),(N(G13)+N(H13))&gt;='설정'!$D$7),AND('설정'!$E$7&lt;&gt;"",OR(AND(G13&lt;&gt;"",N(G13)&lt;='설정'!$E$7),AND(H13&lt;&gt;"",N(H13)&lt;='설정'!$E$7))),AND('설정'!$F$7&lt;&gt;"",AND(G13&lt;&gt;"",H13&lt;&gt;""),(N(G13)+N(H13))&lt;='설정'!$F$7))),'설정'!$B$7,IF(IF(COUNT('설정'!$C$8:$F$8)=0,AND(G13&lt;&gt;"",H13&lt;&gt;""),OR(AND('설정'!$C$8&lt;&gt;"",G13&lt;&gt;"",N(G13)&gt;='설정'!$C$8),AND('설정'!$D$8&lt;&gt;"",AND(G13&lt;&gt;"",H13&lt;&gt;""),(N(G13)+N(H13))&gt;='설정'!$D$8),AND('설정'!$E$8&lt;&gt;"",OR(AND(G13&lt;&gt;"",N(G13)&lt;='설정'!$E$8),AND(H13&lt;&gt;"",N(H13)&lt;='설정'!$E$8))),AND('설정'!$F$8&lt;&gt;"",AND(G13&lt;&gt;"",H13&lt;&gt;""),(N(G13)+N(H13))&lt;='설정'!$F$8))),'설정'!$B$8,'설정'!$B$9))))</f>
        <v/>
      </c>
      <c r="L13" s="29">
        <f>IF(OR(G13="",H13=""),"",IF(SUMPRODUCT(ISNUMBER('설정'!$C$6:$C$8)*(ABS(G13-'설정'!$C$6:$C$8)&lt;='설정'!$C$15))+SUMPRODUCT(ISNUMBER('설정'!$D$6:$D$8)*(ABS((G13+H13)-'설정'!$D$6:$D$8)&lt;='설정'!$C$15))+SUMPRODUCT(ISNUMBER('설정'!$F$6:$F$8)*(ABS((G13+H13)-'설정'!$F$6:$F$8)&lt;='설정'!$C$15))+SUMPRODUCT(ISNUMBER('설정'!$E$6:$E$8)*(ABS(G13-'설정'!$E$6:$E$8)&lt;='설정'!$C$15))+SUMPRODUCT(ISNUMBER('설정'!$E$6:$E$8)*(ABS(H13-'설정'!$E$6:$E$8)&lt;='설정'!$C$15))&gt;0,"경계",""))</f>
        <v/>
      </c>
      <c r="M13" s="7" t="n"/>
      <c r="N13" s="7" t="n"/>
      <c r="O13" s="27">
        <f>IF(M13&lt;&gt;"",M13,K13)</f>
        <v/>
      </c>
      <c r="P13" s="30">
        <f>IF(I13="","",IF(G13="","공수1 미응시",IF(H13="","공수2 미응시","")))</f>
        <v/>
      </c>
      <c r="Q13" s="10">
        <f>IF(J13="","",J13+ROW()/100000)</f>
        <v/>
      </c>
      <c r="S13" s="2" t="inlineStr">
        <is>
          <t>· 자동배정은 '설정' ①의 기준(공수1 점수·한 과목 점수·합계)
· 경계 = 과목 점수나 합계가 기준 점수와 경계 범위 이내
· 공통수학반·선행반은 목록에서 고르거나 직접 입력('설정' ⑥·⑦에 반 소개 추가 가능)
· 환산총점·석차는 참고용</t>
        </is>
      </c>
    </row>
    <row r="14">
      <c r="A14" s="5" t="n">
        <v>8</v>
      </c>
      <c r="B14" s="10">
        <f>IF('학생명단'!B14="","",'학생명단'!B14)</f>
        <v/>
      </c>
      <c r="C14" s="10">
        <f>IF('학생명단'!C14="","",'학생명단'!C14)</f>
        <v/>
      </c>
      <c r="D14" s="10">
        <f>IF('학생명단'!D14="","",'학생명단'!D14)</f>
        <v/>
      </c>
      <c r="E14" s="10">
        <f>IF('학생명단'!E14="","",'학생명단'!E14)</f>
        <v/>
      </c>
      <c r="F14" s="11">
        <f>IF('학생명단'!F14="","",'학생명단'!F14)</f>
        <v/>
      </c>
      <c r="G14" s="10">
        <f>'공수1'!Y14</f>
        <v/>
      </c>
      <c r="H14" s="10">
        <f>'공수2'!Y14</f>
        <v/>
      </c>
      <c r="I14" s="28">
        <f>IF(AND(G14="",H14=""),"",N(G14)*'설정'!$C$13+N(H14)*'설정'!$C$14)</f>
        <v/>
      </c>
      <c r="J14" s="10">
        <f>IF(I14="","",COUNTIF($I$7:$I$156,"&gt;"&amp;I14)+1)</f>
        <v/>
      </c>
      <c r="K14" s="27">
        <f>IF(I14="","",IF(IF(COUNT('설정'!$C$6:$F$6)=0,AND(G14&lt;&gt;"",H14&lt;&gt;""),OR(AND('설정'!$C$6&lt;&gt;"",G14&lt;&gt;"",N(G14)&gt;='설정'!$C$6),AND('설정'!$D$6&lt;&gt;"",AND(G14&lt;&gt;"",H14&lt;&gt;""),(N(G14)+N(H14))&gt;='설정'!$D$6),AND('설정'!$E$6&lt;&gt;"",OR(AND(G14&lt;&gt;"",N(G14)&lt;='설정'!$E$6),AND(H14&lt;&gt;"",N(H14)&lt;='설정'!$E$6))),AND('설정'!$F$6&lt;&gt;"",AND(G14&lt;&gt;"",H14&lt;&gt;""),(N(G14)+N(H14))&lt;='설정'!$F$6))),'설정'!$B$6,IF(IF(COUNT('설정'!$C$7:$F$7)=0,AND(G14&lt;&gt;"",H14&lt;&gt;""),OR(AND('설정'!$C$7&lt;&gt;"",G14&lt;&gt;"",N(G14)&gt;='설정'!$C$7),AND('설정'!$D$7&lt;&gt;"",AND(G14&lt;&gt;"",H14&lt;&gt;""),(N(G14)+N(H14))&gt;='설정'!$D$7),AND('설정'!$E$7&lt;&gt;"",OR(AND(G14&lt;&gt;"",N(G14)&lt;='설정'!$E$7),AND(H14&lt;&gt;"",N(H14)&lt;='설정'!$E$7))),AND('설정'!$F$7&lt;&gt;"",AND(G14&lt;&gt;"",H14&lt;&gt;""),(N(G14)+N(H14))&lt;='설정'!$F$7))),'설정'!$B$7,IF(IF(COUNT('설정'!$C$8:$F$8)=0,AND(G14&lt;&gt;"",H14&lt;&gt;""),OR(AND('설정'!$C$8&lt;&gt;"",G14&lt;&gt;"",N(G14)&gt;='설정'!$C$8),AND('설정'!$D$8&lt;&gt;"",AND(G14&lt;&gt;"",H14&lt;&gt;""),(N(G14)+N(H14))&gt;='설정'!$D$8),AND('설정'!$E$8&lt;&gt;"",OR(AND(G14&lt;&gt;"",N(G14)&lt;='설정'!$E$8),AND(H14&lt;&gt;"",N(H14)&lt;='설정'!$E$8))),AND('설정'!$F$8&lt;&gt;"",AND(G14&lt;&gt;"",H14&lt;&gt;""),(N(G14)+N(H14))&lt;='설정'!$F$8))),'설정'!$B$8,'설정'!$B$9))))</f>
        <v/>
      </c>
      <c r="L14" s="29">
        <f>IF(OR(G14="",H14=""),"",IF(SUMPRODUCT(ISNUMBER('설정'!$C$6:$C$8)*(ABS(G14-'설정'!$C$6:$C$8)&lt;='설정'!$C$15))+SUMPRODUCT(ISNUMBER('설정'!$D$6:$D$8)*(ABS((G14+H14)-'설정'!$D$6:$D$8)&lt;='설정'!$C$15))+SUMPRODUCT(ISNUMBER('설정'!$F$6:$F$8)*(ABS((G14+H14)-'설정'!$F$6:$F$8)&lt;='설정'!$C$15))+SUMPRODUCT(ISNUMBER('설정'!$E$6:$E$8)*(ABS(G14-'설정'!$E$6:$E$8)&lt;='설정'!$C$15))+SUMPRODUCT(ISNUMBER('설정'!$E$6:$E$8)*(ABS(H14-'설정'!$E$6:$E$8)&lt;='설정'!$C$15))&gt;0,"경계",""))</f>
        <v/>
      </c>
      <c r="M14" s="7" t="n"/>
      <c r="N14" s="7" t="n"/>
      <c r="O14" s="27">
        <f>IF(M14&lt;&gt;"",M14,K14)</f>
        <v/>
      </c>
      <c r="P14" s="30">
        <f>IF(I14="","",IF(G14="","공수1 미응시",IF(H14="","공수2 미응시","")))</f>
        <v/>
      </c>
      <c r="Q14" s="10">
        <f>IF(J14="","",J14+ROW()/100000)</f>
        <v/>
      </c>
    </row>
    <row r="15">
      <c r="A15" s="5" t="n">
        <v>9</v>
      </c>
      <c r="B15" s="10">
        <f>IF('학생명단'!B15="","",'학생명단'!B15)</f>
        <v/>
      </c>
      <c r="C15" s="10">
        <f>IF('학생명단'!C15="","",'학생명단'!C15)</f>
        <v/>
      </c>
      <c r="D15" s="10">
        <f>IF('학생명단'!D15="","",'학생명단'!D15)</f>
        <v/>
      </c>
      <c r="E15" s="10">
        <f>IF('학생명단'!E15="","",'학생명단'!E15)</f>
        <v/>
      </c>
      <c r="F15" s="11">
        <f>IF('학생명단'!F15="","",'학생명단'!F15)</f>
        <v/>
      </c>
      <c r="G15" s="10">
        <f>'공수1'!Y15</f>
        <v/>
      </c>
      <c r="H15" s="10">
        <f>'공수2'!Y15</f>
        <v/>
      </c>
      <c r="I15" s="28">
        <f>IF(AND(G15="",H15=""),"",N(G15)*'설정'!$C$13+N(H15)*'설정'!$C$14)</f>
        <v/>
      </c>
      <c r="J15" s="10">
        <f>IF(I15="","",COUNTIF($I$7:$I$156,"&gt;"&amp;I15)+1)</f>
        <v/>
      </c>
      <c r="K15" s="27">
        <f>IF(I15="","",IF(IF(COUNT('설정'!$C$6:$F$6)=0,AND(G15&lt;&gt;"",H15&lt;&gt;""),OR(AND('설정'!$C$6&lt;&gt;"",G15&lt;&gt;"",N(G15)&gt;='설정'!$C$6),AND('설정'!$D$6&lt;&gt;"",AND(G15&lt;&gt;"",H15&lt;&gt;""),(N(G15)+N(H15))&gt;='설정'!$D$6),AND('설정'!$E$6&lt;&gt;"",OR(AND(G15&lt;&gt;"",N(G15)&lt;='설정'!$E$6),AND(H15&lt;&gt;"",N(H15)&lt;='설정'!$E$6))),AND('설정'!$F$6&lt;&gt;"",AND(G15&lt;&gt;"",H15&lt;&gt;""),(N(G15)+N(H15))&lt;='설정'!$F$6))),'설정'!$B$6,IF(IF(COUNT('설정'!$C$7:$F$7)=0,AND(G15&lt;&gt;"",H15&lt;&gt;""),OR(AND('설정'!$C$7&lt;&gt;"",G15&lt;&gt;"",N(G15)&gt;='설정'!$C$7),AND('설정'!$D$7&lt;&gt;"",AND(G15&lt;&gt;"",H15&lt;&gt;""),(N(G15)+N(H15))&gt;='설정'!$D$7),AND('설정'!$E$7&lt;&gt;"",OR(AND(G15&lt;&gt;"",N(G15)&lt;='설정'!$E$7),AND(H15&lt;&gt;"",N(H15)&lt;='설정'!$E$7))),AND('설정'!$F$7&lt;&gt;"",AND(G15&lt;&gt;"",H15&lt;&gt;""),(N(G15)+N(H15))&lt;='설정'!$F$7))),'설정'!$B$7,IF(IF(COUNT('설정'!$C$8:$F$8)=0,AND(G15&lt;&gt;"",H15&lt;&gt;""),OR(AND('설정'!$C$8&lt;&gt;"",G15&lt;&gt;"",N(G15)&gt;='설정'!$C$8),AND('설정'!$D$8&lt;&gt;"",AND(G15&lt;&gt;"",H15&lt;&gt;""),(N(G15)+N(H15))&gt;='설정'!$D$8),AND('설정'!$E$8&lt;&gt;"",OR(AND(G15&lt;&gt;"",N(G15)&lt;='설정'!$E$8),AND(H15&lt;&gt;"",N(H15)&lt;='설정'!$E$8))),AND('설정'!$F$8&lt;&gt;"",AND(G15&lt;&gt;"",H15&lt;&gt;""),(N(G15)+N(H15))&lt;='설정'!$F$8))),'설정'!$B$8,'설정'!$B$9))))</f>
        <v/>
      </c>
      <c r="L15" s="29">
        <f>IF(OR(G15="",H15=""),"",IF(SUMPRODUCT(ISNUMBER('설정'!$C$6:$C$8)*(ABS(G15-'설정'!$C$6:$C$8)&lt;='설정'!$C$15))+SUMPRODUCT(ISNUMBER('설정'!$D$6:$D$8)*(ABS((G15+H15)-'설정'!$D$6:$D$8)&lt;='설정'!$C$15))+SUMPRODUCT(ISNUMBER('설정'!$F$6:$F$8)*(ABS((G15+H15)-'설정'!$F$6:$F$8)&lt;='설정'!$C$15))+SUMPRODUCT(ISNUMBER('설정'!$E$6:$E$8)*(ABS(G15-'설정'!$E$6:$E$8)&lt;='설정'!$C$15))+SUMPRODUCT(ISNUMBER('설정'!$E$6:$E$8)*(ABS(H15-'설정'!$E$6:$E$8)&lt;='설정'!$C$15))&gt;0,"경계",""))</f>
        <v/>
      </c>
      <c r="M15" s="7" t="n"/>
      <c r="N15" s="7" t="n"/>
      <c r="O15" s="27">
        <f>IF(M15&lt;&gt;"",M15,K15)</f>
        <v/>
      </c>
      <c r="P15" s="30">
        <f>IF(I15="","",IF(G15="","공수1 미응시",IF(H15="","공수2 미응시","")))</f>
        <v/>
      </c>
      <c r="Q15" s="10">
        <f>IF(J15="","",J15+ROW()/100000)</f>
        <v/>
      </c>
    </row>
    <row r="16">
      <c r="A16" s="5" t="n">
        <v>10</v>
      </c>
      <c r="B16" s="10">
        <f>IF('학생명단'!B16="","",'학생명단'!B16)</f>
        <v/>
      </c>
      <c r="C16" s="10">
        <f>IF('학생명단'!C16="","",'학생명단'!C16)</f>
        <v/>
      </c>
      <c r="D16" s="10">
        <f>IF('학생명단'!D16="","",'학생명단'!D16)</f>
        <v/>
      </c>
      <c r="E16" s="10">
        <f>IF('학생명단'!E16="","",'학생명단'!E16)</f>
        <v/>
      </c>
      <c r="F16" s="11">
        <f>IF('학생명단'!F16="","",'학생명단'!F16)</f>
        <v/>
      </c>
      <c r="G16" s="10">
        <f>'공수1'!Y16</f>
        <v/>
      </c>
      <c r="H16" s="10">
        <f>'공수2'!Y16</f>
        <v/>
      </c>
      <c r="I16" s="28">
        <f>IF(AND(G16="",H16=""),"",N(G16)*'설정'!$C$13+N(H16)*'설정'!$C$14)</f>
        <v/>
      </c>
      <c r="J16" s="10">
        <f>IF(I16="","",COUNTIF($I$7:$I$156,"&gt;"&amp;I16)+1)</f>
        <v/>
      </c>
      <c r="K16" s="27">
        <f>IF(I16="","",IF(IF(COUNT('설정'!$C$6:$F$6)=0,AND(G16&lt;&gt;"",H16&lt;&gt;""),OR(AND('설정'!$C$6&lt;&gt;"",G16&lt;&gt;"",N(G16)&gt;='설정'!$C$6),AND('설정'!$D$6&lt;&gt;"",AND(G16&lt;&gt;"",H16&lt;&gt;""),(N(G16)+N(H16))&gt;='설정'!$D$6),AND('설정'!$E$6&lt;&gt;"",OR(AND(G16&lt;&gt;"",N(G16)&lt;='설정'!$E$6),AND(H16&lt;&gt;"",N(H16)&lt;='설정'!$E$6))),AND('설정'!$F$6&lt;&gt;"",AND(G16&lt;&gt;"",H16&lt;&gt;""),(N(G16)+N(H16))&lt;='설정'!$F$6))),'설정'!$B$6,IF(IF(COUNT('설정'!$C$7:$F$7)=0,AND(G16&lt;&gt;"",H16&lt;&gt;""),OR(AND('설정'!$C$7&lt;&gt;"",G16&lt;&gt;"",N(G16)&gt;='설정'!$C$7),AND('설정'!$D$7&lt;&gt;"",AND(G16&lt;&gt;"",H16&lt;&gt;""),(N(G16)+N(H16))&gt;='설정'!$D$7),AND('설정'!$E$7&lt;&gt;"",OR(AND(G16&lt;&gt;"",N(G16)&lt;='설정'!$E$7),AND(H16&lt;&gt;"",N(H16)&lt;='설정'!$E$7))),AND('설정'!$F$7&lt;&gt;"",AND(G16&lt;&gt;"",H16&lt;&gt;""),(N(G16)+N(H16))&lt;='설정'!$F$7))),'설정'!$B$7,IF(IF(COUNT('설정'!$C$8:$F$8)=0,AND(G16&lt;&gt;"",H16&lt;&gt;""),OR(AND('설정'!$C$8&lt;&gt;"",G16&lt;&gt;"",N(G16)&gt;='설정'!$C$8),AND('설정'!$D$8&lt;&gt;"",AND(G16&lt;&gt;"",H16&lt;&gt;""),(N(G16)+N(H16))&gt;='설정'!$D$8),AND('설정'!$E$8&lt;&gt;"",OR(AND(G16&lt;&gt;"",N(G16)&lt;='설정'!$E$8),AND(H16&lt;&gt;"",N(H16)&lt;='설정'!$E$8))),AND('설정'!$F$8&lt;&gt;"",AND(G16&lt;&gt;"",H16&lt;&gt;""),(N(G16)+N(H16))&lt;='설정'!$F$8))),'설정'!$B$8,'설정'!$B$9))))</f>
        <v/>
      </c>
      <c r="L16" s="29">
        <f>IF(OR(G16="",H16=""),"",IF(SUMPRODUCT(ISNUMBER('설정'!$C$6:$C$8)*(ABS(G16-'설정'!$C$6:$C$8)&lt;='설정'!$C$15))+SUMPRODUCT(ISNUMBER('설정'!$D$6:$D$8)*(ABS((G16+H16)-'설정'!$D$6:$D$8)&lt;='설정'!$C$15))+SUMPRODUCT(ISNUMBER('설정'!$F$6:$F$8)*(ABS((G16+H16)-'설정'!$F$6:$F$8)&lt;='설정'!$C$15))+SUMPRODUCT(ISNUMBER('설정'!$E$6:$E$8)*(ABS(G16-'설정'!$E$6:$E$8)&lt;='설정'!$C$15))+SUMPRODUCT(ISNUMBER('설정'!$E$6:$E$8)*(ABS(H16-'설정'!$E$6:$E$8)&lt;='설정'!$C$15))&gt;0,"경계",""))</f>
        <v/>
      </c>
      <c r="M16" s="7" t="n"/>
      <c r="N16" s="7" t="n"/>
      <c r="O16" s="27">
        <f>IF(M16&lt;&gt;"",M16,K16)</f>
        <v/>
      </c>
      <c r="P16" s="30">
        <f>IF(I16="","",IF(G16="","공수1 미응시",IF(H16="","공수2 미응시","")))</f>
        <v/>
      </c>
      <c r="Q16" s="10">
        <f>IF(J16="","",J16+ROW()/100000)</f>
        <v/>
      </c>
    </row>
    <row r="17">
      <c r="A17" s="5" t="n">
        <v>11</v>
      </c>
      <c r="B17" s="10">
        <f>IF('학생명단'!B17="","",'학생명단'!B17)</f>
        <v/>
      </c>
      <c r="C17" s="10">
        <f>IF('학생명단'!C17="","",'학생명단'!C17)</f>
        <v/>
      </c>
      <c r="D17" s="10">
        <f>IF('학생명단'!D17="","",'학생명단'!D17)</f>
        <v/>
      </c>
      <c r="E17" s="10">
        <f>IF('학생명단'!E17="","",'학생명단'!E17)</f>
        <v/>
      </c>
      <c r="F17" s="11">
        <f>IF('학생명단'!F17="","",'학생명단'!F17)</f>
        <v/>
      </c>
      <c r="G17" s="10">
        <f>'공수1'!Y17</f>
        <v/>
      </c>
      <c r="H17" s="10">
        <f>'공수2'!Y17</f>
        <v/>
      </c>
      <c r="I17" s="28">
        <f>IF(AND(G17="",H17=""),"",N(G17)*'설정'!$C$13+N(H17)*'설정'!$C$14)</f>
        <v/>
      </c>
      <c r="J17" s="10">
        <f>IF(I17="","",COUNTIF($I$7:$I$156,"&gt;"&amp;I17)+1)</f>
        <v/>
      </c>
      <c r="K17" s="27">
        <f>IF(I17="","",IF(IF(COUNT('설정'!$C$6:$F$6)=0,AND(G17&lt;&gt;"",H17&lt;&gt;""),OR(AND('설정'!$C$6&lt;&gt;"",G17&lt;&gt;"",N(G17)&gt;='설정'!$C$6),AND('설정'!$D$6&lt;&gt;"",AND(G17&lt;&gt;"",H17&lt;&gt;""),(N(G17)+N(H17))&gt;='설정'!$D$6),AND('설정'!$E$6&lt;&gt;"",OR(AND(G17&lt;&gt;"",N(G17)&lt;='설정'!$E$6),AND(H17&lt;&gt;"",N(H17)&lt;='설정'!$E$6))),AND('설정'!$F$6&lt;&gt;"",AND(G17&lt;&gt;"",H17&lt;&gt;""),(N(G17)+N(H17))&lt;='설정'!$F$6))),'설정'!$B$6,IF(IF(COUNT('설정'!$C$7:$F$7)=0,AND(G17&lt;&gt;"",H17&lt;&gt;""),OR(AND('설정'!$C$7&lt;&gt;"",G17&lt;&gt;"",N(G17)&gt;='설정'!$C$7),AND('설정'!$D$7&lt;&gt;"",AND(G17&lt;&gt;"",H17&lt;&gt;""),(N(G17)+N(H17))&gt;='설정'!$D$7),AND('설정'!$E$7&lt;&gt;"",OR(AND(G17&lt;&gt;"",N(G17)&lt;='설정'!$E$7),AND(H17&lt;&gt;"",N(H17)&lt;='설정'!$E$7))),AND('설정'!$F$7&lt;&gt;"",AND(G17&lt;&gt;"",H17&lt;&gt;""),(N(G17)+N(H17))&lt;='설정'!$F$7))),'설정'!$B$7,IF(IF(COUNT('설정'!$C$8:$F$8)=0,AND(G17&lt;&gt;"",H17&lt;&gt;""),OR(AND('설정'!$C$8&lt;&gt;"",G17&lt;&gt;"",N(G17)&gt;='설정'!$C$8),AND('설정'!$D$8&lt;&gt;"",AND(G17&lt;&gt;"",H17&lt;&gt;""),(N(G17)+N(H17))&gt;='설정'!$D$8),AND('설정'!$E$8&lt;&gt;"",OR(AND(G17&lt;&gt;"",N(G17)&lt;='설정'!$E$8),AND(H17&lt;&gt;"",N(H17)&lt;='설정'!$E$8))),AND('설정'!$F$8&lt;&gt;"",AND(G17&lt;&gt;"",H17&lt;&gt;""),(N(G17)+N(H17))&lt;='설정'!$F$8))),'설정'!$B$8,'설정'!$B$9))))</f>
        <v/>
      </c>
      <c r="L17" s="29">
        <f>IF(OR(G17="",H17=""),"",IF(SUMPRODUCT(ISNUMBER('설정'!$C$6:$C$8)*(ABS(G17-'설정'!$C$6:$C$8)&lt;='설정'!$C$15))+SUMPRODUCT(ISNUMBER('설정'!$D$6:$D$8)*(ABS((G17+H17)-'설정'!$D$6:$D$8)&lt;='설정'!$C$15))+SUMPRODUCT(ISNUMBER('설정'!$F$6:$F$8)*(ABS((G17+H17)-'설정'!$F$6:$F$8)&lt;='설정'!$C$15))+SUMPRODUCT(ISNUMBER('설정'!$E$6:$E$8)*(ABS(G17-'설정'!$E$6:$E$8)&lt;='설정'!$C$15))+SUMPRODUCT(ISNUMBER('설정'!$E$6:$E$8)*(ABS(H17-'설정'!$E$6:$E$8)&lt;='설정'!$C$15))&gt;0,"경계",""))</f>
        <v/>
      </c>
      <c r="M17" s="7" t="n"/>
      <c r="N17" s="7" t="n"/>
      <c r="O17" s="27">
        <f>IF(M17&lt;&gt;"",M17,K17)</f>
        <v/>
      </c>
      <c r="P17" s="30">
        <f>IF(I17="","",IF(G17="","공수1 미응시",IF(H17="","공수2 미응시","")))</f>
        <v/>
      </c>
      <c r="Q17" s="10">
        <f>IF(J17="","",J17+ROW()/100000)</f>
        <v/>
      </c>
    </row>
    <row r="18">
      <c r="A18" s="5" t="n">
        <v>12</v>
      </c>
      <c r="B18" s="10">
        <f>IF('학생명단'!B18="","",'학생명단'!B18)</f>
        <v/>
      </c>
      <c r="C18" s="10">
        <f>IF('학생명단'!C18="","",'학생명단'!C18)</f>
        <v/>
      </c>
      <c r="D18" s="10">
        <f>IF('학생명단'!D18="","",'학생명단'!D18)</f>
        <v/>
      </c>
      <c r="E18" s="10">
        <f>IF('학생명단'!E18="","",'학생명단'!E18)</f>
        <v/>
      </c>
      <c r="F18" s="11">
        <f>IF('학생명단'!F18="","",'학생명단'!F18)</f>
        <v/>
      </c>
      <c r="G18" s="10">
        <f>'공수1'!Y18</f>
        <v/>
      </c>
      <c r="H18" s="10">
        <f>'공수2'!Y18</f>
        <v/>
      </c>
      <c r="I18" s="28">
        <f>IF(AND(G18="",H18=""),"",N(G18)*'설정'!$C$13+N(H18)*'설정'!$C$14)</f>
        <v/>
      </c>
      <c r="J18" s="10">
        <f>IF(I18="","",COUNTIF($I$7:$I$156,"&gt;"&amp;I18)+1)</f>
        <v/>
      </c>
      <c r="K18" s="27">
        <f>IF(I18="","",IF(IF(COUNT('설정'!$C$6:$F$6)=0,AND(G18&lt;&gt;"",H18&lt;&gt;""),OR(AND('설정'!$C$6&lt;&gt;"",G18&lt;&gt;"",N(G18)&gt;='설정'!$C$6),AND('설정'!$D$6&lt;&gt;"",AND(G18&lt;&gt;"",H18&lt;&gt;""),(N(G18)+N(H18))&gt;='설정'!$D$6),AND('설정'!$E$6&lt;&gt;"",OR(AND(G18&lt;&gt;"",N(G18)&lt;='설정'!$E$6),AND(H18&lt;&gt;"",N(H18)&lt;='설정'!$E$6))),AND('설정'!$F$6&lt;&gt;"",AND(G18&lt;&gt;"",H18&lt;&gt;""),(N(G18)+N(H18))&lt;='설정'!$F$6))),'설정'!$B$6,IF(IF(COUNT('설정'!$C$7:$F$7)=0,AND(G18&lt;&gt;"",H18&lt;&gt;""),OR(AND('설정'!$C$7&lt;&gt;"",G18&lt;&gt;"",N(G18)&gt;='설정'!$C$7),AND('설정'!$D$7&lt;&gt;"",AND(G18&lt;&gt;"",H18&lt;&gt;""),(N(G18)+N(H18))&gt;='설정'!$D$7),AND('설정'!$E$7&lt;&gt;"",OR(AND(G18&lt;&gt;"",N(G18)&lt;='설정'!$E$7),AND(H18&lt;&gt;"",N(H18)&lt;='설정'!$E$7))),AND('설정'!$F$7&lt;&gt;"",AND(G18&lt;&gt;"",H18&lt;&gt;""),(N(G18)+N(H18))&lt;='설정'!$F$7))),'설정'!$B$7,IF(IF(COUNT('설정'!$C$8:$F$8)=0,AND(G18&lt;&gt;"",H18&lt;&gt;""),OR(AND('설정'!$C$8&lt;&gt;"",G18&lt;&gt;"",N(G18)&gt;='설정'!$C$8),AND('설정'!$D$8&lt;&gt;"",AND(G18&lt;&gt;"",H18&lt;&gt;""),(N(G18)+N(H18))&gt;='설정'!$D$8),AND('설정'!$E$8&lt;&gt;"",OR(AND(G18&lt;&gt;"",N(G18)&lt;='설정'!$E$8),AND(H18&lt;&gt;"",N(H18)&lt;='설정'!$E$8))),AND('설정'!$F$8&lt;&gt;"",AND(G18&lt;&gt;"",H18&lt;&gt;""),(N(G18)+N(H18))&lt;='설정'!$F$8))),'설정'!$B$8,'설정'!$B$9))))</f>
        <v/>
      </c>
      <c r="L18" s="29">
        <f>IF(OR(G18="",H18=""),"",IF(SUMPRODUCT(ISNUMBER('설정'!$C$6:$C$8)*(ABS(G18-'설정'!$C$6:$C$8)&lt;='설정'!$C$15))+SUMPRODUCT(ISNUMBER('설정'!$D$6:$D$8)*(ABS((G18+H18)-'설정'!$D$6:$D$8)&lt;='설정'!$C$15))+SUMPRODUCT(ISNUMBER('설정'!$F$6:$F$8)*(ABS((G18+H18)-'설정'!$F$6:$F$8)&lt;='설정'!$C$15))+SUMPRODUCT(ISNUMBER('설정'!$E$6:$E$8)*(ABS(G18-'설정'!$E$6:$E$8)&lt;='설정'!$C$15))+SUMPRODUCT(ISNUMBER('설정'!$E$6:$E$8)*(ABS(H18-'설정'!$E$6:$E$8)&lt;='설정'!$C$15))&gt;0,"경계",""))</f>
        <v/>
      </c>
      <c r="M18" s="7" t="n"/>
      <c r="N18" s="7" t="n"/>
      <c r="O18" s="27">
        <f>IF(M18&lt;&gt;"",M18,K18)</f>
        <v/>
      </c>
      <c r="P18" s="30">
        <f>IF(I18="","",IF(G18="","공수1 미응시",IF(H18="","공수2 미응시","")))</f>
        <v/>
      </c>
      <c r="Q18" s="10">
        <f>IF(J18="","",J18+ROW()/100000)</f>
        <v/>
      </c>
    </row>
    <row r="19">
      <c r="A19" s="5" t="n">
        <v>13</v>
      </c>
      <c r="B19" s="10">
        <f>IF('학생명단'!B19="","",'학생명단'!B19)</f>
        <v/>
      </c>
      <c r="C19" s="10">
        <f>IF('학생명단'!C19="","",'학생명단'!C19)</f>
        <v/>
      </c>
      <c r="D19" s="10">
        <f>IF('학생명단'!D19="","",'학생명단'!D19)</f>
        <v/>
      </c>
      <c r="E19" s="10">
        <f>IF('학생명단'!E19="","",'학생명단'!E19)</f>
        <v/>
      </c>
      <c r="F19" s="11">
        <f>IF('학생명단'!F19="","",'학생명단'!F19)</f>
        <v/>
      </c>
      <c r="G19" s="10">
        <f>'공수1'!Y19</f>
        <v/>
      </c>
      <c r="H19" s="10">
        <f>'공수2'!Y19</f>
        <v/>
      </c>
      <c r="I19" s="28">
        <f>IF(AND(G19="",H19=""),"",N(G19)*'설정'!$C$13+N(H19)*'설정'!$C$14)</f>
        <v/>
      </c>
      <c r="J19" s="10">
        <f>IF(I19="","",COUNTIF($I$7:$I$156,"&gt;"&amp;I19)+1)</f>
        <v/>
      </c>
      <c r="K19" s="27">
        <f>IF(I19="","",IF(IF(COUNT('설정'!$C$6:$F$6)=0,AND(G19&lt;&gt;"",H19&lt;&gt;""),OR(AND('설정'!$C$6&lt;&gt;"",G19&lt;&gt;"",N(G19)&gt;='설정'!$C$6),AND('설정'!$D$6&lt;&gt;"",AND(G19&lt;&gt;"",H19&lt;&gt;""),(N(G19)+N(H19))&gt;='설정'!$D$6),AND('설정'!$E$6&lt;&gt;"",OR(AND(G19&lt;&gt;"",N(G19)&lt;='설정'!$E$6),AND(H19&lt;&gt;"",N(H19)&lt;='설정'!$E$6))),AND('설정'!$F$6&lt;&gt;"",AND(G19&lt;&gt;"",H19&lt;&gt;""),(N(G19)+N(H19))&lt;='설정'!$F$6))),'설정'!$B$6,IF(IF(COUNT('설정'!$C$7:$F$7)=0,AND(G19&lt;&gt;"",H19&lt;&gt;""),OR(AND('설정'!$C$7&lt;&gt;"",G19&lt;&gt;"",N(G19)&gt;='설정'!$C$7),AND('설정'!$D$7&lt;&gt;"",AND(G19&lt;&gt;"",H19&lt;&gt;""),(N(G19)+N(H19))&gt;='설정'!$D$7),AND('설정'!$E$7&lt;&gt;"",OR(AND(G19&lt;&gt;"",N(G19)&lt;='설정'!$E$7),AND(H19&lt;&gt;"",N(H19)&lt;='설정'!$E$7))),AND('설정'!$F$7&lt;&gt;"",AND(G19&lt;&gt;"",H19&lt;&gt;""),(N(G19)+N(H19))&lt;='설정'!$F$7))),'설정'!$B$7,IF(IF(COUNT('설정'!$C$8:$F$8)=0,AND(G19&lt;&gt;"",H19&lt;&gt;""),OR(AND('설정'!$C$8&lt;&gt;"",G19&lt;&gt;"",N(G19)&gt;='설정'!$C$8),AND('설정'!$D$8&lt;&gt;"",AND(G19&lt;&gt;"",H19&lt;&gt;""),(N(G19)+N(H19))&gt;='설정'!$D$8),AND('설정'!$E$8&lt;&gt;"",OR(AND(G19&lt;&gt;"",N(G19)&lt;='설정'!$E$8),AND(H19&lt;&gt;"",N(H19)&lt;='설정'!$E$8))),AND('설정'!$F$8&lt;&gt;"",AND(G19&lt;&gt;"",H19&lt;&gt;""),(N(G19)+N(H19))&lt;='설정'!$F$8))),'설정'!$B$8,'설정'!$B$9))))</f>
        <v/>
      </c>
      <c r="L19" s="29">
        <f>IF(OR(G19="",H19=""),"",IF(SUMPRODUCT(ISNUMBER('설정'!$C$6:$C$8)*(ABS(G19-'설정'!$C$6:$C$8)&lt;='설정'!$C$15))+SUMPRODUCT(ISNUMBER('설정'!$D$6:$D$8)*(ABS((G19+H19)-'설정'!$D$6:$D$8)&lt;='설정'!$C$15))+SUMPRODUCT(ISNUMBER('설정'!$F$6:$F$8)*(ABS((G19+H19)-'설정'!$F$6:$F$8)&lt;='설정'!$C$15))+SUMPRODUCT(ISNUMBER('설정'!$E$6:$E$8)*(ABS(G19-'설정'!$E$6:$E$8)&lt;='설정'!$C$15))+SUMPRODUCT(ISNUMBER('설정'!$E$6:$E$8)*(ABS(H19-'설정'!$E$6:$E$8)&lt;='설정'!$C$15))&gt;0,"경계",""))</f>
        <v/>
      </c>
      <c r="M19" s="7" t="n"/>
      <c r="N19" s="7" t="n"/>
      <c r="O19" s="27">
        <f>IF(M19&lt;&gt;"",M19,K19)</f>
        <v/>
      </c>
      <c r="P19" s="30">
        <f>IF(I19="","",IF(G19="","공수1 미응시",IF(H19="","공수2 미응시","")))</f>
        <v/>
      </c>
      <c r="Q19" s="10">
        <f>IF(J19="","",J19+ROW()/100000)</f>
        <v/>
      </c>
    </row>
    <row r="20">
      <c r="A20" s="5" t="n">
        <v>14</v>
      </c>
      <c r="B20" s="10">
        <f>IF('학생명단'!B20="","",'학생명단'!B20)</f>
        <v/>
      </c>
      <c r="C20" s="10">
        <f>IF('학생명단'!C20="","",'학생명단'!C20)</f>
        <v/>
      </c>
      <c r="D20" s="10">
        <f>IF('학생명단'!D20="","",'학생명단'!D20)</f>
        <v/>
      </c>
      <c r="E20" s="10">
        <f>IF('학생명단'!E20="","",'학생명단'!E20)</f>
        <v/>
      </c>
      <c r="F20" s="11">
        <f>IF('학생명단'!F20="","",'학생명단'!F20)</f>
        <v/>
      </c>
      <c r="G20" s="10">
        <f>'공수1'!Y20</f>
        <v/>
      </c>
      <c r="H20" s="10">
        <f>'공수2'!Y20</f>
        <v/>
      </c>
      <c r="I20" s="28">
        <f>IF(AND(G20="",H20=""),"",N(G20)*'설정'!$C$13+N(H20)*'설정'!$C$14)</f>
        <v/>
      </c>
      <c r="J20" s="10">
        <f>IF(I20="","",COUNTIF($I$7:$I$156,"&gt;"&amp;I20)+1)</f>
        <v/>
      </c>
      <c r="K20" s="27">
        <f>IF(I20="","",IF(IF(COUNT('설정'!$C$6:$F$6)=0,AND(G20&lt;&gt;"",H20&lt;&gt;""),OR(AND('설정'!$C$6&lt;&gt;"",G20&lt;&gt;"",N(G20)&gt;='설정'!$C$6),AND('설정'!$D$6&lt;&gt;"",AND(G20&lt;&gt;"",H20&lt;&gt;""),(N(G20)+N(H20))&gt;='설정'!$D$6),AND('설정'!$E$6&lt;&gt;"",OR(AND(G20&lt;&gt;"",N(G20)&lt;='설정'!$E$6),AND(H20&lt;&gt;"",N(H20)&lt;='설정'!$E$6))),AND('설정'!$F$6&lt;&gt;"",AND(G20&lt;&gt;"",H20&lt;&gt;""),(N(G20)+N(H20))&lt;='설정'!$F$6))),'설정'!$B$6,IF(IF(COUNT('설정'!$C$7:$F$7)=0,AND(G20&lt;&gt;"",H20&lt;&gt;""),OR(AND('설정'!$C$7&lt;&gt;"",G20&lt;&gt;"",N(G20)&gt;='설정'!$C$7),AND('설정'!$D$7&lt;&gt;"",AND(G20&lt;&gt;"",H20&lt;&gt;""),(N(G20)+N(H20))&gt;='설정'!$D$7),AND('설정'!$E$7&lt;&gt;"",OR(AND(G20&lt;&gt;"",N(G20)&lt;='설정'!$E$7),AND(H20&lt;&gt;"",N(H20)&lt;='설정'!$E$7))),AND('설정'!$F$7&lt;&gt;"",AND(G20&lt;&gt;"",H20&lt;&gt;""),(N(G20)+N(H20))&lt;='설정'!$F$7))),'설정'!$B$7,IF(IF(COUNT('설정'!$C$8:$F$8)=0,AND(G20&lt;&gt;"",H20&lt;&gt;""),OR(AND('설정'!$C$8&lt;&gt;"",G20&lt;&gt;"",N(G20)&gt;='설정'!$C$8),AND('설정'!$D$8&lt;&gt;"",AND(G20&lt;&gt;"",H20&lt;&gt;""),(N(G20)+N(H20))&gt;='설정'!$D$8),AND('설정'!$E$8&lt;&gt;"",OR(AND(G20&lt;&gt;"",N(G20)&lt;='설정'!$E$8),AND(H20&lt;&gt;"",N(H20)&lt;='설정'!$E$8))),AND('설정'!$F$8&lt;&gt;"",AND(G20&lt;&gt;"",H20&lt;&gt;""),(N(G20)+N(H20))&lt;='설정'!$F$8))),'설정'!$B$8,'설정'!$B$9))))</f>
        <v/>
      </c>
      <c r="L20" s="29">
        <f>IF(OR(G20="",H20=""),"",IF(SUMPRODUCT(ISNUMBER('설정'!$C$6:$C$8)*(ABS(G20-'설정'!$C$6:$C$8)&lt;='설정'!$C$15))+SUMPRODUCT(ISNUMBER('설정'!$D$6:$D$8)*(ABS((G20+H20)-'설정'!$D$6:$D$8)&lt;='설정'!$C$15))+SUMPRODUCT(ISNUMBER('설정'!$F$6:$F$8)*(ABS((G20+H20)-'설정'!$F$6:$F$8)&lt;='설정'!$C$15))+SUMPRODUCT(ISNUMBER('설정'!$E$6:$E$8)*(ABS(G20-'설정'!$E$6:$E$8)&lt;='설정'!$C$15))+SUMPRODUCT(ISNUMBER('설정'!$E$6:$E$8)*(ABS(H20-'설정'!$E$6:$E$8)&lt;='설정'!$C$15))&gt;0,"경계",""))</f>
        <v/>
      </c>
      <c r="M20" s="7" t="n"/>
      <c r="N20" s="7" t="n"/>
      <c r="O20" s="27">
        <f>IF(M20&lt;&gt;"",M20,K20)</f>
        <v/>
      </c>
      <c r="P20" s="30">
        <f>IF(I20="","",IF(G20="","공수1 미응시",IF(H20="","공수2 미응시","")))</f>
        <v/>
      </c>
      <c r="Q20" s="10">
        <f>IF(J20="","",J20+ROW()/100000)</f>
        <v/>
      </c>
    </row>
    <row r="21">
      <c r="A21" s="5" t="n">
        <v>15</v>
      </c>
      <c r="B21" s="10">
        <f>IF('학생명단'!B21="","",'학생명단'!B21)</f>
        <v/>
      </c>
      <c r="C21" s="10">
        <f>IF('학생명단'!C21="","",'학생명단'!C21)</f>
        <v/>
      </c>
      <c r="D21" s="10">
        <f>IF('학생명단'!D21="","",'학생명단'!D21)</f>
        <v/>
      </c>
      <c r="E21" s="10">
        <f>IF('학생명단'!E21="","",'학생명단'!E21)</f>
        <v/>
      </c>
      <c r="F21" s="11">
        <f>IF('학생명단'!F21="","",'학생명단'!F21)</f>
        <v/>
      </c>
      <c r="G21" s="10">
        <f>'공수1'!Y21</f>
        <v/>
      </c>
      <c r="H21" s="10">
        <f>'공수2'!Y21</f>
        <v/>
      </c>
      <c r="I21" s="28">
        <f>IF(AND(G21="",H21=""),"",N(G21)*'설정'!$C$13+N(H21)*'설정'!$C$14)</f>
        <v/>
      </c>
      <c r="J21" s="10">
        <f>IF(I21="","",COUNTIF($I$7:$I$156,"&gt;"&amp;I21)+1)</f>
        <v/>
      </c>
      <c r="K21" s="27">
        <f>IF(I21="","",IF(IF(COUNT('설정'!$C$6:$F$6)=0,AND(G21&lt;&gt;"",H21&lt;&gt;""),OR(AND('설정'!$C$6&lt;&gt;"",G21&lt;&gt;"",N(G21)&gt;='설정'!$C$6),AND('설정'!$D$6&lt;&gt;"",AND(G21&lt;&gt;"",H21&lt;&gt;""),(N(G21)+N(H21))&gt;='설정'!$D$6),AND('설정'!$E$6&lt;&gt;"",OR(AND(G21&lt;&gt;"",N(G21)&lt;='설정'!$E$6),AND(H21&lt;&gt;"",N(H21)&lt;='설정'!$E$6))),AND('설정'!$F$6&lt;&gt;"",AND(G21&lt;&gt;"",H21&lt;&gt;""),(N(G21)+N(H21))&lt;='설정'!$F$6))),'설정'!$B$6,IF(IF(COUNT('설정'!$C$7:$F$7)=0,AND(G21&lt;&gt;"",H21&lt;&gt;""),OR(AND('설정'!$C$7&lt;&gt;"",G21&lt;&gt;"",N(G21)&gt;='설정'!$C$7),AND('설정'!$D$7&lt;&gt;"",AND(G21&lt;&gt;"",H21&lt;&gt;""),(N(G21)+N(H21))&gt;='설정'!$D$7),AND('설정'!$E$7&lt;&gt;"",OR(AND(G21&lt;&gt;"",N(G21)&lt;='설정'!$E$7),AND(H21&lt;&gt;"",N(H21)&lt;='설정'!$E$7))),AND('설정'!$F$7&lt;&gt;"",AND(G21&lt;&gt;"",H21&lt;&gt;""),(N(G21)+N(H21))&lt;='설정'!$F$7))),'설정'!$B$7,IF(IF(COUNT('설정'!$C$8:$F$8)=0,AND(G21&lt;&gt;"",H21&lt;&gt;""),OR(AND('설정'!$C$8&lt;&gt;"",G21&lt;&gt;"",N(G21)&gt;='설정'!$C$8),AND('설정'!$D$8&lt;&gt;"",AND(G21&lt;&gt;"",H21&lt;&gt;""),(N(G21)+N(H21))&gt;='설정'!$D$8),AND('설정'!$E$8&lt;&gt;"",OR(AND(G21&lt;&gt;"",N(G21)&lt;='설정'!$E$8),AND(H21&lt;&gt;"",N(H21)&lt;='설정'!$E$8))),AND('설정'!$F$8&lt;&gt;"",AND(G21&lt;&gt;"",H21&lt;&gt;""),(N(G21)+N(H21))&lt;='설정'!$F$8))),'설정'!$B$8,'설정'!$B$9))))</f>
        <v/>
      </c>
      <c r="L21" s="29">
        <f>IF(OR(G21="",H21=""),"",IF(SUMPRODUCT(ISNUMBER('설정'!$C$6:$C$8)*(ABS(G21-'설정'!$C$6:$C$8)&lt;='설정'!$C$15))+SUMPRODUCT(ISNUMBER('설정'!$D$6:$D$8)*(ABS((G21+H21)-'설정'!$D$6:$D$8)&lt;='설정'!$C$15))+SUMPRODUCT(ISNUMBER('설정'!$F$6:$F$8)*(ABS((G21+H21)-'설정'!$F$6:$F$8)&lt;='설정'!$C$15))+SUMPRODUCT(ISNUMBER('설정'!$E$6:$E$8)*(ABS(G21-'설정'!$E$6:$E$8)&lt;='설정'!$C$15))+SUMPRODUCT(ISNUMBER('설정'!$E$6:$E$8)*(ABS(H21-'설정'!$E$6:$E$8)&lt;='설정'!$C$15))&gt;0,"경계",""))</f>
        <v/>
      </c>
      <c r="M21" s="7" t="n"/>
      <c r="N21" s="7" t="n"/>
      <c r="O21" s="27">
        <f>IF(M21&lt;&gt;"",M21,K21)</f>
        <v/>
      </c>
      <c r="P21" s="30">
        <f>IF(I21="","",IF(G21="","공수1 미응시",IF(H21="","공수2 미응시","")))</f>
        <v/>
      </c>
      <c r="Q21" s="10">
        <f>IF(J21="","",J21+ROW()/100000)</f>
        <v/>
      </c>
    </row>
    <row r="22">
      <c r="A22" s="5" t="n">
        <v>16</v>
      </c>
      <c r="B22" s="10">
        <f>IF('학생명단'!B22="","",'학생명단'!B22)</f>
        <v/>
      </c>
      <c r="C22" s="10">
        <f>IF('학생명단'!C22="","",'학생명단'!C22)</f>
        <v/>
      </c>
      <c r="D22" s="10">
        <f>IF('학생명단'!D22="","",'학생명단'!D22)</f>
        <v/>
      </c>
      <c r="E22" s="10">
        <f>IF('학생명단'!E22="","",'학생명단'!E22)</f>
        <v/>
      </c>
      <c r="F22" s="11">
        <f>IF('학생명단'!F22="","",'학생명단'!F22)</f>
        <v/>
      </c>
      <c r="G22" s="10">
        <f>'공수1'!Y22</f>
        <v/>
      </c>
      <c r="H22" s="10">
        <f>'공수2'!Y22</f>
        <v/>
      </c>
      <c r="I22" s="28">
        <f>IF(AND(G22="",H22=""),"",N(G22)*'설정'!$C$13+N(H22)*'설정'!$C$14)</f>
        <v/>
      </c>
      <c r="J22" s="10">
        <f>IF(I22="","",COUNTIF($I$7:$I$156,"&gt;"&amp;I22)+1)</f>
        <v/>
      </c>
      <c r="K22" s="27">
        <f>IF(I22="","",IF(IF(COUNT('설정'!$C$6:$F$6)=0,AND(G22&lt;&gt;"",H22&lt;&gt;""),OR(AND('설정'!$C$6&lt;&gt;"",G22&lt;&gt;"",N(G22)&gt;='설정'!$C$6),AND('설정'!$D$6&lt;&gt;"",AND(G22&lt;&gt;"",H22&lt;&gt;""),(N(G22)+N(H22))&gt;='설정'!$D$6),AND('설정'!$E$6&lt;&gt;"",OR(AND(G22&lt;&gt;"",N(G22)&lt;='설정'!$E$6),AND(H22&lt;&gt;"",N(H22)&lt;='설정'!$E$6))),AND('설정'!$F$6&lt;&gt;"",AND(G22&lt;&gt;"",H22&lt;&gt;""),(N(G22)+N(H22))&lt;='설정'!$F$6))),'설정'!$B$6,IF(IF(COUNT('설정'!$C$7:$F$7)=0,AND(G22&lt;&gt;"",H22&lt;&gt;""),OR(AND('설정'!$C$7&lt;&gt;"",G22&lt;&gt;"",N(G22)&gt;='설정'!$C$7),AND('설정'!$D$7&lt;&gt;"",AND(G22&lt;&gt;"",H22&lt;&gt;""),(N(G22)+N(H22))&gt;='설정'!$D$7),AND('설정'!$E$7&lt;&gt;"",OR(AND(G22&lt;&gt;"",N(G22)&lt;='설정'!$E$7),AND(H22&lt;&gt;"",N(H22)&lt;='설정'!$E$7))),AND('설정'!$F$7&lt;&gt;"",AND(G22&lt;&gt;"",H22&lt;&gt;""),(N(G22)+N(H22))&lt;='설정'!$F$7))),'설정'!$B$7,IF(IF(COUNT('설정'!$C$8:$F$8)=0,AND(G22&lt;&gt;"",H22&lt;&gt;""),OR(AND('설정'!$C$8&lt;&gt;"",G22&lt;&gt;"",N(G22)&gt;='설정'!$C$8),AND('설정'!$D$8&lt;&gt;"",AND(G22&lt;&gt;"",H22&lt;&gt;""),(N(G22)+N(H22))&gt;='설정'!$D$8),AND('설정'!$E$8&lt;&gt;"",OR(AND(G22&lt;&gt;"",N(G22)&lt;='설정'!$E$8),AND(H22&lt;&gt;"",N(H22)&lt;='설정'!$E$8))),AND('설정'!$F$8&lt;&gt;"",AND(G22&lt;&gt;"",H22&lt;&gt;""),(N(G22)+N(H22))&lt;='설정'!$F$8))),'설정'!$B$8,'설정'!$B$9))))</f>
        <v/>
      </c>
      <c r="L22" s="29">
        <f>IF(OR(G22="",H22=""),"",IF(SUMPRODUCT(ISNUMBER('설정'!$C$6:$C$8)*(ABS(G22-'설정'!$C$6:$C$8)&lt;='설정'!$C$15))+SUMPRODUCT(ISNUMBER('설정'!$D$6:$D$8)*(ABS((G22+H22)-'설정'!$D$6:$D$8)&lt;='설정'!$C$15))+SUMPRODUCT(ISNUMBER('설정'!$F$6:$F$8)*(ABS((G22+H22)-'설정'!$F$6:$F$8)&lt;='설정'!$C$15))+SUMPRODUCT(ISNUMBER('설정'!$E$6:$E$8)*(ABS(G22-'설정'!$E$6:$E$8)&lt;='설정'!$C$15))+SUMPRODUCT(ISNUMBER('설정'!$E$6:$E$8)*(ABS(H22-'설정'!$E$6:$E$8)&lt;='설정'!$C$15))&gt;0,"경계",""))</f>
        <v/>
      </c>
      <c r="M22" s="7" t="n"/>
      <c r="N22" s="7" t="n"/>
      <c r="O22" s="27">
        <f>IF(M22&lt;&gt;"",M22,K22)</f>
        <v/>
      </c>
      <c r="P22" s="30">
        <f>IF(I22="","",IF(G22="","공수1 미응시",IF(H22="","공수2 미응시","")))</f>
        <v/>
      </c>
      <c r="Q22" s="10">
        <f>IF(J22="","",J22+ROW()/100000)</f>
        <v/>
      </c>
    </row>
    <row r="23">
      <c r="A23" s="5" t="n">
        <v>17</v>
      </c>
      <c r="B23" s="10">
        <f>IF('학생명단'!B23="","",'학생명단'!B23)</f>
        <v/>
      </c>
      <c r="C23" s="10">
        <f>IF('학생명단'!C23="","",'학생명단'!C23)</f>
        <v/>
      </c>
      <c r="D23" s="10">
        <f>IF('학생명단'!D23="","",'학생명단'!D23)</f>
        <v/>
      </c>
      <c r="E23" s="10">
        <f>IF('학생명단'!E23="","",'학생명단'!E23)</f>
        <v/>
      </c>
      <c r="F23" s="11">
        <f>IF('학생명단'!F23="","",'학생명단'!F23)</f>
        <v/>
      </c>
      <c r="G23" s="10">
        <f>'공수1'!Y23</f>
        <v/>
      </c>
      <c r="H23" s="10">
        <f>'공수2'!Y23</f>
        <v/>
      </c>
      <c r="I23" s="28">
        <f>IF(AND(G23="",H23=""),"",N(G23)*'설정'!$C$13+N(H23)*'설정'!$C$14)</f>
        <v/>
      </c>
      <c r="J23" s="10">
        <f>IF(I23="","",COUNTIF($I$7:$I$156,"&gt;"&amp;I23)+1)</f>
        <v/>
      </c>
      <c r="K23" s="27">
        <f>IF(I23="","",IF(IF(COUNT('설정'!$C$6:$F$6)=0,AND(G23&lt;&gt;"",H23&lt;&gt;""),OR(AND('설정'!$C$6&lt;&gt;"",G23&lt;&gt;"",N(G23)&gt;='설정'!$C$6),AND('설정'!$D$6&lt;&gt;"",AND(G23&lt;&gt;"",H23&lt;&gt;""),(N(G23)+N(H23))&gt;='설정'!$D$6),AND('설정'!$E$6&lt;&gt;"",OR(AND(G23&lt;&gt;"",N(G23)&lt;='설정'!$E$6),AND(H23&lt;&gt;"",N(H23)&lt;='설정'!$E$6))),AND('설정'!$F$6&lt;&gt;"",AND(G23&lt;&gt;"",H23&lt;&gt;""),(N(G23)+N(H23))&lt;='설정'!$F$6))),'설정'!$B$6,IF(IF(COUNT('설정'!$C$7:$F$7)=0,AND(G23&lt;&gt;"",H23&lt;&gt;""),OR(AND('설정'!$C$7&lt;&gt;"",G23&lt;&gt;"",N(G23)&gt;='설정'!$C$7),AND('설정'!$D$7&lt;&gt;"",AND(G23&lt;&gt;"",H23&lt;&gt;""),(N(G23)+N(H23))&gt;='설정'!$D$7),AND('설정'!$E$7&lt;&gt;"",OR(AND(G23&lt;&gt;"",N(G23)&lt;='설정'!$E$7),AND(H23&lt;&gt;"",N(H23)&lt;='설정'!$E$7))),AND('설정'!$F$7&lt;&gt;"",AND(G23&lt;&gt;"",H23&lt;&gt;""),(N(G23)+N(H23))&lt;='설정'!$F$7))),'설정'!$B$7,IF(IF(COUNT('설정'!$C$8:$F$8)=0,AND(G23&lt;&gt;"",H23&lt;&gt;""),OR(AND('설정'!$C$8&lt;&gt;"",G23&lt;&gt;"",N(G23)&gt;='설정'!$C$8),AND('설정'!$D$8&lt;&gt;"",AND(G23&lt;&gt;"",H23&lt;&gt;""),(N(G23)+N(H23))&gt;='설정'!$D$8),AND('설정'!$E$8&lt;&gt;"",OR(AND(G23&lt;&gt;"",N(G23)&lt;='설정'!$E$8),AND(H23&lt;&gt;"",N(H23)&lt;='설정'!$E$8))),AND('설정'!$F$8&lt;&gt;"",AND(G23&lt;&gt;"",H23&lt;&gt;""),(N(G23)+N(H23))&lt;='설정'!$F$8))),'설정'!$B$8,'설정'!$B$9))))</f>
        <v/>
      </c>
      <c r="L23" s="29">
        <f>IF(OR(G23="",H23=""),"",IF(SUMPRODUCT(ISNUMBER('설정'!$C$6:$C$8)*(ABS(G23-'설정'!$C$6:$C$8)&lt;='설정'!$C$15))+SUMPRODUCT(ISNUMBER('설정'!$D$6:$D$8)*(ABS((G23+H23)-'설정'!$D$6:$D$8)&lt;='설정'!$C$15))+SUMPRODUCT(ISNUMBER('설정'!$F$6:$F$8)*(ABS((G23+H23)-'설정'!$F$6:$F$8)&lt;='설정'!$C$15))+SUMPRODUCT(ISNUMBER('설정'!$E$6:$E$8)*(ABS(G23-'설정'!$E$6:$E$8)&lt;='설정'!$C$15))+SUMPRODUCT(ISNUMBER('설정'!$E$6:$E$8)*(ABS(H23-'설정'!$E$6:$E$8)&lt;='설정'!$C$15))&gt;0,"경계",""))</f>
        <v/>
      </c>
      <c r="M23" s="7" t="n"/>
      <c r="N23" s="7" t="n"/>
      <c r="O23" s="27">
        <f>IF(M23&lt;&gt;"",M23,K23)</f>
        <v/>
      </c>
      <c r="P23" s="30">
        <f>IF(I23="","",IF(G23="","공수1 미응시",IF(H23="","공수2 미응시","")))</f>
        <v/>
      </c>
      <c r="Q23" s="10">
        <f>IF(J23="","",J23+ROW()/100000)</f>
        <v/>
      </c>
    </row>
    <row r="24">
      <c r="A24" s="5" t="n">
        <v>18</v>
      </c>
      <c r="B24" s="10">
        <f>IF('학생명단'!B24="","",'학생명단'!B24)</f>
        <v/>
      </c>
      <c r="C24" s="10">
        <f>IF('학생명단'!C24="","",'학생명단'!C24)</f>
        <v/>
      </c>
      <c r="D24" s="10">
        <f>IF('학생명단'!D24="","",'학생명단'!D24)</f>
        <v/>
      </c>
      <c r="E24" s="10">
        <f>IF('학생명단'!E24="","",'학생명단'!E24)</f>
        <v/>
      </c>
      <c r="F24" s="11">
        <f>IF('학생명단'!F24="","",'학생명단'!F24)</f>
        <v/>
      </c>
      <c r="G24" s="10">
        <f>'공수1'!Y24</f>
        <v/>
      </c>
      <c r="H24" s="10">
        <f>'공수2'!Y24</f>
        <v/>
      </c>
      <c r="I24" s="28">
        <f>IF(AND(G24="",H24=""),"",N(G24)*'설정'!$C$13+N(H24)*'설정'!$C$14)</f>
        <v/>
      </c>
      <c r="J24" s="10">
        <f>IF(I24="","",COUNTIF($I$7:$I$156,"&gt;"&amp;I24)+1)</f>
        <v/>
      </c>
      <c r="K24" s="27">
        <f>IF(I24="","",IF(IF(COUNT('설정'!$C$6:$F$6)=0,AND(G24&lt;&gt;"",H24&lt;&gt;""),OR(AND('설정'!$C$6&lt;&gt;"",G24&lt;&gt;"",N(G24)&gt;='설정'!$C$6),AND('설정'!$D$6&lt;&gt;"",AND(G24&lt;&gt;"",H24&lt;&gt;""),(N(G24)+N(H24))&gt;='설정'!$D$6),AND('설정'!$E$6&lt;&gt;"",OR(AND(G24&lt;&gt;"",N(G24)&lt;='설정'!$E$6),AND(H24&lt;&gt;"",N(H24)&lt;='설정'!$E$6))),AND('설정'!$F$6&lt;&gt;"",AND(G24&lt;&gt;"",H24&lt;&gt;""),(N(G24)+N(H24))&lt;='설정'!$F$6))),'설정'!$B$6,IF(IF(COUNT('설정'!$C$7:$F$7)=0,AND(G24&lt;&gt;"",H24&lt;&gt;""),OR(AND('설정'!$C$7&lt;&gt;"",G24&lt;&gt;"",N(G24)&gt;='설정'!$C$7),AND('설정'!$D$7&lt;&gt;"",AND(G24&lt;&gt;"",H24&lt;&gt;""),(N(G24)+N(H24))&gt;='설정'!$D$7),AND('설정'!$E$7&lt;&gt;"",OR(AND(G24&lt;&gt;"",N(G24)&lt;='설정'!$E$7),AND(H24&lt;&gt;"",N(H24)&lt;='설정'!$E$7))),AND('설정'!$F$7&lt;&gt;"",AND(G24&lt;&gt;"",H24&lt;&gt;""),(N(G24)+N(H24))&lt;='설정'!$F$7))),'설정'!$B$7,IF(IF(COUNT('설정'!$C$8:$F$8)=0,AND(G24&lt;&gt;"",H24&lt;&gt;""),OR(AND('설정'!$C$8&lt;&gt;"",G24&lt;&gt;"",N(G24)&gt;='설정'!$C$8),AND('설정'!$D$8&lt;&gt;"",AND(G24&lt;&gt;"",H24&lt;&gt;""),(N(G24)+N(H24))&gt;='설정'!$D$8),AND('설정'!$E$8&lt;&gt;"",OR(AND(G24&lt;&gt;"",N(G24)&lt;='설정'!$E$8),AND(H24&lt;&gt;"",N(H24)&lt;='설정'!$E$8))),AND('설정'!$F$8&lt;&gt;"",AND(G24&lt;&gt;"",H24&lt;&gt;""),(N(G24)+N(H24))&lt;='설정'!$F$8))),'설정'!$B$8,'설정'!$B$9))))</f>
        <v/>
      </c>
      <c r="L24" s="29">
        <f>IF(OR(G24="",H24=""),"",IF(SUMPRODUCT(ISNUMBER('설정'!$C$6:$C$8)*(ABS(G24-'설정'!$C$6:$C$8)&lt;='설정'!$C$15))+SUMPRODUCT(ISNUMBER('설정'!$D$6:$D$8)*(ABS((G24+H24)-'설정'!$D$6:$D$8)&lt;='설정'!$C$15))+SUMPRODUCT(ISNUMBER('설정'!$F$6:$F$8)*(ABS((G24+H24)-'설정'!$F$6:$F$8)&lt;='설정'!$C$15))+SUMPRODUCT(ISNUMBER('설정'!$E$6:$E$8)*(ABS(G24-'설정'!$E$6:$E$8)&lt;='설정'!$C$15))+SUMPRODUCT(ISNUMBER('설정'!$E$6:$E$8)*(ABS(H24-'설정'!$E$6:$E$8)&lt;='설정'!$C$15))&gt;0,"경계",""))</f>
        <v/>
      </c>
      <c r="M24" s="7" t="n"/>
      <c r="N24" s="7" t="n"/>
      <c r="O24" s="27">
        <f>IF(M24&lt;&gt;"",M24,K24)</f>
        <v/>
      </c>
      <c r="P24" s="30">
        <f>IF(I24="","",IF(G24="","공수1 미응시",IF(H24="","공수2 미응시","")))</f>
        <v/>
      </c>
      <c r="Q24" s="10">
        <f>IF(J24="","",J24+ROW()/100000)</f>
        <v/>
      </c>
    </row>
    <row r="25">
      <c r="A25" s="5" t="n">
        <v>19</v>
      </c>
      <c r="B25" s="10">
        <f>IF('학생명단'!B25="","",'학생명단'!B25)</f>
        <v/>
      </c>
      <c r="C25" s="10">
        <f>IF('학생명단'!C25="","",'학생명단'!C25)</f>
        <v/>
      </c>
      <c r="D25" s="10">
        <f>IF('학생명단'!D25="","",'학생명단'!D25)</f>
        <v/>
      </c>
      <c r="E25" s="10">
        <f>IF('학생명단'!E25="","",'학생명단'!E25)</f>
        <v/>
      </c>
      <c r="F25" s="11">
        <f>IF('학생명단'!F25="","",'학생명단'!F25)</f>
        <v/>
      </c>
      <c r="G25" s="10">
        <f>'공수1'!Y25</f>
        <v/>
      </c>
      <c r="H25" s="10">
        <f>'공수2'!Y25</f>
        <v/>
      </c>
      <c r="I25" s="28">
        <f>IF(AND(G25="",H25=""),"",N(G25)*'설정'!$C$13+N(H25)*'설정'!$C$14)</f>
        <v/>
      </c>
      <c r="J25" s="10">
        <f>IF(I25="","",COUNTIF($I$7:$I$156,"&gt;"&amp;I25)+1)</f>
        <v/>
      </c>
      <c r="K25" s="27">
        <f>IF(I25="","",IF(IF(COUNT('설정'!$C$6:$F$6)=0,AND(G25&lt;&gt;"",H25&lt;&gt;""),OR(AND('설정'!$C$6&lt;&gt;"",G25&lt;&gt;"",N(G25)&gt;='설정'!$C$6),AND('설정'!$D$6&lt;&gt;"",AND(G25&lt;&gt;"",H25&lt;&gt;""),(N(G25)+N(H25))&gt;='설정'!$D$6),AND('설정'!$E$6&lt;&gt;"",OR(AND(G25&lt;&gt;"",N(G25)&lt;='설정'!$E$6),AND(H25&lt;&gt;"",N(H25)&lt;='설정'!$E$6))),AND('설정'!$F$6&lt;&gt;"",AND(G25&lt;&gt;"",H25&lt;&gt;""),(N(G25)+N(H25))&lt;='설정'!$F$6))),'설정'!$B$6,IF(IF(COUNT('설정'!$C$7:$F$7)=0,AND(G25&lt;&gt;"",H25&lt;&gt;""),OR(AND('설정'!$C$7&lt;&gt;"",G25&lt;&gt;"",N(G25)&gt;='설정'!$C$7),AND('설정'!$D$7&lt;&gt;"",AND(G25&lt;&gt;"",H25&lt;&gt;""),(N(G25)+N(H25))&gt;='설정'!$D$7),AND('설정'!$E$7&lt;&gt;"",OR(AND(G25&lt;&gt;"",N(G25)&lt;='설정'!$E$7),AND(H25&lt;&gt;"",N(H25)&lt;='설정'!$E$7))),AND('설정'!$F$7&lt;&gt;"",AND(G25&lt;&gt;"",H25&lt;&gt;""),(N(G25)+N(H25))&lt;='설정'!$F$7))),'설정'!$B$7,IF(IF(COUNT('설정'!$C$8:$F$8)=0,AND(G25&lt;&gt;"",H25&lt;&gt;""),OR(AND('설정'!$C$8&lt;&gt;"",G25&lt;&gt;"",N(G25)&gt;='설정'!$C$8),AND('설정'!$D$8&lt;&gt;"",AND(G25&lt;&gt;"",H25&lt;&gt;""),(N(G25)+N(H25))&gt;='설정'!$D$8),AND('설정'!$E$8&lt;&gt;"",OR(AND(G25&lt;&gt;"",N(G25)&lt;='설정'!$E$8),AND(H25&lt;&gt;"",N(H25)&lt;='설정'!$E$8))),AND('설정'!$F$8&lt;&gt;"",AND(G25&lt;&gt;"",H25&lt;&gt;""),(N(G25)+N(H25))&lt;='설정'!$F$8))),'설정'!$B$8,'설정'!$B$9))))</f>
        <v/>
      </c>
      <c r="L25" s="29">
        <f>IF(OR(G25="",H25=""),"",IF(SUMPRODUCT(ISNUMBER('설정'!$C$6:$C$8)*(ABS(G25-'설정'!$C$6:$C$8)&lt;='설정'!$C$15))+SUMPRODUCT(ISNUMBER('설정'!$D$6:$D$8)*(ABS((G25+H25)-'설정'!$D$6:$D$8)&lt;='설정'!$C$15))+SUMPRODUCT(ISNUMBER('설정'!$F$6:$F$8)*(ABS((G25+H25)-'설정'!$F$6:$F$8)&lt;='설정'!$C$15))+SUMPRODUCT(ISNUMBER('설정'!$E$6:$E$8)*(ABS(G25-'설정'!$E$6:$E$8)&lt;='설정'!$C$15))+SUMPRODUCT(ISNUMBER('설정'!$E$6:$E$8)*(ABS(H25-'설정'!$E$6:$E$8)&lt;='설정'!$C$15))&gt;0,"경계",""))</f>
        <v/>
      </c>
      <c r="M25" s="7" t="n"/>
      <c r="N25" s="7" t="n"/>
      <c r="O25" s="27">
        <f>IF(M25&lt;&gt;"",M25,K25)</f>
        <v/>
      </c>
      <c r="P25" s="30">
        <f>IF(I25="","",IF(G25="","공수1 미응시",IF(H25="","공수2 미응시","")))</f>
        <v/>
      </c>
      <c r="Q25" s="10">
        <f>IF(J25="","",J25+ROW()/100000)</f>
        <v/>
      </c>
    </row>
    <row r="26">
      <c r="A26" s="5" t="n">
        <v>20</v>
      </c>
      <c r="B26" s="10">
        <f>IF('학생명단'!B26="","",'학생명단'!B26)</f>
        <v/>
      </c>
      <c r="C26" s="10">
        <f>IF('학생명단'!C26="","",'학생명단'!C26)</f>
        <v/>
      </c>
      <c r="D26" s="10">
        <f>IF('학생명단'!D26="","",'학생명단'!D26)</f>
        <v/>
      </c>
      <c r="E26" s="10">
        <f>IF('학생명단'!E26="","",'학생명단'!E26)</f>
        <v/>
      </c>
      <c r="F26" s="11">
        <f>IF('학생명단'!F26="","",'학생명단'!F26)</f>
        <v/>
      </c>
      <c r="G26" s="10">
        <f>'공수1'!Y26</f>
        <v/>
      </c>
      <c r="H26" s="10">
        <f>'공수2'!Y26</f>
        <v/>
      </c>
      <c r="I26" s="28">
        <f>IF(AND(G26="",H26=""),"",N(G26)*'설정'!$C$13+N(H26)*'설정'!$C$14)</f>
        <v/>
      </c>
      <c r="J26" s="10">
        <f>IF(I26="","",COUNTIF($I$7:$I$156,"&gt;"&amp;I26)+1)</f>
        <v/>
      </c>
      <c r="K26" s="27">
        <f>IF(I26="","",IF(IF(COUNT('설정'!$C$6:$F$6)=0,AND(G26&lt;&gt;"",H26&lt;&gt;""),OR(AND('설정'!$C$6&lt;&gt;"",G26&lt;&gt;"",N(G26)&gt;='설정'!$C$6),AND('설정'!$D$6&lt;&gt;"",AND(G26&lt;&gt;"",H26&lt;&gt;""),(N(G26)+N(H26))&gt;='설정'!$D$6),AND('설정'!$E$6&lt;&gt;"",OR(AND(G26&lt;&gt;"",N(G26)&lt;='설정'!$E$6),AND(H26&lt;&gt;"",N(H26)&lt;='설정'!$E$6))),AND('설정'!$F$6&lt;&gt;"",AND(G26&lt;&gt;"",H26&lt;&gt;""),(N(G26)+N(H26))&lt;='설정'!$F$6))),'설정'!$B$6,IF(IF(COUNT('설정'!$C$7:$F$7)=0,AND(G26&lt;&gt;"",H26&lt;&gt;""),OR(AND('설정'!$C$7&lt;&gt;"",G26&lt;&gt;"",N(G26)&gt;='설정'!$C$7),AND('설정'!$D$7&lt;&gt;"",AND(G26&lt;&gt;"",H26&lt;&gt;""),(N(G26)+N(H26))&gt;='설정'!$D$7),AND('설정'!$E$7&lt;&gt;"",OR(AND(G26&lt;&gt;"",N(G26)&lt;='설정'!$E$7),AND(H26&lt;&gt;"",N(H26)&lt;='설정'!$E$7))),AND('설정'!$F$7&lt;&gt;"",AND(G26&lt;&gt;"",H26&lt;&gt;""),(N(G26)+N(H26))&lt;='설정'!$F$7))),'설정'!$B$7,IF(IF(COUNT('설정'!$C$8:$F$8)=0,AND(G26&lt;&gt;"",H26&lt;&gt;""),OR(AND('설정'!$C$8&lt;&gt;"",G26&lt;&gt;"",N(G26)&gt;='설정'!$C$8),AND('설정'!$D$8&lt;&gt;"",AND(G26&lt;&gt;"",H26&lt;&gt;""),(N(G26)+N(H26))&gt;='설정'!$D$8),AND('설정'!$E$8&lt;&gt;"",OR(AND(G26&lt;&gt;"",N(G26)&lt;='설정'!$E$8),AND(H26&lt;&gt;"",N(H26)&lt;='설정'!$E$8))),AND('설정'!$F$8&lt;&gt;"",AND(G26&lt;&gt;"",H26&lt;&gt;""),(N(G26)+N(H26))&lt;='설정'!$F$8))),'설정'!$B$8,'설정'!$B$9))))</f>
        <v/>
      </c>
      <c r="L26" s="29">
        <f>IF(OR(G26="",H26=""),"",IF(SUMPRODUCT(ISNUMBER('설정'!$C$6:$C$8)*(ABS(G26-'설정'!$C$6:$C$8)&lt;='설정'!$C$15))+SUMPRODUCT(ISNUMBER('설정'!$D$6:$D$8)*(ABS((G26+H26)-'설정'!$D$6:$D$8)&lt;='설정'!$C$15))+SUMPRODUCT(ISNUMBER('설정'!$F$6:$F$8)*(ABS((G26+H26)-'설정'!$F$6:$F$8)&lt;='설정'!$C$15))+SUMPRODUCT(ISNUMBER('설정'!$E$6:$E$8)*(ABS(G26-'설정'!$E$6:$E$8)&lt;='설정'!$C$15))+SUMPRODUCT(ISNUMBER('설정'!$E$6:$E$8)*(ABS(H26-'설정'!$E$6:$E$8)&lt;='설정'!$C$15))&gt;0,"경계",""))</f>
        <v/>
      </c>
      <c r="M26" s="7" t="n"/>
      <c r="N26" s="7" t="n"/>
      <c r="O26" s="27">
        <f>IF(M26&lt;&gt;"",M26,K26)</f>
        <v/>
      </c>
      <c r="P26" s="30">
        <f>IF(I26="","",IF(G26="","공수1 미응시",IF(H26="","공수2 미응시","")))</f>
        <v/>
      </c>
      <c r="Q26" s="10">
        <f>IF(J26="","",J26+ROW()/100000)</f>
        <v/>
      </c>
    </row>
    <row r="27">
      <c r="A27" s="5" t="n">
        <v>21</v>
      </c>
      <c r="B27" s="10">
        <f>IF('학생명단'!B27="","",'학생명단'!B27)</f>
        <v/>
      </c>
      <c r="C27" s="10">
        <f>IF('학생명단'!C27="","",'학생명단'!C27)</f>
        <v/>
      </c>
      <c r="D27" s="10">
        <f>IF('학생명단'!D27="","",'학생명단'!D27)</f>
        <v/>
      </c>
      <c r="E27" s="10">
        <f>IF('학생명단'!E27="","",'학생명단'!E27)</f>
        <v/>
      </c>
      <c r="F27" s="11">
        <f>IF('학생명단'!F27="","",'학생명단'!F27)</f>
        <v/>
      </c>
      <c r="G27" s="10">
        <f>'공수1'!Y27</f>
        <v/>
      </c>
      <c r="H27" s="10">
        <f>'공수2'!Y27</f>
        <v/>
      </c>
      <c r="I27" s="28">
        <f>IF(AND(G27="",H27=""),"",N(G27)*'설정'!$C$13+N(H27)*'설정'!$C$14)</f>
        <v/>
      </c>
      <c r="J27" s="10">
        <f>IF(I27="","",COUNTIF($I$7:$I$156,"&gt;"&amp;I27)+1)</f>
        <v/>
      </c>
      <c r="K27" s="27">
        <f>IF(I27="","",IF(IF(COUNT('설정'!$C$6:$F$6)=0,AND(G27&lt;&gt;"",H27&lt;&gt;""),OR(AND('설정'!$C$6&lt;&gt;"",G27&lt;&gt;"",N(G27)&gt;='설정'!$C$6),AND('설정'!$D$6&lt;&gt;"",AND(G27&lt;&gt;"",H27&lt;&gt;""),(N(G27)+N(H27))&gt;='설정'!$D$6),AND('설정'!$E$6&lt;&gt;"",OR(AND(G27&lt;&gt;"",N(G27)&lt;='설정'!$E$6),AND(H27&lt;&gt;"",N(H27)&lt;='설정'!$E$6))),AND('설정'!$F$6&lt;&gt;"",AND(G27&lt;&gt;"",H27&lt;&gt;""),(N(G27)+N(H27))&lt;='설정'!$F$6))),'설정'!$B$6,IF(IF(COUNT('설정'!$C$7:$F$7)=0,AND(G27&lt;&gt;"",H27&lt;&gt;""),OR(AND('설정'!$C$7&lt;&gt;"",G27&lt;&gt;"",N(G27)&gt;='설정'!$C$7),AND('설정'!$D$7&lt;&gt;"",AND(G27&lt;&gt;"",H27&lt;&gt;""),(N(G27)+N(H27))&gt;='설정'!$D$7),AND('설정'!$E$7&lt;&gt;"",OR(AND(G27&lt;&gt;"",N(G27)&lt;='설정'!$E$7),AND(H27&lt;&gt;"",N(H27)&lt;='설정'!$E$7))),AND('설정'!$F$7&lt;&gt;"",AND(G27&lt;&gt;"",H27&lt;&gt;""),(N(G27)+N(H27))&lt;='설정'!$F$7))),'설정'!$B$7,IF(IF(COUNT('설정'!$C$8:$F$8)=0,AND(G27&lt;&gt;"",H27&lt;&gt;""),OR(AND('설정'!$C$8&lt;&gt;"",G27&lt;&gt;"",N(G27)&gt;='설정'!$C$8),AND('설정'!$D$8&lt;&gt;"",AND(G27&lt;&gt;"",H27&lt;&gt;""),(N(G27)+N(H27))&gt;='설정'!$D$8),AND('설정'!$E$8&lt;&gt;"",OR(AND(G27&lt;&gt;"",N(G27)&lt;='설정'!$E$8),AND(H27&lt;&gt;"",N(H27)&lt;='설정'!$E$8))),AND('설정'!$F$8&lt;&gt;"",AND(G27&lt;&gt;"",H27&lt;&gt;""),(N(G27)+N(H27))&lt;='설정'!$F$8))),'설정'!$B$8,'설정'!$B$9))))</f>
        <v/>
      </c>
      <c r="L27" s="29">
        <f>IF(OR(G27="",H27=""),"",IF(SUMPRODUCT(ISNUMBER('설정'!$C$6:$C$8)*(ABS(G27-'설정'!$C$6:$C$8)&lt;='설정'!$C$15))+SUMPRODUCT(ISNUMBER('설정'!$D$6:$D$8)*(ABS((G27+H27)-'설정'!$D$6:$D$8)&lt;='설정'!$C$15))+SUMPRODUCT(ISNUMBER('설정'!$F$6:$F$8)*(ABS((G27+H27)-'설정'!$F$6:$F$8)&lt;='설정'!$C$15))+SUMPRODUCT(ISNUMBER('설정'!$E$6:$E$8)*(ABS(G27-'설정'!$E$6:$E$8)&lt;='설정'!$C$15))+SUMPRODUCT(ISNUMBER('설정'!$E$6:$E$8)*(ABS(H27-'설정'!$E$6:$E$8)&lt;='설정'!$C$15))&gt;0,"경계",""))</f>
        <v/>
      </c>
      <c r="M27" s="7" t="n"/>
      <c r="N27" s="7" t="n"/>
      <c r="O27" s="27">
        <f>IF(M27&lt;&gt;"",M27,K27)</f>
        <v/>
      </c>
      <c r="P27" s="30">
        <f>IF(I27="","",IF(G27="","공수1 미응시",IF(H27="","공수2 미응시","")))</f>
        <v/>
      </c>
      <c r="Q27" s="10">
        <f>IF(J27="","",J27+ROW()/100000)</f>
        <v/>
      </c>
    </row>
    <row r="28">
      <c r="A28" s="5" t="n">
        <v>22</v>
      </c>
      <c r="B28" s="10">
        <f>IF('학생명단'!B28="","",'학생명단'!B28)</f>
        <v/>
      </c>
      <c r="C28" s="10">
        <f>IF('학생명단'!C28="","",'학생명단'!C28)</f>
        <v/>
      </c>
      <c r="D28" s="10">
        <f>IF('학생명단'!D28="","",'학생명단'!D28)</f>
        <v/>
      </c>
      <c r="E28" s="10">
        <f>IF('학생명단'!E28="","",'학생명단'!E28)</f>
        <v/>
      </c>
      <c r="F28" s="11">
        <f>IF('학생명단'!F28="","",'학생명단'!F28)</f>
        <v/>
      </c>
      <c r="G28" s="10">
        <f>'공수1'!Y28</f>
        <v/>
      </c>
      <c r="H28" s="10">
        <f>'공수2'!Y28</f>
        <v/>
      </c>
      <c r="I28" s="28">
        <f>IF(AND(G28="",H28=""),"",N(G28)*'설정'!$C$13+N(H28)*'설정'!$C$14)</f>
        <v/>
      </c>
      <c r="J28" s="10">
        <f>IF(I28="","",COUNTIF($I$7:$I$156,"&gt;"&amp;I28)+1)</f>
        <v/>
      </c>
      <c r="K28" s="27">
        <f>IF(I28="","",IF(IF(COUNT('설정'!$C$6:$F$6)=0,AND(G28&lt;&gt;"",H28&lt;&gt;""),OR(AND('설정'!$C$6&lt;&gt;"",G28&lt;&gt;"",N(G28)&gt;='설정'!$C$6),AND('설정'!$D$6&lt;&gt;"",AND(G28&lt;&gt;"",H28&lt;&gt;""),(N(G28)+N(H28))&gt;='설정'!$D$6),AND('설정'!$E$6&lt;&gt;"",OR(AND(G28&lt;&gt;"",N(G28)&lt;='설정'!$E$6),AND(H28&lt;&gt;"",N(H28)&lt;='설정'!$E$6))),AND('설정'!$F$6&lt;&gt;"",AND(G28&lt;&gt;"",H28&lt;&gt;""),(N(G28)+N(H28))&lt;='설정'!$F$6))),'설정'!$B$6,IF(IF(COUNT('설정'!$C$7:$F$7)=0,AND(G28&lt;&gt;"",H28&lt;&gt;""),OR(AND('설정'!$C$7&lt;&gt;"",G28&lt;&gt;"",N(G28)&gt;='설정'!$C$7),AND('설정'!$D$7&lt;&gt;"",AND(G28&lt;&gt;"",H28&lt;&gt;""),(N(G28)+N(H28))&gt;='설정'!$D$7),AND('설정'!$E$7&lt;&gt;"",OR(AND(G28&lt;&gt;"",N(G28)&lt;='설정'!$E$7),AND(H28&lt;&gt;"",N(H28)&lt;='설정'!$E$7))),AND('설정'!$F$7&lt;&gt;"",AND(G28&lt;&gt;"",H28&lt;&gt;""),(N(G28)+N(H28))&lt;='설정'!$F$7))),'설정'!$B$7,IF(IF(COUNT('설정'!$C$8:$F$8)=0,AND(G28&lt;&gt;"",H28&lt;&gt;""),OR(AND('설정'!$C$8&lt;&gt;"",G28&lt;&gt;"",N(G28)&gt;='설정'!$C$8),AND('설정'!$D$8&lt;&gt;"",AND(G28&lt;&gt;"",H28&lt;&gt;""),(N(G28)+N(H28))&gt;='설정'!$D$8),AND('설정'!$E$8&lt;&gt;"",OR(AND(G28&lt;&gt;"",N(G28)&lt;='설정'!$E$8),AND(H28&lt;&gt;"",N(H28)&lt;='설정'!$E$8))),AND('설정'!$F$8&lt;&gt;"",AND(G28&lt;&gt;"",H28&lt;&gt;""),(N(G28)+N(H28))&lt;='설정'!$F$8))),'설정'!$B$8,'설정'!$B$9))))</f>
        <v/>
      </c>
      <c r="L28" s="29">
        <f>IF(OR(G28="",H28=""),"",IF(SUMPRODUCT(ISNUMBER('설정'!$C$6:$C$8)*(ABS(G28-'설정'!$C$6:$C$8)&lt;='설정'!$C$15))+SUMPRODUCT(ISNUMBER('설정'!$D$6:$D$8)*(ABS((G28+H28)-'설정'!$D$6:$D$8)&lt;='설정'!$C$15))+SUMPRODUCT(ISNUMBER('설정'!$F$6:$F$8)*(ABS((G28+H28)-'설정'!$F$6:$F$8)&lt;='설정'!$C$15))+SUMPRODUCT(ISNUMBER('설정'!$E$6:$E$8)*(ABS(G28-'설정'!$E$6:$E$8)&lt;='설정'!$C$15))+SUMPRODUCT(ISNUMBER('설정'!$E$6:$E$8)*(ABS(H28-'설정'!$E$6:$E$8)&lt;='설정'!$C$15))&gt;0,"경계",""))</f>
        <v/>
      </c>
      <c r="M28" s="7" t="n"/>
      <c r="N28" s="7" t="n"/>
      <c r="O28" s="27">
        <f>IF(M28&lt;&gt;"",M28,K28)</f>
        <v/>
      </c>
      <c r="P28" s="30">
        <f>IF(I28="","",IF(G28="","공수1 미응시",IF(H28="","공수2 미응시","")))</f>
        <v/>
      </c>
      <c r="Q28" s="10">
        <f>IF(J28="","",J28+ROW()/100000)</f>
        <v/>
      </c>
    </row>
    <row r="29">
      <c r="A29" s="5" t="n">
        <v>23</v>
      </c>
      <c r="B29" s="10">
        <f>IF('학생명단'!B29="","",'학생명단'!B29)</f>
        <v/>
      </c>
      <c r="C29" s="10">
        <f>IF('학생명단'!C29="","",'학생명단'!C29)</f>
        <v/>
      </c>
      <c r="D29" s="10">
        <f>IF('학생명단'!D29="","",'학생명단'!D29)</f>
        <v/>
      </c>
      <c r="E29" s="10">
        <f>IF('학생명단'!E29="","",'학생명단'!E29)</f>
        <v/>
      </c>
      <c r="F29" s="11">
        <f>IF('학생명단'!F29="","",'학생명단'!F29)</f>
        <v/>
      </c>
      <c r="G29" s="10">
        <f>'공수1'!Y29</f>
        <v/>
      </c>
      <c r="H29" s="10">
        <f>'공수2'!Y29</f>
        <v/>
      </c>
      <c r="I29" s="28">
        <f>IF(AND(G29="",H29=""),"",N(G29)*'설정'!$C$13+N(H29)*'설정'!$C$14)</f>
        <v/>
      </c>
      <c r="J29" s="10">
        <f>IF(I29="","",COUNTIF($I$7:$I$156,"&gt;"&amp;I29)+1)</f>
        <v/>
      </c>
      <c r="K29" s="27">
        <f>IF(I29="","",IF(IF(COUNT('설정'!$C$6:$F$6)=0,AND(G29&lt;&gt;"",H29&lt;&gt;""),OR(AND('설정'!$C$6&lt;&gt;"",G29&lt;&gt;"",N(G29)&gt;='설정'!$C$6),AND('설정'!$D$6&lt;&gt;"",AND(G29&lt;&gt;"",H29&lt;&gt;""),(N(G29)+N(H29))&gt;='설정'!$D$6),AND('설정'!$E$6&lt;&gt;"",OR(AND(G29&lt;&gt;"",N(G29)&lt;='설정'!$E$6),AND(H29&lt;&gt;"",N(H29)&lt;='설정'!$E$6))),AND('설정'!$F$6&lt;&gt;"",AND(G29&lt;&gt;"",H29&lt;&gt;""),(N(G29)+N(H29))&lt;='설정'!$F$6))),'설정'!$B$6,IF(IF(COUNT('설정'!$C$7:$F$7)=0,AND(G29&lt;&gt;"",H29&lt;&gt;""),OR(AND('설정'!$C$7&lt;&gt;"",G29&lt;&gt;"",N(G29)&gt;='설정'!$C$7),AND('설정'!$D$7&lt;&gt;"",AND(G29&lt;&gt;"",H29&lt;&gt;""),(N(G29)+N(H29))&gt;='설정'!$D$7),AND('설정'!$E$7&lt;&gt;"",OR(AND(G29&lt;&gt;"",N(G29)&lt;='설정'!$E$7),AND(H29&lt;&gt;"",N(H29)&lt;='설정'!$E$7))),AND('설정'!$F$7&lt;&gt;"",AND(G29&lt;&gt;"",H29&lt;&gt;""),(N(G29)+N(H29))&lt;='설정'!$F$7))),'설정'!$B$7,IF(IF(COUNT('설정'!$C$8:$F$8)=0,AND(G29&lt;&gt;"",H29&lt;&gt;""),OR(AND('설정'!$C$8&lt;&gt;"",G29&lt;&gt;"",N(G29)&gt;='설정'!$C$8),AND('설정'!$D$8&lt;&gt;"",AND(G29&lt;&gt;"",H29&lt;&gt;""),(N(G29)+N(H29))&gt;='설정'!$D$8),AND('설정'!$E$8&lt;&gt;"",OR(AND(G29&lt;&gt;"",N(G29)&lt;='설정'!$E$8),AND(H29&lt;&gt;"",N(H29)&lt;='설정'!$E$8))),AND('설정'!$F$8&lt;&gt;"",AND(G29&lt;&gt;"",H29&lt;&gt;""),(N(G29)+N(H29))&lt;='설정'!$F$8))),'설정'!$B$8,'설정'!$B$9))))</f>
        <v/>
      </c>
      <c r="L29" s="29">
        <f>IF(OR(G29="",H29=""),"",IF(SUMPRODUCT(ISNUMBER('설정'!$C$6:$C$8)*(ABS(G29-'설정'!$C$6:$C$8)&lt;='설정'!$C$15))+SUMPRODUCT(ISNUMBER('설정'!$D$6:$D$8)*(ABS((G29+H29)-'설정'!$D$6:$D$8)&lt;='설정'!$C$15))+SUMPRODUCT(ISNUMBER('설정'!$F$6:$F$8)*(ABS((G29+H29)-'설정'!$F$6:$F$8)&lt;='설정'!$C$15))+SUMPRODUCT(ISNUMBER('설정'!$E$6:$E$8)*(ABS(G29-'설정'!$E$6:$E$8)&lt;='설정'!$C$15))+SUMPRODUCT(ISNUMBER('설정'!$E$6:$E$8)*(ABS(H29-'설정'!$E$6:$E$8)&lt;='설정'!$C$15))&gt;0,"경계",""))</f>
        <v/>
      </c>
      <c r="M29" s="7" t="n"/>
      <c r="N29" s="7" t="n"/>
      <c r="O29" s="27">
        <f>IF(M29&lt;&gt;"",M29,K29)</f>
        <v/>
      </c>
      <c r="P29" s="30">
        <f>IF(I29="","",IF(G29="","공수1 미응시",IF(H29="","공수2 미응시","")))</f>
        <v/>
      </c>
      <c r="Q29" s="10">
        <f>IF(J29="","",J29+ROW()/100000)</f>
        <v/>
      </c>
    </row>
    <row r="30">
      <c r="A30" s="5" t="n">
        <v>24</v>
      </c>
      <c r="B30" s="10">
        <f>IF('학생명단'!B30="","",'학생명단'!B30)</f>
        <v/>
      </c>
      <c r="C30" s="10">
        <f>IF('학생명단'!C30="","",'학생명단'!C30)</f>
        <v/>
      </c>
      <c r="D30" s="10">
        <f>IF('학생명단'!D30="","",'학생명단'!D30)</f>
        <v/>
      </c>
      <c r="E30" s="10">
        <f>IF('학생명단'!E30="","",'학생명단'!E30)</f>
        <v/>
      </c>
      <c r="F30" s="11">
        <f>IF('학생명단'!F30="","",'학생명단'!F30)</f>
        <v/>
      </c>
      <c r="G30" s="10">
        <f>'공수1'!Y30</f>
        <v/>
      </c>
      <c r="H30" s="10">
        <f>'공수2'!Y30</f>
        <v/>
      </c>
      <c r="I30" s="28">
        <f>IF(AND(G30="",H30=""),"",N(G30)*'설정'!$C$13+N(H30)*'설정'!$C$14)</f>
        <v/>
      </c>
      <c r="J30" s="10">
        <f>IF(I30="","",COUNTIF($I$7:$I$156,"&gt;"&amp;I30)+1)</f>
        <v/>
      </c>
      <c r="K30" s="27">
        <f>IF(I30="","",IF(IF(COUNT('설정'!$C$6:$F$6)=0,AND(G30&lt;&gt;"",H30&lt;&gt;""),OR(AND('설정'!$C$6&lt;&gt;"",G30&lt;&gt;"",N(G30)&gt;='설정'!$C$6),AND('설정'!$D$6&lt;&gt;"",AND(G30&lt;&gt;"",H30&lt;&gt;""),(N(G30)+N(H30))&gt;='설정'!$D$6),AND('설정'!$E$6&lt;&gt;"",OR(AND(G30&lt;&gt;"",N(G30)&lt;='설정'!$E$6),AND(H30&lt;&gt;"",N(H30)&lt;='설정'!$E$6))),AND('설정'!$F$6&lt;&gt;"",AND(G30&lt;&gt;"",H30&lt;&gt;""),(N(G30)+N(H30))&lt;='설정'!$F$6))),'설정'!$B$6,IF(IF(COUNT('설정'!$C$7:$F$7)=0,AND(G30&lt;&gt;"",H30&lt;&gt;""),OR(AND('설정'!$C$7&lt;&gt;"",G30&lt;&gt;"",N(G30)&gt;='설정'!$C$7),AND('설정'!$D$7&lt;&gt;"",AND(G30&lt;&gt;"",H30&lt;&gt;""),(N(G30)+N(H30))&gt;='설정'!$D$7),AND('설정'!$E$7&lt;&gt;"",OR(AND(G30&lt;&gt;"",N(G30)&lt;='설정'!$E$7),AND(H30&lt;&gt;"",N(H30)&lt;='설정'!$E$7))),AND('설정'!$F$7&lt;&gt;"",AND(G30&lt;&gt;"",H30&lt;&gt;""),(N(G30)+N(H30))&lt;='설정'!$F$7))),'설정'!$B$7,IF(IF(COUNT('설정'!$C$8:$F$8)=0,AND(G30&lt;&gt;"",H30&lt;&gt;""),OR(AND('설정'!$C$8&lt;&gt;"",G30&lt;&gt;"",N(G30)&gt;='설정'!$C$8),AND('설정'!$D$8&lt;&gt;"",AND(G30&lt;&gt;"",H30&lt;&gt;""),(N(G30)+N(H30))&gt;='설정'!$D$8),AND('설정'!$E$8&lt;&gt;"",OR(AND(G30&lt;&gt;"",N(G30)&lt;='설정'!$E$8),AND(H30&lt;&gt;"",N(H30)&lt;='설정'!$E$8))),AND('설정'!$F$8&lt;&gt;"",AND(G30&lt;&gt;"",H30&lt;&gt;""),(N(G30)+N(H30))&lt;='설정'!$F$8))),'설정'!$B$8,'설정'!$B$9))))</f>
        <v/>
      </c>
      <c r="L30" s="29">
        <f>IF(OR(G30="",H30=""),"",IF(SUMPRODUCT(ISNUMBER('설정'!$C$6:$C$8)*(ABS(G30-'설정'!$C$6:$C$8)&lt;='설정'!$C$15))+SUMPRODUCT(ISNUMBER('설정'!$D$6:$D$8)*(ABS((G30+H30)-'설정'!$D$6:$D$8)&lt;='설정'!$C$15))+SUMPRODUCT(ISNUMBER('설정'!$F$6:$F$8)*(ABS((G30+H30)-'설정'!$F$6:$F$8)&lt;='설정'!$C$15))+SUMPRODUCT(ISNUMBER('설정'!$E$6:$E$8)*(ABS(G30-'설정'!$E$6:$E$8)&lt;='설정'!$C$15))+SUMPRODUCT(ISNUMBER('설정'!$E$6:$E$8)*(ABS(H30-'설정'!$E$6:$E$8)&lt;='설정'!$C$15))&gt;0,"경계",""))</f>
        <v/>
      </c>
      <c r="M30" s="7" t="n"/>
      <c r="N30" s="7" t="n"/>
      <c r="O30" s="27">
        <f>IF(M30&lt;&gt;"",M30,K30)</f>
        <v/>
      </c>
      <c r="P30" s="30">
        <f>IF(I30="","",IF(G30="","공수1 미응시",IF(H30="","공수2 미응시","")))</f>
        <v/>
      </c>
      <c r="Q30" s="10">
        <f>IF(J30="","",J30+ROW()/100000)</f>
        <v/>
      </c>
    </row>
    <row r="31">
      <c r="A31" s="5" t="n">
        <v>25</v>
      </c>
      <c r="B31" s="10">
        <f>IF('학생명단'!B31="","",'학생명단'!B31)</f>
        <v/>
      </c>
      <c r="C31" s="10">
        <f>IF('학생명단'!C31="","",'학생명단'!C31)</f>
        <v/>
      </c>
      <c r="D31" s="10">
        <f>IF('학생명단'!D31="","",'학생명단'!D31)</f>
        <v/>
      </c>
      <c r="E31" s="10">
        <f>IF('학생명단'!E31="","",'학생명단'!E31)</f>
        <v/>
      </c>
      <c r="F31" s="11">
        <f>IF('학생명단'!F31="","",'학생명단'!F31)</f>
        <v/>
      </c>
      <c r="G31" s="10">
        <f>'공수1'!Y31</f>
        <v/>
      </c>
      <c r="H31" s="10">
        <f>'공수2'!Y31</f>
        <v/>
      </c>
      <c r="I31" s="28">
        <f>IF(AND(G31="",H31=""),"",N(G31)*'설정'!$C$13+N(H31)*'설정'!$C$14)</f>
        <v/>
      </c>
      <c r="J31" s="10">
        <f>IF(I31="","",COUNTIF($I$7:$I$156,"&gt;"&amp;I31)+1)</f>
        <v/>
      </c>
      <c r="K31" s="27">
        <f>IF(I31="","",IF(IF(COUNT('설정'!$C$6:$F$6)=0,AND(G31&lt;&gt;"",H31&lt;&gt;""),OR(AND('설정'!$C$6&lt;&gt;"",G31&lt;&gt;"",N(G31)&gt;='설정'!$C$6),AND('설정'!$D$6&lt;&gt;"",AND(G31&lt;&gt;"",H31&lt;&gt;""),(N(G31)+N(H31))&gt;='설정'!$D$6),AND('설정'!$E$6&lt;&gt;"",OR(AND(G31&lt;&gt;"",N(G31)&lt;='설정'!$E$6),AND(H31&lt;&gt;"",N(H31)&lt;='설정'!$E$6))),AND('설정'!$F$6&lt;&gt;"",AND(G31&lt;&gt;"",H31&lt;&gt;""),(N(G31)+N(H31))&lt;='설정'!$F$6))),'설정'!$B$6,IF(IF(COUNT('설정'!$C$7:$F$7)=0,AND(G31&lt;&gt;"",H31&lt;&gt;""),OR(AND('설정'!$C$7&lt;&gt;"",G31&lt;&gt;"",N(G31)&gt;='설정'!$C$7),AND('설정'!$D$7&lt;&gt;"",AND(G31&lt;&gt;"",H31&lt;&gt;""),(N(G31)+N(H31))&gt;='설정'!$D$7),AND('설정'!$E$7&lt;&gt;"",OR(AND(G31&lt;&gt;"",N(G31)&lt;='설정'!$E$7),AND(H31&lt;&gt;"",N(H31)&lt;='설정'!$E$7))),AND('설정'!$F$7&lt;&gt;"",AND(G31&lt;&gt;"",H31&lt;&gt;""),(N(G31)+N(H31))&lt;='설정'!$F$7))),'설정'!$B$7,IF(IF(COUNT('설정'!$C$8:$F$8)=0,AND(G31&lt;&gt;"",H31&lt;&gt;""),OR(AND('설정'!$C$8&lt;&gt;"",G31&lt;&gt;"",N(G31)&gt;='설정'!$C$8),AND('설정'!$D$8&lt;&gt;"",AND(G31&lt;&gt;"",H31&lt;&gt;""),(N(G31)+N(H31))&gt;='설정'!$D$8),AND('설정'!$E$8&lt;&gt;"",OR(AND(G31&lt;&gt;"",N(G31)&lt;='설정'!$E$8),AND(H31&lt;&gt;"",N(H31)&lt;='설정'!$E$8))),AND('설정'!$F$8&lt;&gt;"",AND(G31&lt;&gt;"",H31&lt;&gt;""),(N(G31)+N(H31))&lt;='설정'!$F$8))),'설정'!$B$8,'설정'!$B$9))))</f>
        <v/>
      </c>
      <c r="L31" s="29">
        <f>IF(OR(G31="",H31=""),"",IF(SUMPRODUCT(ISNUMBER('설정'!$C$6:$C$8)*(ABS(G31-'설정'!$C$6:$C$8)&lt;='설정'!$C$15))+SUMPRODUCT(ISNUMBER('설정'!$D$6:$D$8)*(ABS((G31+H31)-'설정'!$D$6:$D$8)&lt;='설정'!$C$15))+SUMPRODUCT(ISNUMBER('설정'!$F$6:$F$8)*(ABS((G31+H31)-'설정'!$F$6:$F$8)&lt;='설정'!$C$15))+SUMPRODUCT(ISNUMBER('설정'!$E$6:$E$8)*(ABS(G31-'설정'!$E$6:$E$8)&lt;='설정'!$C$15))+SUMPRODUCT(ISNUMBER('설정'!$E$6:$E$8)*(ABS(H31-'설정'!$E$6:$E$8)&lt;='설정'!$C$15))&gt;0,"경계",""))</f>
        <v/>
      </c>
      <c r="M31" s="7" t="n"/>
      <c r="N31" s="7" t="n"/>
      <c r="O31" s="27">
        <f>IF(M31&lt;&gt;"",M31,K31)</f>
        <v/>
      </c>
      <c r="P31" s="30">
        <f>IF(I31="","",IF(G31="","공수1 미응시",IF(H31="","공수2 미응시","")))</f>
        <v/>
      </c>
      <c r="Q31" s="10">
        <f>IF(J31="","",J31+ROW()/100000)</f>
        <v/>
      </c>
    </row>
    <row r="32">
      <c r="A32" s="5" t="n">
        <v>26</v>
      </c>
      <c r="B32" s="10">
        <f>IF('학생명단'!B32="","",'학생명단'!B32)</f>
        <v/>
      </c>
      <c r="C32" s="10">
        <f>IF('학생명단'!C32="","",'학생명단'!C32)</f>
        <v/>
      </c>
      <c r="D32" s="10">
        <f>IF('학생명단'!D32="","",'학생명단'!D32)</f>
        <v/>
      </c>
      <c r="E32" s="10">
        <f>IF('학생명단'!E32="","",'학생명단'!E32)</f>
        <v/>
      </c>
      <c r="F32" s="11">
        <f>IF('학생명단'!F32="","",'학생명단'!F32)</f>
        <v/>
      </c>
      <c r="G32" s="10">
        <f>'공수1'!Y32</f>
        <v/>
      </c>
      <c r="H32" s="10">
        <f>'공수2'!Y32</f>
        <v/>
      </c>
      <c r="I32" s="28">
        <f>IF(AND(G32="",H32=""),"",N(G32)*'설정'!$C$13+N(H32)*'설정'!$C$14)</f>
        <v/>
      </c>
      <c r="J32" s="10">
        <f>IF(I32="","",COUNTIF($I$7:$I$156,"&gt;"&amp;I32)+1)</f>
        <v/>
      </c>
      <c r="K32" s="27">
        <f>IF(I32="","",IF(IF(COUNT('설정'!$C$6:$F$6)=0,AND(G32&lt;&gt;"",H32&lt;&gt;""),OR(AND('설정'!$C$6&lt;&gt;"",G32&lt;&gt;"",N(G32)&gt;='설정'!$C$6),AND('설정'!$D$6&lt;&gt;"",AND(G32&lt;&gt;"",H32&lt;&gt;""),(N(G32)+N(H32))&gt;='설정'!$D$6),AND('설정'!$E$6&lt;&gt;"",OR(AND(G32&lt;&gt;"",N(G32)&lt;='설정'!$E$6),AND(H32&lt;&gt;"",N(H32)&lt;='설정'!$E$6))),AND('설정'!$F$6&lt;&gt;"",AND(G32&lt;&gt;"",H32&lt;&gt;""),(N(G32)+N(H32))&lt;='설정'!$F$6))),'설정'!$B$6,IF(IF(COUNT('설정'!$C$7:$F$7)=0,AND(G32&lt;&gt;"",H32&lt;&gt;""),OR(AND('설정'!$C$7&lt;&gt;"",G32&lt;&gt;"",N(G32)&gt;='설정'!$C$7),AND('설정'!$D$7&lt;&gt;"",AND(G32&lt;&gt;"",H32&lt;&gt;""),(N(G32)+N(H32))&gt;='설정'!$D$7),AND('설정'!$E$7&lt;&gt;"",OR(AND(G32&lt;&gt;"",N(G32)&lt;='설정'!$E$7),AND(H32&lt;&gt;"",N(H32)&lt;='설정'!$E$7))),AND('설정'!$F$7&lt;&gt;"",AND(G32&lt;&gt;"",H32&lt;&gt;""),(N(G32)+N(H32))&lt;='설정'!$F$7))),'설정'!$B$7,IF(IF(COUNT('설정'!$C$8:$F$8)=0,AND(G32&lt;&gt;"",H32&lt;&gt;""),OR(AND('설정'!$C$8&lt;&gt;"",G32&lt;&gt;"",N(G32)&gt;='설정'!$C$8),AND('설정'!$D$8&lt;&gt;"",AND(G32&lt;&gt;"",H32&lt;&gt;""),(N(G32)+N(H32))&gt;='설정'!$D$8),AND('설정'!$E$8&lt;&gt;"",OR(AND(G32&lt;&gt;"",N(G32)&lt;='설정'!$E$8),AND(H32&lt;&gt;"",N(H32)&lt;='설정'!$E$8))),AND('설정'!$F$8&lt;&gt;"",AND(G32&lt;&gt;"",H32&lt;&gt;""),(N(G32)+N(H32))&lt;='설정'!$F$8))),'설정'!$B$8,'설정'!$B$9))))</f>
        <v/>
      </c>
      <c r="L32" s="29">
        <f>IF(OR(G32="",H32=""),"",IF(SUMPRODUCT(ISNUMBER('설정'!$C$6:$C$8)*(ABS(G32-'설정'!$C$6:$C$8)&lt;='설정'!$C$15))+SUMPRODUCT(ISNUMBER('설정'!$D$6:$D$8)*(ABS((G32+H32)-'설정'!$D$6:$D$8)&lt;='설정'!$C$15))+SUMPRODUCT(ISNUMBER('설정'!$F$6:$F$8)*(ABS((G32+H32)-'설정'!$F$6:$F$8)&lt;='설정'!$C$15))+SUMPRODUCT(ISNUMBER('설정'!$E$6:$E$8)*(ABS(G32-'설정'!$E$6:$E$8)&lt;='설정'!$C$15))+SUMPRODUCT(ISNUMBER('설정'!$E$6:$E$8)*(ABS(H32-'설정'!$E$6:$E$8)&lt;='설정'!$C$15))&gt;0,"경계",""))</f>
        <v/>
      </c>
      <c r="M32" s="7" t="n"/>
      <c r="N32" s="7" t="n"/>
      <c r="O32" s="27">
        <f>IF(M32&lt;&gt;"",M32,K32)</f>
        <v/>
      </c>
      <c r="P32" s="30">
        <f>IF(I32="","",IF(G32="","공수1 미응시",IF(H32="","공수2 미응시","")))</f>
        <v/>
      </c>
      <c r="Q32" s="10">
        <f>IF(J32="","",J32+ROW()/100000)</f>
        <v/>
      </c>
    </row>
    <row r="33">
      <c r="A33" s="5" t="n">
        <v>27</v>
      </c>
      <c r="B33" s="10">
        <f>IF('학생명단'!B33="","",'학생명단'!B33)</f>
        <v/>
      </c>
      <c r="C33" s="10">
        <f>IF('학생명단'!C33="","",'학생명단'!C33)</f>
        <v/>
      </c>
      <c r="D33" s="10">
        <f>IF('학생명단'!D33="","",'학생명단'!D33)</f>
        <v/>
      </c>
      <c r="E33" s="10">
        <f>IF('학생명단'!E33="","",'학생명단'!E33)</f>
        <v/>
      </c>
      <c r="F33" s="11">
        <f>IF('학생명단'!F33="","",'학생명단'!F33)</f>
        <v/>
      </c>
      <c r="G33" s="10">
        <f>'공수1'!Y33</f>
        <v/>
      </c>
      <c r="H33" s="10">
        <f>'공수2'!Y33</f>
        <v/>
      </c>
      <c r="I33" s="28">
        <f>IF(AND(G33="",H33=""),"",N(G33)*'설정'!$C$13+N(H33)*'설정'!$C$14)</f>
        <v/>
      </c>
      <c r="J33" s="10">
        <f>IF(I33="","",COUNTIF($I$7:$I$156,"&gt;"&amp;I33)+1)</f>
        <v/>
      </c>
      <c r="K33" s="27">
        <f>IF(I33="","",IF(IF(COUNT('설정'!$C$6:$F$6)=0,AND(G33&lt;&gt;"",H33&lt;&gt;""),OR(AND('설정'!$C$6&lt;&gt;"",G33&lt;&gt;"",N(G33)&gt;='설정'!$C$6),AND('설정'!$D$6&lt;&gt;"",AND(G33&lt;&gt;"",H33&lt;&gt;""),(N(G33)+N(H33))&gt;='설정'!$D$6),AND('설정'!$E$6&lt;&gt;"",OR(AND(G33&lt;&gt;"",N(G33)&lt;='설정'!$E$6),AND(H33&lt;&gt;"",N(H33)&lt;='설정'!$E$6))),AND('설정'!$F$6&lt;&gt;"",AND(G33&lt;&gt;"",H33&lt;&gt;""),(N(G33)+N(H33))&lt;='설정'!$F$6))),'설정'!$B$6,IF(IF(COUNT('설정'!$C$7:$F$7)=0,AND(G33&lt;&gt;"",H33&lt;&gt;""),OR(AND('설정'!$C$7&lt;&gt;"",G33&lt;&gt;"",N(G33)&gt;='설정'!$C$7),AND('설정'!$D$7&lt;&gt;"",AND(G33&lt;&gt;"",H33&lt;&gt;""),(N(G33)+N(H33))&gt;='설정'!$D$7),AND('설정'!$E$7&lt;&gt;"",OR(AND(G33&lt;&gt;"",N(G33)&lt;='설정'!$E$7),AND(H33&lt;&gt;"",N(H33)&lt;='설정'!$E$7))),AND('설정'!$F$7&lt;&gt;"",AND(G33&lt;&gt;"",H33&lt;&gt;""),(N(G33)+N(H33))&lt;='설정'!$F$7))),'설정'!$B$7,IF(IF(COUNT('설정'!$C$8:$F$8)=0,AND(G33&lt;&gt;"",H33&lt;&gt;""),OR(AND('설정'!$C$8&lt;&gt;"",G33&lt;&gt;"",N(G33)&gt;='설정'!$C$8),AND('설정'!$D$8&lt;&gt;"",AND(G33&lt;&gt;"",H33&lt;&gt;""),(N(G33)+N(H33))&gt;='설정'!$D$8),AND('설정'!$E$8&lt;&gt;"",OR(AND(G33&lt;&gt;"",N(G33)&lt;='설정'!$E$8),AND(H33&lt;&gt;"",N(H33)&lt;='설정'!$E$8))),AND('설정'!$F$8&lt;&gt;"",AND(G33&lt;&gt;"",H33&lt;&gt;""),(N(G33)+N(H33))&lt;='설정'!$F$8))),'설정'!$B$8,'설정'!$B$9))))</f>
        <v/>
      </c>
      <c r="L33" s="29">
        <f>IF(OR(G33="",H33=""),"",IF(SUMPRODUCT(ISNUMBER('설정'!$C$6:$C$8)*(ABS(G33-'설정'!$C$6:$C$8)&lt;='설정'!$C$15))+SUMPRODUCT(ISNUMBER('설정'!$D$6:$D$8)*(ABS((G33+H33)-'설정'!$D$6:$D$8)&lt;='설정'!$C$15))+SUMPRODUCT(ISNUMBER('설정'!$F$6:$F$8)*(ABS((G33+H33)-'설정'!$F$6:$F$8)&lt;='설정'!$C$15))+SUMPRODUCT(ISNUMBER('설정'!$E$6:$E$8)*(ABS(G33-'설정'!$E$6:$E$8)&lt;='설정'!$C$15))+SUMPRODUCT(ISNUMBER('설정'!$E$6:$E$8)*(ABS(H33-'설정'!$E$6:$E$8)&lt;='설정'!$C$15))&gt;0,"경계",""))</f>
        <v/>
      </c>
      <c r="M33" s="7" t="n"/>
      <c r="N33" s="7" t="n"/>
      <c r="O33" s="27">
        <f>IF(M33&lt;&gt;"",M33,K33)</f>
        <v/>
      </c>
      <c r="P33" s="30">
        <f>IF(I33="","",IF(G33="","공수1 미응시",IF(H33="","공수2 미응시","")))</f>
        <v/>
      </c>
      <c r="Q33" s="10">
        <f>IF(J33="","",J33+ROW()/100000)</f>
        <v/>
      </c>
    </row>
    <row r="34">
      <c r="A34" s="5" t="n">
        <v>28</v>
      </c>
      <c r="B34" s="10">
        <f>IF('학생명단'!B34="","",'학생명단'!B34)</f>
        <v/>
      </c>
      <c r="C34" s="10">
        <f>IF('학생명단'!C34="","",'학생명단'!C34)</f>
        <v/>
      </c>
      <c r="D34" s="10">
        <f>IF('학생명단'!D34="","",'학생명단'!D34)</f>
        <v/>
      </c>
      <c r="E34" s="10">
        <f>IF('학생명단'!E34="","",'학생명단'!E34)</f>
        <v/>
      </c>
      <c r="F34" s="11">
        <f>IF('학생명단'!F34="","",'학생명단'!F34)</f>
        <v/>
      </c>
      <c r="G34" s="10">
        <f>'공수1'!Y34</f>
        <v/>
      </c>
      <c r="H34" s="10">
        <f>'공수2'!Y34</f>
        <v/>
      </c>
      <c r="I34" s="28">
        <f>IF(AND(G34="",H34=""),"",N(G34)*'설정'!$C$13+N(H34)*'설정'!$C$14)</f>
        <v/>
      </c>
      <c r="J34" s="10">
        <f>IF(I34="","",COUNTIF($I$7:$I$156,"&gt;"&amp;I34)+1)</f>
        <v/>
      </c>
      <c r="K34" s="27">
        <f>IF(I34="","",IF(IF(COUNT('설정'!$C$6:$F$6)=0,AND(G34&lt;&gt;"",H34&lt;&gt;""),OR(AND('설정'!$C$6&lt;&gt;"",G34&lt;&gt;"",N(G34)&gt;='설정'!$C$6),AND('설정'!$D$6&lt;&gt;"",AND(G34&lt;&gt;"",H34&lt;&gt;""),(N(G34)+N(H34))&gt;='설정'!$D$6),AND('설정'!$E$6&lt;&gt;"",OR(AND(G34&lt;&gt;"",N(G34)&lt;='설정'!$E$6),AND(H34&lt;&gt;"",N(H34)&lt;='설정'!$E$6))),AND('설정'!$F$6&lt;&gt;"",AND(G34&lt;&gt;"",H34&lt;&gt;""),(N(G34)+N(H34))&lt;='설정'!$F$6))),'설정'!$B$6,IF(IF(COUNT('설정'!$C$7:$F$7)=0,AND(G34&lt;&gt;"",H34&lt;&gt;""),OR(AND('설정'!$C$7&lt;&gt;"",G34&lt;&gt;"",N(G34)&gt;='설정'!$C$7),AND('설정'!$D$7&lt;&gt;"",AND(G34&lt;&gt;"",H34&lt;&gt;""),(N(G34)+N(H34))&gt;='설정'!$D$7),AND('설정'!$E$7&lt;&gt;"",OR(AND(G34&lt;&gt;"",N(G34)&lt;='설정'!$E$7),AND(H34&lt;&gt;"",N(H34)&lt;='설정'!$E$7))),AND('설정'!$F$7&lt;&gt;"",AND(G34&lt;&gt;"",H34&lt;&gt;""),(N(G34)+N(H34))&lt;='설정'!$F$7))),'설정'!$B$7,IF(IF(COUNT('설정'!$C$8:$F$8)=0,AND(G34&lt;&gt;"",H34&lt;&gt;""),OR(AND('설정'!$C$8&lt;&gt;"",G34&lt;&gt;"",N(G34)&gt;='설정'!$C$8),AND('설정'!$D$8&lt;&gt;"",AND(G34&lt;&gt;"",H34&lt;&gt;""),(N(G34)+N(H34))&gt;='설정'!$D$8),AND('설정'!$E$8&lt;&gt;"",OR(AND(G34&lt;&gt;"",N(G34)&lt;='설정'!$E$8),AND(H34&lt;&gt;"",N(H34)&lt;='설정'!$E$8))),AND('설정'!$F$8&lt;&gt;"",AND(G34&lt;&gt;"",H34&lt;&gt;""),(N(G34)+N(H34))&lt;='설정'!$F$8))),'설정'!$B$8,'설정'!$B$9))))</f>
        <v/>
      </c>
      <c r="L34" s="29">
        <f>IF(OR(G34="",H34=""),"",IF(SUMPRODUCT(ISNUMBER('설정'!$C$6:$C$8)*(ABS(G34-'설정'!$C$6:$C$8)&lt;='설정'!$C$15))+SUMPRODUCT(ISNUMBER('설정'!$D$6:$D$8)*(ABS((G34+H34)-'설정'!$D$6:$D$8)&lt;='설정'!$C$15))+SUMPRODUCT(ISNUMBER('설정'!$F$6:$F$8)*(ABS((G34+H34)-'설정'!$F$6:$F$8)&lt;='설정'!$C$15))+SUMPRODUCT(ISNUMBER('설정'!$E$6:$E$8)*(ABS(G34-'설정'!$E$6:$E$8)&lt;='설정'!$C$15))+SUMPRODUCT(ISNUMBER('설정'!$E$6:$E$8)*(ABS(H34-'설정'!$E$6:$E$8)&lt;='설정'!$C$15))&gt;0,"경계",""))</f>
        <v/>
      </c>
      <c r="M34" s="7" t="n"/>
      <c r="N34" s="7" t="n"/>
      <c r="O34" s="27">
        <f>IF(M34&lt;&gt;"",M34,K34)</f>
        <v/>
      </c>
      <c r="P34" s="30">
        <f>IF(I34="","",IF(G34="","공수1 미응시",IF(H34="","공수2 미응시","")))</f>
        <v/>
      </c>
      <c r="Q34" s="10">
        <f>IF(J34="","",J34+ROW()/100000)</f>
        <v/>
      </c>
    </row>
    <row r="35">
      <c r="A35" s="5" t="n">
        <v>29</v>
      </c>
      <c r="B35" s="10">
        <f>IF('학생명단'!B35="","",'학생명단'!B35)</f>
        <v/>
      </c>
      <c r="C35" s="10">
        <f>IF('학생명단'!C35="","",'학생명단'!C35)</f>
        <v/>
      </c>
      <c r="D35" s="10">
        <f>IF('학생명단'!D35="","",'학생명단'!D35)</f>
        <v/>
      </c>
      <c r="E35" s="10">
        <f>IF('학생명단'!E35="","",'학생명단'!E35)</f>
        <v/>
      </c>
      <c r="F35" s="11">
        <f>IF('학생명단'!F35="","",'학생명단'!F35)</f>
        <v/>
      </c>
      <c r="G35" s="10">
        <f>'공수1'!Y35</f>
        <v/>
      </c>
      <c r="H35" s="10">
        <f>'공수2'!Y35</f>
        <v/>
      </c>
      <c r="I35" s="28">
        <f>IF(AND(G35="",H35=""),"",N(G35)*'설정'!$C$13+N(H35)*'설정'!$C$14)</f>
        <v/>
      </c>
      <c r="J35" s="10">
        <f>IF(I35="","",COUNTIF($I$7:$I$156,"&gt;"&amp;I35)+1)</f>
        <v/>
      </c>
      <c r="K35" s="27">
        <f>IF(I35="","",IF(IF(COUNT('설정'!$C$6:$F$6)=0,AND(G35&lt;&gt;"",H35&lt;&gt;""),OR(AND('설정'!$C$6&lt;&gt;"",G35&lt;&gt;"",N(G35)&gt;='설정'!$C$6),AND('설정'!$D$6&lt;&gt;"",AND(G35&lt;&gt;"",H35&lt;&gt;""),(N(G35)+N(H35))&gt;='설정'!$D$6),AND('설정'!$E$6&lt;&gt;"",OR(AND(G35&lt;&gt;"",N(G35)&lt;='설정'!$E$6),AND(H35&lt;&gt;"",N(H35)&lt;='설정'!$E$6))),AND('설정'!$F$6&lt;&gt;"",AND(G35&lt;&gt;"",H35&lt;&gt;""),(N(G35)+N(H35))&lt;='설정'!$F$6))),'설정'!$B$6,IF(IF(COUNT('설정'!$C$7:$F$7)=0,AND(G35&lt;&gt;"",H35&lt;&gt;""),OR(AND('설정'!$C$7&lt;&gt;"",G35&lt;&gt;"",N(G35)&gt;='설정'!$C$7),AND('설정'!$D$7&lt;&gt;"",AND(G35&lt;&gt;"",H35&lt;&gt;""),(N(G35)+N(H35))&gt;='설정'!$D$7),AND('설정'!$E$7&lt;&gt;"",OR(AND(G35&lt;&gt;"",N(G35)&lt;='설정'!$E$7),AND(H35&lt;&gt;"",N(H35)&lt;='설정'!$E$7))),AND('설정'!$F$7&lt;&gt;"",AND(G35&lt;&gt;"",H35&lt;&gt;""),(N(G35)+N(H35))&lt;='설정'!$F$7))),'설정'!$B$7,IF(IF(COUNT('설정'!$C$8:$F$8)=0,AND(G35&lt;&gt;"",H35&lt;&gt;""),OR(AND('설정'!$C$8&lt;&gt;"",G35&lt;&gt;"",N(G35)&gt;='설정'!$C$8),AND('설정'!$D$8&lt;&gt;"",AND(G35&lt;&gt;"",H35&lt;&gt;""),(N(G35)+N(H35))&gt;='설정'!$D$8),AND('설정'!$E$8&lt;&gt;"",OR(AND(G35&lt;&gt;"",N(G35)&lt;='설정'!$E$8),AND(H35&lt;&gt;"",N(H35)&lt;='설정'!$E$8))),AND('설정'!$F$8&lt;&gt;"",AND(G35&lt;&gt;"",H35&lt;&gt;""),(N(G35)+N(H35))&lt;='설정'!$F$8))),'설정'!$B$8,'설정'!$B$9))))</f>
        <v/>
      </c>
      <c r="L35" s="29">
        <f>IF(OR(G35="",H35=""),"",IF(SUMPRODUCT(ISNUMBER('설정'!$C$6:$C$8)*(ABS(G35-'설정'!$C$6:$C$8)&lt;='설정'!$C$15))+SUMPRODUCT(ISNUMBER('설정'!$D$6:$D$8)*(ABS((G35+H35)-'설정'!$D$6:$D$8)&lt;='설정'!$C$15))+SUMPRODUCT(ISNUMBER('설정'!$F$6:$F$8)*(ABS((G35+H35)-'설정'!$F$6:$F$8)&lt;='설정'!$C$15))+SUMPRODUCT(ISNUMBER('설정'!$E$6:$E$8)*(ABS(G35-'설정'!$E$6:$E$8)&lt;='설정'!$C$15))+SUMPRODUCT(ISNUMBER('설정'!$E$6:$E$8)*(ABS(H35-'설정'!$E$6:$E$8)&lt;='설정'!$C$15))&gt;0,"경계",""))</f>
        <v/>
      </c>
      <c r="M35" s="7" t="n"/>
      <c r="N35" s="7" t="n"/>
      <c r="O35" s="27">
        <f>IF(M35&lt;&gt;"",M35,K35)</f>
        <v/>
      </c>
      <c r="P35" s="30">
        <f>IF(I35="","",IF(G35="","공수1 미응시",IF(H35="","공수2 미응시","")))</f>
        <v/>
      </c>
      <c r="Q35" s="10">
        <f>IF(J35="","",J35+ROW()/100000)</f>
        <v/>
      </c>
    </row>
    <row r="36">
      <c r="A36" s="5" t="n">
        <v>30</v>
      </c>
      <c r="B36" s="10">
        <f>IF('학생명단'!B36="","",'학생명단'!B36)</f>
        <v/>
      </c>
      <c r="C36" s="10">
        <f>IF('학생명단'!C36="","",'학생명단'!C36)</f>
        <v/>
      </c>
      <c r="D36" s="10">
        <f>IF('학생명단'!D36="","",'학생명단'!D36)</f>
        <v/>
      </c>
      <c r="E36" s="10">
        <f>IF('학생명단'!E36="","",'학생명단'!E36)</f>
        <v/>
      </c>
      <c r="F36" s="11">
        <f>IF('학생명단'!F36="","",'학생명단'!F36)</f>
        <v/>
      </c>
      <c r="G36" s="10">
        <f>'공수1'!Y36</f>
        <v/>
      </c>
      <c r="H36" s="10">
        <f>'공수2'!Y36</f>
        <v/>
      </c>
      <c r="I36" s="28">
        <f>IF(AND(G36="",H36=""),"",N(G36)*'설정'!$C$13+N(H36)*'설정'!$C$14)</f>
        <v/>
      </c>
      <c r="J36" s="10">
        <f>IF(I36="","",COUNTIF($I$7:$I$156,"&gt;"&amp;I36)+1)</f>
        <v/>
      </c>
      <c r="K36" s="27">
        <f>IF(I36="","",IF(IF(COUNT('설정'!$C$6:$F$6)=0,AND(G36&lt;&gt;"",H36&lt;&gt;""),OR(AND('설정'!$C$6&lt;&gt;"",G36&lt;&gt;"",N(G36)&gt;='설정'!$C$6),AND('설정'!$D$6&lt;&gt;"",AND(G36&lt;&gt;"",H36&lt;&gt;""),(N(G36)+N(H36))&gt;='설정'!$D$6),AND('설정'!$E$6&lt;&gt;"",OR(AND(G36&lt;&gt;"",N(G36)&lt;='설정'!$E$6),AND(H36&lt;&gt;"",N(H36)&lt;='설정'!$E$6))),AND('설정'!$F$6&lt;&gt;"",AND(G36&lt;&gt;"",H36&lt;&gt;""),(N(G36)+N(H36))&lt;='설정'!$F$6))),'설정'!$B$6,IF(IF(COUNT('설정'!$C$7:$F$7)=0,AND(G36&lt;&gt;"",H36&lt;&gt;""),OR(AND('설정'!$C$7&lt;&gt;"",G36&lt;&gt;"",N(G36)&gt;='설정'!$C$7),AND('설정'!$D$7&lt;&gt;"",AND(G36&lt;&gt;"",H36&lt;&gt;""),(N(G36)+N(H36))&gt;='설정'!$D$7),AND('설정'!$E$7&lt;&gt;"",OR(AND(G36&lt;&gt;"",N(G36)&lt;='설정'!$E$7),AND(H36&lt;&gt;"",N(H36)&lt;='설정'!$E$7))),AND('설정'!$F$7&lt;&gt;"",AND(G36&lt;&gt;"",H36&lt;&gt;""),(N(G36)+N(H36))&lt;='설정'!$F$7))),'설정'!$B$7,IF(IF(COUNT('설정'!$C$8:$F$8)=0,AND(G36&lt;&gt;"",H36&lt;&gt;""),OR(AND('설정'!$C$8&lt;&gt;"",G36&lt;&gt;"",N(G36)&gt;='설정'!$C$8),AND('설정'!$D$8&lt;&gt;"",AND(G36&lt;&gt;"",H36&lt;&gt;""),(N(G36)+N(H36))&gt;='설정'!$D$8),AND('설정'!$E$8&lt;&gt;"",OR(AND(G36&lt;&gt;"",N(G36)&lt;='설정'!$E$8),AND(H36&lt;&gt;"",N(H36)&lt;='설정'!$E$8))),AND('설정'!$F$8&lt;&gt;"",AND(G36&lt;&gt;"",H36&lt;&gt;""),(N(G36)+N(H36))&lt;='설정'!$F$8))),'설정'!$B$8,'설정'!$B$9))))</f>
        <v/>
      </c>
      <c r="L36" s="29">
        <f>IF(OR(G36="",H36=""),"",IF(SUMPRODUCT(ISNUMBER('설정'!$C$6:$C$8)*(ABS(G36-'설정'!$C$6:$C$8)&lt;='설정'!$C$15))+SUMPRODUCT(ISNUMBER('설정'!$D$6:$D$8)*(ABS((G36+H36)-'설정'!$D$6:$D$8)&lt;='설정'!$C$15))+SUMPRODUCT(ISNUMBER('설정'!$F$6:$F$8)*(ABS((G36+H36)-'설정'!$F$6:$F$8)&lt;='설정'!$C$15))+SUMPRODUCT(ISNUMBER('설정'!$E$6:$E$8)*(ABS(G36-'설정'!$E$6:$E$8)&lt;='설정'!$C$15))+SUMPRODUCT(ISNUMBER('설정'!$E$6:$E$8)*(ABS(H36-'설정'!$E$6:$E$8)&lt;='설정'!$C$15))&gt;0,"경계",""))</f>
        <v/>
      </c>
      <c r="M36" s="7" t="n"/>
      <c r="N36" s="7" t="n"/>
      <c r="O36" s="27">
        <f>IF(M36&lt;&gt;"",M36,K36)</f>
        <v/>
      </c>
      <c r="P36" s="30">
        <f>IF(I36="","",IF(G36="","공수1 미응시",IF(H36="","공수2 미응시","")))</f>
        <v/>
      </c>
      <c r="Q36" s="10">
        <f>IF(J36="","",J36+ROW()/100000)</f>
        <v/>
      </c>
    </row>
    <row r="37">
      <c r="A37" s="5" t="n">
        <v>31</v>
      </c>
      <c r="B37" s="10">
        <f>IF('학생명단'!B37="","",'학생명단'!B37)</f>
        <v/>
      </c>
      <c r="C37" s="10">
        <f>IF('학생명단'!C37="","",'학생명단'!C37)</f>
        <v/>
      </c>
      <c r="D37" s="10">
        <f>IF('학생명단'!D37="","",'학생명단'!D37)</f>
        <v/>
      </c>
      <c r="E37" s="10">
        <f>IF('학생명단'!E37="","",'학생명단'!E37)</f>
        <v/>
      </c>
      <c r="F37" s="11">
        <f>IF('학생명단'!F37="","",'학생명단'!F37)</f>
        <v/>
      </c>
      <c r="G37" s="10">
        <f>'공수1'!Y37</f>
        <v/>
      </c>
      <c r="H37" s="10">
        <f>'공수2'!Y37</f>
        <v/>
      </c>
      <c r="I37" s="28">
        <f>IF(AND(G37="",H37=""),"",N(G37)*'설정'!$C$13+N(H37)*'설정'!$C$14)</f>
        <v/>
      </c>
      <c r="J37" s="10">
        <f>IF(I37="","",COUNTIF($I$7:$I$156,"&gt;"&amp;I37)+1)</f>
        <v/>
      </c>
      <c r="K37" s="27">
        <f>IF(I37="","",IF(IF(COUNT('설정'!$C$6:$F$6)=0,AND(G37&lt;&gt;"",H37&lt;&gt;""),OR(AND('설정'!$C$6&lt;&gt;"",G37&lt;&gt;"",N(G37)&gt;='설정'!$C$6),AND('설정'!$D$6&lt;&gt;"",AND(G37&lt;&gt;"",H37&lt;&gt;""),(N(G37)+N(H37))&gt;='설정'!$D$6),AND('설정'!$E$6&lt;&gt;"",OR(AND(G37&lt;&gt;"",N(G37)&lt;='설정'!$E$6),AND(H37&lt;&gt;"",N(H37)&lt;='설정'!$E$6))),AND('설정'!$F$6&lt;&gt;"",AND(G37&lt;&gt;"",H37&lt;&gt;""),(N(G37)+N(H37))&lt;='설정'!$F$6))),'설정'!$B$6,IF(IF(COUNT('설정'!$C$7:$F$7)=0,AND(G37&lt;&gt;"",H37&lt;&gt;""),OR(AND('설정'!$C$7&lt;&gt;"",G37&lt;&gt;"",N(G37)&gt;='설정'!$C$7),AND('설정'!$D$7&lt;&gt;"",AND(G37&lt;&gt;"",H37&lt;&gt;""),(N(G37)+N(H37))&gt;='설정'!$D$7),AND('설정'!$E$7&lt;&gt;"",OR(AND(G37&lt;&gt;"",N(G37)&lt;='설정'!$E$7),AND(H37&lt;&gt;"",N(H37)&lt;='설정'!$E$7))),AND('설정'!$F$7&lt;&gt;"",AND(G37&lt;&gt;"",H37&lt;&gt;""),(N(G37)+N(H37))&lt;='설정'!$F$7))),'설정'!$B$7,IF(IF(COUNT('설정'!$C$8:$F$8)=0,AND(G37&lt;&gt;"",H37&lt;&gt;""),OR(AND('설정'!$C$8&lt;&gt;"",G37&lt;&gt;"",N(G37)&gt;='설정'!$C$8),AND('설정'!$D$8&lt;&gt;"",AND(G37&lt;&gt;"",H37&lt;&gt;""),(N(G37)+N(H37))&gt;='설정'!$D$8),AND('설정'!$E$8&lt;&gt;"",OR(AND(G37&lt;&gt;"",N(G37)&lt;='설정'!$E$8),AND(H37&lt;&gt;"",N(H37)&lt;='설정'!$E$8))),AND('설정'!$F$8&lt;&gt;"",AND(G37&lt;&gt;"",H37&lt;&gt;""),(N(G37)+N(H37))&lt;='설정'!$F$8))),'설정'!$B$8,'설정'!$B$9))))</f>
        <v/>
      </c>
      <c r="L37" s="29">
        <f>IF(OR(G37="",H37=""),"",IF(SUMPRODUCT(ISNUMBER('설정'!$C$6:$C$8)*(ABS(G37-'설정'!$C$6:$C$8)&lt;='설정'!$C$15))+SUMPRODUCT(ISNUMBER('설정'!$D$6:$D$8)*(ABS((G37+H37)-'설정'!$D$6:$D$8)&lt;='설정'!$C$15))+SUMPRODUCT(ISNUMBER('설정'!$F$6:$F$8)*(ABS((G37+H37)-'설정'!$F$6:$F$8)&lt;='설정'!$C$15))+SUMPRODUCT(ISNUMBER('설정'!$E$6:$E$8)*(ABS(G37-'설정'!$E$6:$E$8)&lt;='설정'!$C$15))+SUMPRODUCT(ISNUMBER('설정'!$E$6:$E$8)*(ABS(H37-'설정'!$E$6:$E$8)&lt;='설정'!$C$15))&gt;0,"경계",""))</f>
        <v/>
      </c>
      <c r="M37" s="7" t="n"/>
      <c r="N37" s="7" t="n"/>
      <c r="O37" s="27">
        <f>IF(M37&lt;&gt;"",M37,K37)</f>
        <v/>
      </c>
      <c r="P37" s="30">
        <f>IF(I37="","",IF(G37="","공수1 미응시",IF(H37="","공수2 미응시","")))</f>
        <v/>
      </c>
      <c r="Q37" s="10">
        <f>IF(J37="","",J37+ROW()/100000)</f>
        <v/>
      </c>
    </row>
    <row r="38">
      <c r="A38" s="5" t="n">
        <v>32</v>
      </c>
      <c r="B38" s="10">
        <f>IF('학생명단'!B38="","",'학생명단'!B38)</f>
        <v/>
      </c>
      <c r="C38" s="10">
        <f>IF('학생명단'!C38="","",'학생명단'!C38)</f>
        <v/>
      </c>
      <c r="D38" s="10">
        <f>IF('학생명단'!D38="","",'학생명단'!D38)</f>
        <v/>
      </c>
      <c r="E38" s="10">
        <f>IF('학생명단'!E38="","",'학생명단'!E38)</f>
        <v/>
      </c>
      <c r="F38" s="11">
        <f>IF('학생명단'!F38="","",'학생명단'!F38)</f>
        <v/>
      </c>
      <c r="G38" s="10">
        <f>'공수1'!Y38</f>
        <v/>
      </c>
      <c r="H38" s="10">
        <f>'공수2'!Y38</f>
        <v/>
      </c>
      <c r="I38" s="28">
        <f>IF(AND(G38="",H38=""),"",N(G38)*'설정'!$C$13+N(H38)*'설정'!$C$14)</f>
        <v/>
      </c>
      <c r="J38" s="10">
        <f>IF(I38="","",COUNTIF($I$7:$I$156,"&gt;"&amp;I38)+1)</f>
        <v/>
      </c>
      <c r="K38" s="27">
        <f>IF(I38="","",IF(IF(COUNT('설정'!$C$6:$F$6)=0,AND(G38&lt;&gt;"",H38&lt;&gt;""),OR(AND('설정'!$C$6&lt;&gt;"",G38&lt;&gt;"",N(G38)&gt;='설정'!$C$6),AND('설정'!$D$6&lt;&gt;"",AND(G38&lt;&gt;"",H38&lt;&gt;""),(N(G38)+N(H38))&gt;='설정'!$D$6),AND('설정'!$E$6&lt;&gt;"",OR(AND(G38&lt;&gt;"",N(G38)&lt;='설정'!$E$6),AND(H38&lt;&gt;"",N(H38)&lt;='설정'!$E$6))),AND('설정'!$F$6&lt;&gt;"",AND(G38&lt;&gt;"",H38&lt;&gt;""),(N(G38)+N(H38))&lt;='설정'!$F$6))),'설정'!$B$6,IF(IF(COUNT('설정'!$C$7:$F$7)=0,AND(G38&lt;&gt;"",H38&lt;&gt;""),OR(AND('설정'!$C$7&lt;&gt;"",G38&lt;&gt;"",N(G38)&gt;='설정'!$C$7),AND('설정'!$D$7&lt;&gt;"",AND(G38&lt;&gt;"",H38&lt;&gt;""),(N(G38)+N(H38))&gt;='설정'!$D$7),AND('설정'!$E$7&lt;&gt;"",OR(AND(G38&lt;&gt;"",N(G38)&lt;='설정'!$E$7),AND(H38&lt;&gt;"",N(H38)&lt;='설정'!$E$7))),AND('설정'!$F$7&lt;&gt;"",AND(G38&lt;&gt;"",H38&lt;&gt;""),(N(G38)+N(H38))&lt;='설정'!$F$7))),'설정'!$B$7,IF(IF(COUNT('설정'!$C$8:$F$8)=0,AND(G38&lt;&gt;"",H38&lt;&gt;""),OR(AND('설정'!$C$8&lt;&gt;"",G38&lt;&gt;"",N(G38)&gt;='설정'!$C$8),AND('설정'!$D$8&lt;&gt;"",AND(G38&lt;&gt;"",H38&lt;&gt;""),(N(G38)+N(H38))&gt;='설정'!$D$8),AND('설정'!$E$8&lt;&gt;"",OR(AND(G38&lt;&gt;"",N(G38)&lt;='설정'!$E$8),AND(H38&lt;&gt;"",N(H38)&lt;='설정'!$E$8))),AND('설정'!$F$8&lt;&gt;"",AND(G38&lt;&gt;"",H38&lt;&gt;""),(N(G38)+N(H38))&lt;='설정'!$F$8))),'설정'!$B$8,'설정'!$B$9))))</f>
        <v/>
      </c>
      <c r="L38" s="29">
        <f>IF(OR(G38="",H38=""),"",IF(SUMPRODUCT(ISNUMBER('설정'!$C$6:$C$8)*(ABS(G38-'설정'!$C$6:$C$8)&lt;='설정'!$C$15))+SUMPRODUCT(ISNUMBER('설정'!$D$6:$D$8)*(ABS((G38+H38)-'설정'!$D$6:$D$8)&lt;='설정'!$C$15))+SUMPRODUCT(ISNUMBER('설정'!$F$6:$F$8)*(ABS((G38+H38)-'설정'!$F$6:$F$8)&lt;='설정'!$C$15))+SUMPRODUCT(ISNUMBER('설정'!$E$6:$E$8)*(ABS(G38-'설정'!$E$6:$E$8)&lt;='설정'!$C$15))+SUMPRODUCT(ISNUMBER('설정'!$E$6:$E$8)*(ABS(H38-'설정'!$E$6:$E$8)&lt;='설정'!$C$15))&gt;0,"경계",""))</f>
        <v/>
      </c>
      <c r="M38" s="7" t="n"/>
      <c r="N38" s="7" t="n"/>
      <c r="O38" s="27">
        <f>IF(M38&lt;&gt;"",M38,K38)</f>
        <v/>
      </c>
      <c r="P38" s="30">
        <f>IF(I38="","",IF(G38="","공수1 미응시",IF(H38="","공수2 미응시","")))</f>
        <v/>
      </c>
      <c r="Q38" s="10">
        <f>IF(J38="","",J38+ROW()/100000)</f>
        <v/>
      </c>
    </row>
    <row r="39">
      <c r="A39" s="5" t="n">
        <v>33</v>
      </c>
      <c r="B39" s="10">
        <f>IF('학생명단'!B39="","",'학생명단'!B39)</f>
        <v/>
      </c>
      <c r="C39" s="10">
        <f>IF('학생명단'!C39="","",'학생명단'!C39)</f>
        <v/>
      </c>
      <c r="D39" s="10">
        <f>IF('학생명단'!D39="","",'학생명단'!D39)</f>
        <v/>
      </c>
      <c r="E39" s="10">
        <f>IF('학생명단'!E39="","",'학생명단'!E39)</f>
        <v/>
      </c>
      <c r="F39" s="11">
        <f>IF('학생명단'!F39="","",'학생명단'!F39)</f>
        <v/>
      </c>
      <c r="G39" s="10">
        <f>'공수1'!Y39</f>
        <v/>
      </c>
      <c r="H39" s="10">
        <f>'공수2'!Y39</f>
        <v/>
      </c>
      <c r="I39" s="28">
        <f>IF(AND(G39="",H39=""),"",N(G39)*'설정'!$C$13+N(H39)*'설정'!$C$14)</f>
        <v/>
      </c>
      <c r="J39" s="10">
        <f>IF(I39="","",COUNTIF($I$7:$I$156,"&gt;"&amp;I39)+1)</f>
        <v/>
      </c>
      <c r="K39" s="27">
        <f>IF(I39="","",IF(IF(COUNT('설정'!$C$6:$F$6)=0,AND(G39&lt;&gt;"",H39&lt;&gt;""),OR(AND('설정'!$C$6&lt;&gt;"",G39&lt;&gt;"",N(G39)&gt;='설정'!$C$6),AND('설정'!$D$6&lt;&gt;"",AND(G39&lt;&gt;"",H39&lt;&gt;""),(N(G39)+N(H39))&gt;='설정'!$D$6),AND('설정'!$E$6&lt;&gt;"",OR(AND(G39&lt;&gt;"",N(G39)&lt;='설정'!$E$6),AND(H39&lt;&gt;"",N(H39)&lt;='설정'!$E$6))),AND('설정'!$F$6&lt;&gt;"",AND(G39&lt;&gt;"",H39&lt;&gt;""),(N(G39)+N(H39))&lt;='설정'!$F$6))),'설정'!$B$6,IF(IF(COUNT('설정'!$C$7:$F$7)=0,AND(G39&lt;&gt;"",H39&lt;&gt;""),OR(AND('설정'!$C$7&lt;&gt;"",G39&lt;&gt;"",N(G39)&gt;='설정'!$C$7),AND('설정'!$D$7&lt;&gt;"",AND(G39&lt;&gt;"",H39&lt;&gt;""),(N(G39)+N(H39))&gt;='설정'!$D$7),AND('설정'!$E$7&lt;&gt;"",OR(AND(G39&lt;&gt;"",N(G39)&lt;='설정'!$E$7),AND(H39&lt;&gt;"",N(H39)&lt;='설정'!$E$7))),AND('설정'!$F$7&lt;&gt;"",AND(G39&lt;&gt;"",H39&lt;&gt;""),(N(G39)+N(H39))&lt;='설정'!$F$7))),'설정'!$B$7,IF(IF(COUNT('설정'!$C$8:$F$8)=0,AND(G39&lt;&gt;"",H39&lt;&gt;""),OR(AND('설정'!$C$8&lt;&gt;"",G39&lt;&gt;"",N(G39)&gt;='설정'!$C$8),AND('설정'!$D$8&lt;&gt;"",AND(G39&lt;&gt;"",H39&lt;&gt;""),(N(G39)+N(H39))&gt;='설정'!$D$8),AND('설정'!$E$8&lt;&gt;"",OR(AND(G39&lt;&gt;"",N(G39)&lt;='설정'!$E$8),AND(H39&lt;&gt;"",N(H39)&lt;='설정'!$E$8))),AND('설정'!$F$8&lt;&gt;"",AND(G39&lt;&gt;"",H39&lt;&gt;""),(N(G39)+N(H39))&lt;='설정'!$F$8))),'설정'!$B$8,'설정'!$B$9))))</f>
        <v/>
      </c>
      <c r="L39" s="29">
        <f>IF(OR(G39="",H39=""),"",IF(SUMPRODUCT(ISNUMBER('설정'!$C$6:$C$8)*(ABS(G39-'설정'!$C$6:$C$8)&lt;='설정'!$C$15))+SUMPRODUCT(ISNUMBER('설정'!$D$6:$D$8)*(ABS((G39+H39)-'설정'!$D$6:$D$8)&lt;='설정'!$C$15))+SUMPRODUCT(ISNUMBER('설정'!$F$6:$F$8)*(ABS((G39+H39)-'설정'!$F$6:$F$8)&lt;='설정'!$C$15))+SUMPRODUCT(ISNUMBER('설정'!$E$6:$E$8)*(ABS(G39-'설정'!$E$6:$E$8)&lt;='설정'!$C$15))+SUMPRODUCT(ISNUMBER('설정'!$E$6:$E$8)*(ABS(H39-'설정'!$E$6:$E$8)&lt;='설정'!$C$15))&gt;0,"경계",""))</f>
        <v/>
      </c>
      <c r="M39" s="7" t="n"/>
      <c r="N39" s="7" t="n"/>
      <c r="O39" s="27">
        <f>IF(M39&lt;&gt;"",M39,K39)</f>
        <v/>
      </c>
      <c r="P39" s="30">
        <f>IF(I39="","",IF(G39="","공수1 미응시",IF(H39="","공수2 미응시","")))</f>
        <v/>
      </c>
      <c r="Q39" s="10">
        <f>IF(J39="","",J39+ROW()/100000)</f>
        <v/>
      </c>
    </row>
    <row r="40">
      <c r="A40" s="5" t="n">
        <v>34</v>
      </c>
      <c r="B40" s="10">
        <f>IF('학생명단'!B40="","",'학생명단'!B40)</f>
        <v/>
      </c>
      <c r="C40" s="10">
        <f>IF('학생명단'!C40="","",'학생명단'!C40)</f>
        <v/>
      </c>
      <c r="D40" s="10">
        <f>IF('학생명단'!D40="","",'학생명단'!D40)</f>
        <v/>
      </c>
      <c r="E40" s="10">
        <f>IF('학생명단'!E40="","",'학생명단'!E40)</f>
        <v/>
      </c>
      <c r="F40" s="11">
        <f>IF('학생명단'!F40="","",'학생명단'!F40)</f>
        <v/>
      </c>
      <c r="G40" s="10">
        <f>'공수1'!Y40</f>
        <v/>
      </c>
      <c r="H40" s="10">
        <f>'공수2'!Y40</f>
        <v/>
      </c>
      <c r="I40" s="28">
        <f>IF(AND(G40="",H40=""),"",N(G40)*'설정'!$C$13+N(H40)*'설정'!$C$14)</f>
        <v/>
      </c>
      <c r="J40" s="10">
        <f>IF(I40="","",COUNTIF($I$7:$I$156,"&gt;"&amp;I40)+1)</f>
        <v/>
      </c>
      <c r="K40" s="27">
        <f>IF(I40="","",IF(IF(COUNT('설정'!$C$6:$F$6)=0,AND(G40&lt;&gt;"",H40&lt;&gt;""),OR(AND('설정'!$C$6&lt;&gt;"",G40&lt;&gt;"",N(G40)&gt;='설정'!$C$6),AND('설정'!$D$6&lt;&gt;"",AND(G40&lt;&gt;"",H40&lt;&gt;""),(N(G40)+N(H40))&gt;='설정'!$D$6),AND('설정'!$E$6&lt;&gt;"",OR(AND(G40&lt;&gt;"",N(G40)&lt;='설정'!$E$6),AND(H40&lt;&gt;"",N(H40)&lt;='설정'!$E$6))),AND('설정'!$F$6&lt;&gt;"",AND(G40&lt;&gt;"",H40&lt;&gt;""),(N(G40)+N(H40))&lt;='설정'!$F$6))),'설정'!$B$6,IF(IF(COUNT('설정'!$C$7:$F$7)=0,AND(G40&lt;&gt;"",H40&lt;&gt;""),OR(AND('설정'!$C$7&lt;&gt;"",G40&lt;&gt;"",N(G40)&gt;='설정'!$C$7),AND('설정'!$D$7&lt;&gt;"",AND(G40&lt;&gt;"",H40&lt;&gt;""),(N(G40)+N(H40))&gt;='설정'!$D$7),AND('설정'!$E$7&lt;&gt;"",OR(AND(G40&lt;&gt;"",N(G40)&lt;='설정'!$E$7),AND(H40&lt;&gt;"",N(H40)&lt;='설정'!$E$7))),AND('설정'!$F$7&lt;&gt;"",AND(G40&lt;&gt;"",H40&lt;&gt;""),(N(G40)+N(H40))&lt;='설정'!$F$7))),'설정'!$B$7,IF(IF(COUNT('설정'!$C$8:$F$8)=0,AND(G40&lt;&gt;"",H40&lt;&gt;""),OR(AND('설정'!$C$8&lt;&gt;"",G40&lt;&gt;"",N(G40)&gt;='설정'!$C$8),AND('설정'!$D$8&lt;&gt;"",AND(G40&lt;&gt;"",H40&lt;&gt;""),(N(G40)+N(H40))&gt;='설정'!$D$8),AND('설정'!$E$8&lt;&gt;"",OR(AND(G40&lt;&gt;"",N(G40)&lt;='설정'!$E$8),AND(H40&lt;&gt;"",N(H40)&lt;='설정'!$E$8))),AND('설정'!$F$8&lt;&gt;"",AND(G40&lt;&gt;"",H40&lt;&gt;""),(N(G40)+N(H40))&lt;='설정'!$F$8))),'설정'!$B$8,'설정'!$B$9))))</f>
        <v/>
      </c>
      <c r="L40" s="29">
        <f>IF(OR(G40="",H40=""),"",IF(SUMPRODUCT(ISNUMBER('설정'!$C$6:$C$8)*(ABS(G40-'설정'!$C$6:$C$8)&lt;='설정'!$C$15))+SUMPRODUCT(ISNUMBER('설정'!$D$6:$D$8)*(ABS((G40+H40)-'설정'!$D$6:$D$8)&lt;='설정'!$C$15))+SUMPRODUCT(ISNUMBER('설정'!$F$6:$F$8)*(ABS((G40+H40)-'설정'!$F$6:$F$8)&lt;='설정'!$C$15))+SUMPRODUCT(ISNUMBER('설정'!$E$6:$E$8)*(ABS(G40-'설정'!$E$6:$E$8)&lt;='설정'!$C$15))+SUMPRODUCT(ISNUMBER('설정'!$E$6:$E$8)*(ABS(H40-'설정'!$E$6:$E$8)&lt;='설정'!$C$15))&gt;0,"경계",""))</f>
        <v/>
      </c>
      <c r="M40" s="7" t="n"/>
      <c r="N40" s="7" t="n"/>
      <c r="O40" s="27">
        <f>IF(M40&lt;&gt;"",M40,K40)</f>
        <v/>
      </c>
      <c r="P40" s="30">
        <f>IF(I40="","",IF(G40="","공수1 미응시",IF(H40="","공수2 미응시","")))</f>
        <v/>
      </c>
      <c r="Q40" s="10">
        <f>IF(J40="","",J40+ROW()/100000)</f>
        <v/>
      </c>
    </row>
    <row r="41">
      <c r="A41" s="5" t="n">
        <v>35</v>
      </c>
      <c r="B41" s="10">
        <f>IF('학생명단'!B41="","",'학생명단'!B41)</f>
        <v/>
      </c>
      <c r="C41" s="10">
        <f>IF('학생명단'!C41="","",'학생명단'!C41)</f>
        <v/>
      </c>
      <c r="D41" s="10">
        <f>IF('학생명단'!D41="","",'학생명단'!D41)</f>
        <v/>
      </c>
      <c r="E41" s="10">
        <f>IF('학생명단'!E41="","",'학생명단'!E41)</f>
        <v/>
      </c>
      <c r="F41" s="11">
        <f>IF('학생명단'!F41="","",'학생명단'!F41)</f>
        <v/>
      </c>
      <c r="G41" s="10">
        <f>'공수1'!Y41</f>
        <v/>
      </c>
      <c r="H41" s="10">
        <f>'공수2'!Y41</f>
        <v/>
      </c>
      <c r="I41" s="28">
        <f>IF(AND(G41="",H41=""),"",N(G41)*'설정'!$C$13+N(H41)*'설정'!$C$14)</f>
        <v/>
      </c>
      <c r="J41" s="10">
        <f>IF(I41="","",COUNTIF($I$7:$I$156,"&gt;"&amp;I41)+1)</f>
        <v/>
      </c>
      <c r="K41" s="27">
        <f>IF(I41="","",IF(IF(COUNT('설정'!$C$6:$F$6)=0,AND(G41&lt;&gt;"",H41&lt;&gt;""),OR(AND('설정'!$C$6&lt;&gt;"",G41&lt;&gt;"",N(G41)&gt;='설정'!$C$6),AND('설정'!$D$6&lt;&gt;"",AND(G41&lt;&gt;"",H41&lt;&gt;""),(N(G41)+N(H41))&gt;='설정'!$D$6),AND('설정'!$E$6&lt;&gt;"",OR(AND(G41&lt;&gt;"",N(G41)&lt;='설정'!$E$6),AND(H41&lt;&gt;"",N(H41)&lt;='설정'!$E$6))),AND('설정'!$F$6&lt;&gt;"",AND(G41&lt;&gt;"",H41&lt;&gt;""),(N(G41)+N(H41))&lt;='설정'!$F$6))),'설정'!$B$6,IF(IF(COUNT('설정'!$C$7:$F$7)=0,AND(G41&lt;&gt;"",H41&lt;&gt;""),OR(AND('설정'!$C$7&lt;&gt;"",G41&lt;&gt;"",N(G41)&gt;='설정'!$C$7),AND('설정'!$D$7&lt;&gt;"",AND(G41&lt;&gt;"",H41&lt;&gt;""),(N(G41)+N(H41))&gt;='설정'!$D$7),AND('설정'!$E$7&lt;&gt;"",OR(AND(G41&lt;&gt;"",N(G41)&lt;='설정'!$E$7),AND(H41&lt;&gt;"",N(H41)&lt;='설정'!$E$7))),AND('설정'!$F$7&lt;&gt;"",AND(G41&lt;&gt;"",H41&lt;&gt;""),(N(G41)+N(H41))&lt;='설정'!$F$7))),'설정'!$B$7,IF(IF(COUNT('설정'!$C$8:$F$8)=0,AND(G41&lt;&gt;"",H41&lt;&gt;""),OR(AND('설정'!$C$8&lt;&gt;"",G41&lt;&gt;"",N(G41)&gt;='설정'!$C$8),AND('설정'!$D$8&lt;&gt;"",AND(G41&lt;&gt;"",H41&lt;&gt;""),(N(G41)+N(H41))&gt;='설정'!$D$8),AND('설정'!$E$8&lt;&gt;"",OR(AND(G41&lt;&gt;"",N(G41)&lt;='설정'!$E$8),AND(H41&lt;&gt;"",N(H41)&lt;='설정'!$E$8))),AND('설정'!$F$8&lt;&gt;"",AND(G41&lt;&gt;"",H41&lt;&gt;""),(N(G41)+N(H41))&lt;='설정'!$F$8))),'설정'!$B$8,'설정'!$B$9))))</f>
        <v/>
      </c>
      <c r="L41" s="29">
        <f>IF(OR(G41="",H41=""),"",IF(SUMPRODUCT(ISNUMBER('설정'!$C$6:$C$8)*(ABS(G41-'설정'!$C$6:$C$8)&lt;='설정'!$C$15))+SUMPRODUCT(ISNUMBER('설정'!$D$6:$D$8)*(ABS((G41+H41)-'설정'!$D$6:$D$8)&lt;='설정'!$C$15))+SUMPRODUCT(ISNUMBER('설정'!$F$6:$F$8)*(ABS((G41+H41)-'설정'!$F$6:$F$8)&lt;='설정'!$C$15))+SUMPRODUCT(ISNUMBER('설정'!$E$6:$E$8)*(ABS(G41-'설정'!$E$6:$E$8)&lt;='설정'!$C$15))+SUMPRODUCT(ISNUMBER('설정'!$E$6:$E$8)*(ABS(H41-'설정'!$E$6:$E$8)&lt;='설정'!$C$15))&gt;0,"경계",""))</f>
        <v/>
      </c>
      <c r="M41" s="7" t="n"/>
      <c r="N41" s="7" t="n"/>
      <c r="O41" s="27">
        <f>IF(M41&lt;&gt;"",M41,K41)</f>
        <v/>
      </c>
      <c r="P41" s="30">
        <f>IF(I41="","",IF(G41="","공수1 미응시",IF(H41="","공수2 미응시","")))</f>
        <v/>
      </c>
      <c r="Q41" s="10">
        <f>IF(J41="","",J41+ROW()/100000)</f>
        <v/>
      </c>
    </row>
    <row r="42">
      <c r="A42" s="5" t="n">
        <v>36</v>
      </c>
      <c r="B42" s="10">
        <f>IF('학생명단'!B42="","",'학생명단'!B42)</f>
        <v/>
      </c>
      <c r="C42" s="10">
        <f>IF('학생명단'!C42="","",'학생명단'!C42)</f>
        <v/>
      </c>
      <c r="D42" s="10">
        <f>IF('학생명단'!D42="","",'학생명단'!D42)</f>
        <v/>
      </c>
      <c r="E42" s="10">
        <f>IF('학생명단'!E42="","",'학생명단'!E42)</f>
        <v/>
      </c>
      <c r="F42" s="11">
        <f>IF('학생명단'!F42="","",'학생명단'!F42)</f>
        <v/>
      </c>
      <c r="G42" s="10">
        <f>'공수1'!Y42</f>
        <v/>
      </c>
      <c r="H42" s="10">
        <f>'공수2'!Y42</f>
        <v/>
      </c>
      <c r="I42" s="28">
        <f>IF(AND(G42="",H42=""),"",N(G42)*'설정'!$C$13+N(H42)*'설정'!$C$14)</f>
        <v/>
      </c>
      <c r="J42" s="10">
        <f>IF(I42="","",COUNTIF($I$7:$I$156,"&gt;"&amp;I42)+1)</f>
        <v/>
      </c>
      <c r="K42" s="27">
        <f>IF(I42="","",IF(IF(COUNT('설정'!$C$6:$F$6)=0,AND(G42&lt;&gt;"",H42&lt;&gt;""),OR(AND('설정'!$C$6&lt;&gt;"",G42&lt;&gt;"",N(G42)&gt;='설정'!$C$6),AND('설정'!$D$6&lt;&gt;"",AND(G42&lt;&gt;"",H42&lt;&gt;""),(N(G42)+N(H42))&gt;='설정'!$D$6),AND('설정'!$E$6&lt;&gt;"",OR(AND(G42&lt;&gt;"",N(G42)&lt;='설정'!$E$6),AND(H42&lt;&gt;"",N(H42)&lt;='설정'!$E$6))),AND('설정'!$F$6&lt;&gt;"",AND(G42&lt;&gt;"",H42&lt;&gt;""),(N(G42)+N(H42))&lt;='설정'!$F$6))),'설정'!$B$6,IF(IF(COUNT('설정'!$C$7:$F$7)=0,AND(G42&lt;&gt;"",H42&lt;&gt;""),OR(AND('설정'!$C$7&lt;&gt;"",G42&lt;&gt;"",N(G42)&gt;='설정'!$C$7),AND('설정'!$D$7&lt;&gt;"",AND(G42&lt;&gt;"",H42&lt;&gt;""),(N(G42)+N(H42))&gt;='설정'!$D$7),AND('설정'!$E$7&lt;&gt;"",OR(AND(G42&lt;&gt;"",N(G42)&lt;='설정'!$E$7),AND(H42&lt;&gt;"",N(H42)&lt;='설정'!$E$7))),AND('설정'!$F$7&lt;&gt;"",AND(G42&lt;&gt;"",H42&lt;&gt;""),(N(G42)+N(H42))&lt;='설정'!$F$7))),'설정'!$B$7,IF(IF(COUNT('설정'!$C$8:$F$8)=0,AND(G42&lt;&gt;"",H42&lt;&gt;""),OR(AND('설정'!$C$8&lt;&gt;"",G42&lt;&gt;"",N(G42)&gt;='설정'!$C$8),AND('설정'!$D$8&lt;&gt;"",AND(G42&lt;&gt;"",H42&lt;&gt;""),(N(G42)+N(H42))&gt;='설정'!$D$8),AND('설정'!$E$8&lt;&gt;"",OR(AND(G42&lt;&gt;"",N(G42)&lt;='설정'!$E$8),AND(H42&lt;&gt;"",N(H42)&lt;='설정'!$E$8))),AND('설정'!$F$8&lt;&gt;"",AND(G42&lt;&gt;"",H42&lt;&gt;""),(N(G42)+N(H42))&lt;='설정'!$F$8))),'설정'!$B$8,'설정'!$B$9))))</f>
        <v/>
      </c>
      <c r="L42" s="29">
        <f>IF(OR(G42="",H42=""),"",IF(SUMPRODUCT(ISNUMBER('설정'!$C$6:$C$8)*(ABS(G42-'설정'!$C$6:$C$8)&lt;='설정'!$C$15))+SUMPRODUCT(ISNUMBER('설정'!$D$6:$D$8)*(ABS((G42+H42)-'설정'!$D$6:$D$8)&lt;='설정'!$C$15))+SUMPRODUCT(ISNUMBER('설정'!$F$6:$F$8)*(ABS((G42+H42)-'설정'!$F$6:$F$8)&lt;='설정'!$C$15))+SUMPRODUCT(ISNUMBER('설정'!$E$6:$E$8)*(ABS(G42-'설정'!$E$6:$E$8)&lt;='설정'!$C$15))+SUMPRODUCT(ISNUMBER('설정'!$E$6:$E$8)*(ABS(H42-'설정'!$E$6:$E$8)&lt;='설정'!$C$15))&gt;0,"경계",""))</f>
        <v/>
      </c>
      <c r="M42" s="7" t="n"/>
      <c r="N42" s="7" t="n"/>
      <c r="O42" s="27">
        <f>IF(M42&lt;&gt;"",M42,K42)</f>
        <v/>
      </c>
      <c r="P42" s="30">
        <f>IF(I42="","",IF(G42="","공수1 미응시",IF(H42="","공수2 미응시","")))</f>
        <v/>
      </c>
      <c r="Q42" s="10">
        <f>IF(J42="","",J42+ROW()/100000)</f>
        <v/>
      </c>
    </row>
    <row r="43">
      <c r="A43" s="5" t="n">
        <v>37</v>
      </c>
      <c r="B43" s="10">
        <f>IF('학생명단'!B43="","",'학생명단'!B43)</f>
        <v/>
      </c>
      <c r="C43" s="10">
        <f>IF('학생명단'!C43="","",'학생명단'!C43)</f>
        <v/>
      </c>
      <c r="D43" s="10">
        <f>IF('학생명단'!D43="","",'학생명단'!D43)</f>
        <v/>
      </c>
      <c r="E43" s="10">
        <f>IF('학생명단'!E43="","",'학생명단'!E43)</f>
        <v/>
      </c>
      <c r="F43" s="11">
        <f>IF('학생명단'!F43="","",'학생명단'!F43)</f>
        <v/>
      </c>
      <c r="G43" s="10">
        <f>'공수1'!Y43</f>
        <v/>
      </c>
      <c r="H43" s="10">
        <f>'공수2'!Y43</f>
        <v/>
      </c>
      <c r="I43" s="28">
        <f>IF(AND(G43="",H43=""),"",N(G43)*'설정'!$C$13+N(H43)*'설정'!$C$14)</f>
        <v/>
      </c>
      <c r="J43" s="10">
        <f>IF(I43="","",COUNTIF($I$7:$I$156,"&gt;"&amp;I43)+1)</f>
        <v/>
      </c>
      <c r="K43" s="27">
        <f>IF(I43="","",IF(IF(COUNT('설정'!$C$6:$F$6)=0,AND(G43&lt;&gt;"",H43&lt;&gt;""),OR(AND('설정'!$C$6&lt;&gt;"",G43&lt;&gt;"",N(G43)&gt;='설정'!$C$6),AND('설정'!$D$6&lt;&gt;"",AND(G43&lt;&gt;"",H43&lt;&gt;""),(N(G43)+N(H43))&gt;='설정'!$D$6),AND('설정'!$E$6&lt;&gt;"",OR(AND(G43&lt;&gt;"",N(G43)&lt;='설정'!$E$6),AND(H43&lt;&gt;"",N(H43)&lt;='설정'!$E$6))),AND('설정'!$F$6&lt;&gt;"",AND(G43&lt;&gt;"",H43&lt;&gt;""),(N(G43)+N(H43))&lt;='설정'!$F$6))),'설정'!$B$6,IF(IF(COUNT('설정'!$C$7:$F$7)=0,AND(G43&lt;&gt;"",H43&lt;&gt;""),OR(AND('설정'!$C$7&lt;&gt;"",G43&lt;&gt;"",N(G43)&gt;='설정'!$C$7),AND('설정'!$D$7&lt;&gt;"",AND(G43&lt;&gt;"",H43&lt;&gt;""),(N(G43)+N(H43))&gt;='설정'!$D$7),AND('설정'!$E$7&lt;&gt;"",OR(AND(G43&lt;&gt;"",N(G43)&lt;='설정'!$E$7),AND(H43&lt;&gt;"",N(H43)&lt;='설정'!$E$7))),AND('설정'!$F$7&lt;&gt;"",AND(G43&lt;&gt;"",H43&lt;&gt;""),(N(G43)+N(H43))&lt;='설정'!$F$7))),'설정'!$B$7,IF(IF(COUNT('설정'!$C$8:$F$8)=0,AND(G43&lt;&gt;"",H43&lt;&gt;""),OR(AND('설정'!$C$8&lt;&gt;"",G43&lt;&gt;"",N(G43)&gt;='설정'!$C$8),AND('설정'!$D$8&lt;&gt;"",AND(G43&lt;&gt;"",H43&lt;&gt;""),(N(G43)+N(H43))&gt;='설정'!$D$8),AND('설정'!$E$8&lt;&gt;"",OR(AND(G43&lt;&gt;"",N(G43)&lt;='설정'!$E$8),AND(H43&lt;&gt;"",N(H43)&lt;='설정'!$E$8))),AND('설정'!$F$8&lt;&gt;"",AND(G43&lt;&gt;"",H43&lt;&gt;""),(N(G43)+N(H43))&lt;='설정'!$F$8))),'설정'!$B$8,'설정'!$B$9))))</f>
        <v/>
      </c>
      <c r="L43" s="29">
        <f>IF(OR(G43="",H43=""),"",IF(SUMPRODUCT(ISNUMBER('설정'!$C$6:$C$8)*(ABS(G43-'설정'!$C$6:$C$8)&lt;='설정'!$C$15))+SUMPRODUCT(ISNUMBER('설정'!$D$6:$D$8)*(ABS((G43+H43)-'설정'!$D$6:$D$8)&lt;='설정'!$C$15))+SUMPRODUCT(ISNUMBER('설정'!$F$6:$F$8)*(ABS((G43+H43)-'설정'!$F$6:$F$8)&lt;='설정'!$C$15))+SUMPRODUCT(ISNUMBER('설정'!$E$6:$E$8)*(ABS(G43-'설정'!$E$6:$E$8)&lt;='설정'!$C$15))+SUMPRODUCT(ISNUMBER('설정'!$E$6:$E$8)*(ABS(H43-'설정'!$E$6:$E$8)&lt;='설정'!$C$15))&gt;0,"경계",""))</f>
        <v/>
      </c>
      <c r="M43" s="7" t="n"/>
      <c r="N43" s="7" t="n"/>
      <c r="O43" s="27">
        <f>IF(M43&lt;&gt;"",M43,K43)</f>
        <v/>
      </c>
      <c r="P43" s="30">
        <f>IF(I43="","",IF(G43="","공수1 미응시",IF(H43="","공수2 미응시","")))</f>
        <v/>
      </c>
      <c r="Q43" s="10">
        <f>IF(J43="","",J43+ROW()/100000)</f>
        <v/>
      </c>
    </row>
    <row r="44">
      <c r="A44" s="5" t="n">
        <v>38</v>
      </c>
      <c r="B44" s="10">
        <f>IF('학생명단'!B44="","",'학생명단'!B44)</f>
        <v/>
      </c>
      <c r="C44" s="10">
        <f>IF('학생명단'!C44="","",'학생명단'!C44)</f>
        <v/>
      </c>
      <c r="D44" s="10">
        <f>IF('학생명단'!D44="","",'학생명단'!D44)</f>
        <v/>
      </c>
      <c r="E44" s="10">
        <f>IF('학생명단'!E44="","",'학생명단'!E44)</f>
        <v/>
      </c>
      <c r="F44" s="11">
        <f>IF('학생명단'!F44="","",'학생명단'!F44)</f>
        <v/>
      </c>
      <c r="G44" s="10">
        <f>'공수1'!Y44</f>
        <v/>
      </c>
      <c r="H44" s="10">
        <f>'공수2'!Y44</f>
        <v/>
      </c>
      <c r="I44" s="28">
        <f>IF(AND(G44="",H44=""),"",N(G44)*'설정'!$C$13+N(H44)*'설정'!$C$14)</f>
        <v/>
      </c>
      <c r="J44" s="10">
        <f>IF(I44="","",COUNTIF($I$7:$I$156,"&gt;"&amp;I44)+1)</f>
        <v/>
      </c>
      <c r="K44" s="27">
        <f>IF(I44="","",IF(IF(COUNT('설정'!$C$6:$F$6)=0,AND(G44&lt;&gt;"",H44&lt;&gt;""),OR(AND('설정'!$C$6&lt;&gt;"",G44&lt;&gt;"",N(G44)&gt;='설정'!$C$6),AND('설정'!$D$6&lt;&gt;"",AND(G44&lt;&gt;"",H44&lt;&gt;""),(N(G44)+N(H44))&gt;='설정'!$D$6),AND('설정'!$E$6&lt;&gt;"",OR(AND(G44&lt;&gt;"",N(G44)&lt;='설정'!$E$6),AND(H44&lt;&gt;"",N(H44)&lt;='설정'!$E$6))),AND('설정'!$F$6&lt;&gt;"",AND(G44&lt;&gt;"",H44&lt;&gt;""),(N(G44)+N(H44))&lt;='설정'!$F$6))),'설정'!$B$6,IF(IF(COUNT('설정'!$C$7:$F$7)=0,AND(G44&lt;&gt;"",H44&lt;&gt;""),OR(AND('설정'!$C$7&lt;&gt;"",G44&lt;&gt;"",N(G44)&gt;='설정'!$C$7),AND('설정'!$D$7&lt;&gt;"",AND(G44&lt;&gt;"",H44&lt;&gt;""),(N(G44)+N(H44))&gt;='설정'!$D$7),AND('설정'!$E$7&lt;&gt;"",OR(AND(G44&lt;&gt;"",N(G44)&lt;='설정'!$E$7),AND(H44&lt;&gt;"",N(H44)&lt;='설정'!$E$7))),AND('설정'!$F$7&lt;&gt;"",AND(G44&lt;&gt;"",H44&lt;&gt;""),(N(G44)+N(H44))&lt;='설정'!$F$7))),'설정'!$B$7,IF(IF(COUNT('설정'!$C$8:$F$8)=0,AND(G44&lt;&gt;"",H44&lt;&gt;""),OR(AND('설정'!$C$8&lt;&gt;"",G44&lt;&gt;"",N(G44)&gt;='설정'!$C$8),AND('설정'!$D$8&lt;&gt;"",AND(G44&lt;&gt;"",H44&lt;&gt;""),(N(G44)+N(H44))&gt;='설정'!$D$8),AND('설정'!$E$8&lt;&gt;"",OR(AND(G44&lt;&gt;"",N(G44)&lt;='설정'!$E$8),AND(H44&lt;&gt;"",N(H44)&lt;='설정'!$E$8))),AND('설정'!$F$8&lt;&gt;"",AND(G44&lt;&gt;"",H44&lt;&gt;""),(N(G44)+N(H44))&lt;='설정'!$F$8))),'설정'!$B$8,'설정'!$B$9))))</f>
        <v/>
      </c>
      <c r="L44" s="29">
        <f>IF(OR(G44="",H44=""),"",IF(SUMPRODUCT(ISNUMBER('설정'!$C$6:$C$8)*(ABS(G44-'설정'!$C$6:$C$8)&lt;='설정'!$C$15))+SUMPRODUCT(ISNUMBER('설정'!$D$6:$D$8)*(ABS((G44+H44)-'설정'!$D$6:$D$8)&lt;='설정'!$C$15))+SUMPRODUCT(ISNUMBER('설정'!$F$6:$F$8)*(ABS((G44+H44)-'설정'!$F$6:$F$8)&lt;='설정'!$C$15))+SUMPRODUCT(ISNUMBER('설정'!$E$6:$E$8)*(ABS(G44-'설정'!$E$6:$E$8)&lt;='설정'!$C$15))+SUMPRODUCT(ISNUMBER('설정'!$E$6:$E$8)*(ABS(H44-'설정'!$E$6:$E$8)&lt;='설정'!$C$15))&gt;0,"경계",""))</f>
        <v/>
      </c>
      <c r="M44" s="7" t="n"/>
      <c r="N44" s="7" t="n"/>
      <c r="O44" s="27">
        <f>IF(M44&lt;&gt;"",M44,K44)</f>
        <v/>
      </c>
      <c r="P44" s="30">
        <f>IF(I44="","",IF(G44="","공수1 미응시",IF(H44="","공수2 미응시","")))</f>
        <v/>
      </c>
      <c r="Q44" s="10">
        <f>IF(J44="","",J44+ROW()/100000)</f>
        <v/>
      </c>
    </row>
    <row r="45">
      <c r="A45" s="5" t="n">
        <v>39</v>
      </c>
      <c r="B45" s="10">
        <f>IF('학생명단'!B45="","",'학생명단'!B45)</f>
        <v/>
      </c>
      <c r="C45" s="10">
        <f>IF('학생명단'!C45="","",'학생명단'!C45)</f>
        <v/>
      </c>
      <c r="D45" s="10">
        <f>IF('학생명단'!D45="","",'학생명단'!D45)</f>
        <v/>
      </c>
      <c r="E45" s="10">
        <f>IF('학생명단'!E45="","",'학생명단'!E45)</f>
        <v/>
      </c>
      <c r="F45" s="11">
        <f>IF('학생명단'!F45="","",'학생명단'!F45)</f>
        <v/>
      </c>
      <c r="G45" s="10">
        <f>'공수1'!Y45</f>
        <v/>
      </c>
      <c r="H45" s="10">
        <f>'공수2'!Y45</f>
        <v/>
      </c>
      <c r="I45" s="28">
        <f>IF(AND(G45="",H45=""),"",N(G45)*'설정'!$C$13+N(H45)*'설정'!$C$14)</f>
        <v/>
      </c>
      <c r="J45" s="10">
        <f>IF(I45="","",COUNTIF($I$7:$I$156,"&gt;"&amp;I45)+1)</f>
        <v/>
      </c>
      <c r="K45" s="27">
        <f>IF(I45="","",IF(IF(COUNT('설정'!$C$6:$F$6)=0,AND(G45&lt;&gt;"",H45&lt;&gt;""),OR(AND('설정'!$C$6&lt;&gt;"",G45&lt;&gt;"",N(G45)&gt;='설정'!$C$6),AND('설정'!$D$6&lt;&gt;"",AND(G45&lt;&gt;"",H45&lt;&gt;""),(N(G45)+N(H45))&gt;='설정'!$D$6),AND('설정'!$E$6&lt;&gt;"",OR(AND(G45&lt;&gt;"",N(G45)&lt;='설정'!$E$6),AND(H45&lt;&gt;"",N(H45)&lt;='설정'!$E$6))),AND('설정'!$F$6&lt;&gt;"",AND(G45&lt;&gt;"",H45&lt;&gt;""),(N(G45)+N(H45))&lt;='설정'!$F$6))),'설정'!$B$6,IF(IF(COUNT('설정'!$C$7:$F$7)=0,AND(G45&lt;&gt;"",H45&lt;&gt;""),OR(AND('설정'!$C$7&lt;&gt;"",G45&lt;&gt;"",N(G45)&gt;='설정'!$C$7),AND('설정'!$D$7&lt;&gt;"",AND(G45&lt;&gt;"",H45&lt;&gt;""),(N(G45)+N(H45))&gt;='설정'!$D$7),AND('설정'!$E$7&lt;&gt;"",OR(AND(G45&lt;&gt;"",N(G45)&lt;='설정'!$E$7),AND(H45&lt;&gt;"",N(H45)&lt;='설정'!$E$7))),AND('설정'!$F$7&lt;&gt;"",AND(G45&lt;&gt;"",H45&lt;&gt;""),(N(G45)+N(H45))&lt;='설정'!$F$7))),'설정'!$B$7,IF(IF(COUNT('설정'!$C$8:$F$8)=0,AND(G45&lt;&gt;"",H45&lt;&gt;""),OR(AND('설정'!$C$8&lt;&gt;"",G45&lt;&gt;"",N(G45)&gt;='설정'!$C$8),AND('설정'!$D$8&lt;&gt;"",AND(G45&lt;&gt;"",H45&lt;&gt;""),(N(G45)+N(H45))&gt;='설정'!$D$8),AND('설정'!$E$8&lt;&gt;"",OR(AND(G45&lt;&gt;"",N(G45)&lt;='설정'!$E$8),AND(H45&lt;&gt;"",N(H45)&lt;='설정'!$E$8))),AND('설정'!$F$8&lt;&gt;"",AND(G45&lt;&gt;"",H45&lt;&gt;""),(N(G45)+N(H45))&lt;='설정'!$F$8))),'설정'!$B$8,'설정'!$B$9))))</f>
        <v/>
      </c>
      <c r="L45" s="29">
        <f>IF(OR(G45="",H45=""),"",IF(SUMPRODUCT(ISNUMBER('설정'!$C$6:$C$8)*(ABS(G45-'설정'!$C$6:$C$8)&lt;='설정'!$C$15))+SUMPRODUCT(ISNUMBER('설정'!$D$6:$D$8)*(ABS((G45+H45)-'설정'!$D$6:$D$8)&lt;='설정'!$C$15))+SUMPRODUCT(ISNUMBER('설정'!$F$6:$F$8)*(ABS((G45+H45)-'설정'!$F$6:$F$8)&lt;='설정'!$C$15))+SUMPRODUCT(ISNUMBER('설정'!$E$6:$E$8)*(ABS(G45-'설정'!$E$6:$E$8)&lt;='설정'!$C$15))+SUMPRODUCT(ISNUMBER('설정'!$E$6:$E$8)*(ABS(H45-'설정'!$E$6:$E$8)&lt;='설정'!$C$15))&gt;0,"경계",""))</f>
        <v/>
      </c>
      <c r="M45" s="7" t="n"/>
      <c r="N45" s="7" t="n"/>
      <c r="O45" s="27">
        <f>IF(M45&lt;&gt;"",M45,K45)</f>
        <v/>
      </c>
      <c r="P45" s="30">
        <f>IF(I45="","",IF(G45="","공수1 미응시",IF(H45="","공수2 미응시","")))</f>
        <v/>
      </c>
      <c r="Q45" s="10">
        <f>IF(J45="","",J45+ROW()/100000)</f>
        <v/>
      </c>
    </row>
    <row r="46">
      <c r="A46" s="5" t="n">
        <v>40</v>
      </c>
      <c r="B46" s="10">
        <f>IF('학생명단'!B46="","",'학생명단'!B46)</f>
        <v/>
      </c>
      <c r="C46" s="10">
        <f>IF('학생명단'!C46="","",'학생명단'!C46)</f>
        <v/>
      </c>
      <c r="D46" s="10">
        <f>IF('학생명단'!D46="","",'학생명단'!D46)</f>
        <v/>
      </c>
      <c r="E46" s="10">
        <f>IF('학생명단'!E46="","",'학생명단'!E46)</f>
        <v/>
      </c>
      <c r="F46" s="11">
        <f>IF('학생명단'!F46="","",'학생명단'!F46)</f>
        <v/>
      </c>
      <c r="G46" s="10">
        <f>'공수1'!Y46</f>
        <v/>
      </c>
      <c r="H46" s="10">
        <f>'공수2'!Y46</f>
        <v/>
      </c>
      <c r="I46" s="28">
        <f>IF(AND(G46="",H46=""),"",N(G46)*'설정'!$C$13+N(H46)*'설정'!$C$14)</f>
        <v/>
      </c>
      <c r="J46" s="10">
        <f>IF(I46="","",COUNTIF($I$7:$I$156,"&gt;"&amp;I46)+1)</f>
        <v/>
      </c>
      <c r="K46" s="27">
        <f>IF(I46="","",IF(IF(COUNT('설정'!$C$6:$F$6)=0,AND(G46&lt;&gt;"",H46&lt;&gt;""),OR(AND('설정'!$C$6&lt;&gt;"",G46&lt;&gt;"",N(G46)&gt;='설정'!$C$6),AND('설정'!$D$6&lt;&gt;"",AND(G46&lt;&gt;"",H46&lt;&gt;""),(N(G46)+N(H46))&gt;='설정'!$D$6),AND('설정'!$E$6&lt;&gt;"",OR(AND(G46&lt;&gt;"",N(G46)&lt;='설정'!$E$6),AND(H46&lt;&gt;"",N(H46)&lt;='설정'!$E$6))),AND('설정'!$F$6&lt;&gt;"",AND(G46&lt;&gt;"",H46&lt;&gt;""),(N(G46)+N(H46))&lt;='설정'!$F$6))),'설정'!$B$6,IF(IF(COUNT('설정'!$C$7:$F$7)=0,AND(G46&lt;&gt;"",H46&lt;&gt;""),OR(AND('설정'!$C$7&lt;&gt;"",G46&lt;&gt;"",N(G46)&gt;='설정'!$C$7),AND('설정'!$D$7&lt;&gt;"",AND(G46&lt;&gt;"",H46&lt;&gt;""),(N(G46)+N(H46))&gt;='설정'!$D$7),AND('설정'!$E$7&lt;&gt;"",OR(AND(G46&lt;&gt;"",N(G46)&lt;='설정'!$E$7),AND(H46&lt;&gt;"",N(H46)&lt;='설정'!$E$7))),AND('설정'!$F$7&lt;&gt;"",AND(G46&lt;&gt;"",H46&lt;&gt;""),(N(G46)+N(H46))&lt;='설정'!$F$7))),'설정'!$B$7,IF(IF(COUNT('설정'!$C$8:$F$8)=0,AND(G46&lt;&gt;"",H46&lt;&gt;""),OR(AND('설정'!$C$8&lt;&gt;"",G46&lt;&gt;"",N(G46)&gt;='설정'!$C$8),AND('설정'!$D$8&lt;&gt;"",AND(G46&lt;&gt;"",H46&lt;&gt;""),(N(G46)+N(H46))&gt;='설정'!$D$8),AND('설정'!$E$8&lt;&gt;"",OR(AND(G46&lt;&gt;"",N(G46)&lt;='설정'!$E$8),AND(H46&lt;&gt;"",N(H46)&lt;='설정'!$E$8))),AND('설정'!$F$8&lt;&gt;"",AND(G46&lt;&gt;"",H46&lt;&gt;""),(N(G46)+N(H46))&lt;='설정'!$F$8))),'설정'!$B$8,'설정'!$B$9))))</f>
        <v/>
      </c>
      <c r="L46" s="29">
        <f>IF(OR(G46="",H46=""),"",IF(SUMPRODUCT(ISNUMBER('설정'!$C$6:$C$8)*(ABS(G46-'설정'!$C$6:$C$8)&lt;='설정'!$C$15))+SUMPRODUCT(ISNUMBER('설정'!$D$6:$D$8)*(ABS((G46+H46)-'설정'!$D$6:$D$8)&lt;='설정'!$C$15))+SUMPRODUCT(ISNUMBER('설정'!$F$6:$F$8)*(ABS((G46+H46)-'설정'!$F$6:$F$8)&lt;='설정'!$C$15))+SUMPRODUCT(ISNUMBER('설정'!$E$6:$E$8)*(ABS(G46-'설정'!$E$6:$E$8)&lt;='설정'!$C$15))+SUMPRODUCT(ISNUMBER('설정'!$E$6:$E$8)*(ABS(H46-'설정'!$E$6:$E$8)&lt;='설정'!$C$15))&gt;0,"경계",""))</f>
        <v/>
      </c>
      <c r="M46" s="7" t="n"/>
      <c r="N46" s="7" t="n"/>
      <c r="O46" s="27">
        <f>IF(M46&lt;&gt;"",M46,K46)</f>
        <v/>
      </c>
      <c r="P46" s="30">
        <f>IF(I46="","",IF(G46="","공수1 미응시",IF(H46="","공수2 미응시","")))</f>
        <v/>
      </c>
      <c r="Q46" s="10">
        <f>IF(J46="","",J46+ROW()/100000)</f>
        <v/>
      </c>
    </row>
    <row r="47">
      <c r="A47" s="5" t="n">
        <v>41</v>
      </c>
      <c r="B47" s="10">
        <f>IF('학생명단'!B47="","",'학생명단'!B47)</f>
        <v/>
      </c>
      <c r="C47" s="10">
        <f>IF('학생명단'!C47="","",'학생명단'!C47)</f>
        <v/>
      </c>
      <c r="D47" s="10">
        <f>IF('학생명단'!D47="","",'학생명단'!D47)</f>
        <v/>
      </c>
      <c r="E47" s="10">
        <f>IF('학생명단'!E47="","",'학생명단'!E47)</f>
        <v/>
      </c>
      <c r="F47" s="11">
        <f>IF('학생명단'!F47="","",'학생명단'!F47)</f>
        <v/>
      </c>
      <c r="G47" s="10">
        <f>'공수1'!Y47</f>
        <v/>
      </c>
      <c r="H47" s="10">
        <f>'공수2'!Y47</f>
        <v/>
      </c>
      <c r="I47" s="28">
        <f>IF(AND(G47="",H47=""),"",N(G47)*'설정'!$C$13+N(H47)*'설정'!$C$14)</f>
        <v/>
      </c>
      <c r="J47" s="10">
        <f>IF(I47="","",COUNTIF($I$7:$I$156,"&gt;"&amp;I47)+1)</f>
        <v/>
      </c>
      <c r="K47" s="27">
        <f>IF(I47="","",IF(IF(COUNT('설정'!$C$6:$F$6)=0,AND(G47&lt;&gt;"",H47&lt;&gt;""),OR(AND('설정'!$C$6&lt;&gt;"",G47&lt;&gt;"",N(G47)&gt;='설정'!$C$6),AND('설정'!$D$6&lt;&gt;"",AND(G47&lt;&gt;"",H47&lt;&gt;""),(N(G47)+N(H47))&gt;='설정'!$D$6),AND('설정'!$E$6&lt;&gt;"",OR(AND(G47&lt;&gt;"",N(G47)&lt;='설정'!$E$6),AND(H47&lt;&gt;"",N(H47)&lt;='설정'!$E$6))),AND('설정'!$F$6&lt;&gt;"",AND(G47&lt;&gt;"",H47&lt;&gt;""),(N(G47)+N(H47))&lt;='설정'!$F$6))),'설정'!$B$6,IF(IF(COUNT('설정'!$C$7:$F$7)=0,AND(G47&lt;&gt;"",H47&lt;&gt;""),OR(AND('설정'!$C$7&lt;&gt;"",G47&lt;&gt;"",N(G47)&gt;='설정'!$C$7),AND('설정'!$D$7&lt;&gt;"",AND(G47&lt;&gt;"",H47&lt;&gt;""),(N(G47)+N(H47))&gt;='설정'!$D$7),AND('설정'!$E$7&lt;&gt;"",OR(AND(G47&lt;&gt;"",N(G47)&lt;='설정'!$E$7),AND(H47&lt;&gt;"",N(H47)&lt;='설정'!$E$7))),AND('설정'!$F$7&lt;&gt;"",AND(G47&lt;&gt;"",H47&lt;&gt;""),(N(G47)+N(H47))&lt;='설정'!$F$7))),'설정'!$B$7,IF(IF(COUNT('설정'!$C$8:$F$8)=0,AND(G47&lt;&gt;"",H47&lt;&gt;""),OR(AND('설정'!$C$8&lt;&gt;"",G47&lt;&gt;"",N(G47)&gt;='설정'!$C$8),AND('설정'!$D$8&lt;&gt;"",AND(G47&lt;&gt;"",H47&lt;&gt;""),(N(G47)+N(H47))&gt;='설정'!$D$8),AND('설정'!$E$8&lt;&gt;"",OR(AND(G47&lt;&gt;"",N(G47)&lt;='설정'!$E$8),AND(H47&lt;&gt;"",N(H47)&lt;='설정'!$E$8))),AND('설정'!$F$8&lt;&gt;"",AND(G47&lt;&gt;"",H47&lt;&gt;""),(N(G47)+N(H47))&lt;='설정'!$F$8))),'설정'!$B$8,'설정'!$B$9))))</f>
        <v/>
      </c>
      <c r="L47" s="29">
        <f>IF(OR(G47="",H47=""),"",IF(SUMPRODUCT(ISNUMBER('설정'!$C$6:$C$8)*(ABS(G47-'설정'!$C$6:$C$8)&lt;='설정'!$C$15))+SUMPRODUCT(ISNUMBER('설정'!$D$6:$D$8)*(ABS((G47+H47)-'설정'!$D$6:$D$8)&lt;='설정'!$C$15))+SUMPRODUCT(ISNUMBER('설정'!$F$6:$F$8)*(ABS((G47+H47)-'설정'!$F$6:$F$8)&lt;='설정'!$C$15))+SUMPRODUCT(ISNUMBER('설정'!$E$6:$E$8)*(ABS(G47-'설정'!$E$6:$E$8)&lt;='설정'!$C$15))+SUMPRODUCT(ISNUMBER('설정'!$E$6:$E$8)*(ABS(H47-'설정'!$E$6:$E$8)&lt;='설정'!$C$15))&gt;0,"경계",""))</f>
        <v/>
      </c>
      <c r="M47" s="7" t="n"/>
      <c r="N47" s="7" t="n"/>
      <c r="O47" s="27">
        <f>IF(M47&lt;&gt;"",M47,K47)</f>
        <v/>
      </c>
      <c r="P47" s="30">
        <f>IF(I47="","",IF(G47="","공수1 미응시",IF(H47="","공수2 미응시","")))</f>
        <v/>
      </c>
      <c r="Q47" s="10">
        <f>IF(J47="","",J47+ROW()/100000)</f>
        <v/>
      </c>
    </row>
    <row r="48">
      <c r="A48" s="5" t="n">
        <v>42</v>
      </c>
      <c r="B48" s="10">
        <f>IF('학생명단'!B48="","",'학생명단'!B48)</f>
        <v/>
      </c>
      <c r="C48" s="10">
        <f>IF('학생명단'!C48="","",'학생명단'!C48)</f>
        <v/>
      </c>
      <c r="D48" s="10">
        <f>IF('학생명단'!D48="","",'학생명단'!D48)</f>
        <v/>
      </c>
      <c r="E48" s="10">
        <f>IF('학생명단'!E48="","",'학생명단'!E48)</f>
        <v/>
      </c>
      <c r="F48" s="11">
        <f>IF('학생명단'!F48="","",'학생명단'!F48)</f>
        <v/>
      </c>
      <c r="G48" s="10">
        <f>'공수1'!Y48</f>
        <v/>
      </c>
      <c r="H48" s="10">
        <f>'공수2'!Y48</f>
        <v/>
      </c>
      <c r="I48" s="28">
        <f>IF(AND(G48="",H48=""),"",N(G48)*'설정'!$C$13+N(H48)*'설정'!$C$14)</f>
        <v/>
      </c>
      <c r="J48" s="10">
        <f>IF(I48="","",COUNTIF($I$7:$I$156,"&gt;"&amp;I48)+1)</f>
        <v/>
      </c>
      <c r="K48" s="27">
        <f>IF(I48="","",IF(IF(COUNT('설정'!$C$6:$F$6)=0,AND(G48&lt;&gt;"",H48&lt;&gt;""),OR(AND('설정'!$C$6&lt;&gt;"",G48&lt;&gt;"",N(G48)&gt;='설정'!$C$6),AND('설정'!$D$6&lt;&gt;"",AND(G48&lt;&gt;"",H48&lt;&gt;""),(N(G48)+N(H48))&gt;='설정'!$D$6),AND('설정'!$E$6&lt;&gt;"",OR(AND(G48&lt;&gt;"",N(G48)&lt;='설정'!$E$6),AND(H48&lt;&gt;"",N(H48)&lt;='설정'!$E$6))),AND('설정'!$F$6&lt;&gt;"",AND(G48&lt;&gt;"",H48&lt;&gt;""),(N(G48)+N(H48))&lt;='설정'!$F$6))),'설정'!$B$6,IF(IF(COUNT('설정'!$C$7:$F$7)=0,AND(G48&lt;&gt;"",H48&lt;&gt;""),OR(AND('설정'!$C$7&lt;&gt;"",G48&lt;&gt;"",N(G48)&gt;='설정'!$C$7),AND('설정'!$D$7&lt;&gt;"",AND(G48&lt;&gt;"",H48&lt;&gt;""),(N(G48)+N(H48))&gt;='설정'!$D$7),AND('설정'!$E$7&lt;&gt;"",OR(AND(G48&lt;&gt;"",N(G48)&lt;='설정'!$E$7),AND(H48&lt;&gt;"",N(H48)&lt;='설정'!$E$7))),AND('설정'!$F$7&lt;&gt;"",AND(G48&lt;&gt;"",H48&lt;&gt;""),(N(G48)+N(H48))&lt;='설정'!$F$7))),'설정'!$B$7,IF(IF(COUNT('설정'!$C$8:$F$8)=0,AND(G48&lt;&gt;"",H48&lt;&gt;""),OR(AND('설정'!$C$8&lt;&gt;"",G48&lt;&gt;"",N(G48)&gt;='설정'!$C$8),AND('설정'!$D$8&lt;&gt;"",AND(G48&lt;&gt;"",H48&lt;&gt;""),(N(G48)+N(H48))&gt;='설정'!$D$8),AND('설정'!$E$8&lt;&gt;"",OR(AND(G48&lt;&gt;"",N(G48)&lt;='설정'!$E$8),AND(H48&lt;&gt;"",N(H48)&lt;='설정'!$E$8))),AND('설정'!$F$8&lt;&gt;"",AND(G48&lt;&gt;"",H48&lt;&gt;""),(N(G48)+N(H48))&lt;='설정'!$F$8))),'설정'!$B$8,'설정'!$B$9))))</f>
        <v/>
      </c>
      <c r="L48" s="29">
        <f>IF(OR(G48="",H48=""),"",IF(SUMPRODUCT(ISNUMBER('설정'!$C$6:$C$8)*(ABS(G48-'설정'!$C$6:$C$8)&lt;='설정'!$C$15))+SUMPRODUCT(ISNUMBER('설정'!$D$6:$D$8)*(ABS((G48+H48)-'설정'!$D$6:$D$8)&lt;='설정'!$C$15))+SUMPRODUCT(ISNUMBER('설정'!$F$6:$F$8)*(ABS((G48+H48)-'설정'!$F$6:$F$8)&lt;='설정'!$C$15))+SUMPRODUCT(ISNUMBER('설정'!$E$6:$E$8)*(ABS(G48-'설정'!$E$6:$E$8)&lt;='설정'!$C$15))+SUMPRODUCT(ISNUMBER('설정'!$E$6:$E$8)*(ABS(H48-'설정'!$E$6:$E$8)&lt;='설정'!$C$15))&gt;0,"경계",""))</f>
        <v/>
      </c>
      <c r="M48" s="7" t="n"/>
      <c r="N48" s="7" t="n"/>
      <c r="O48" s="27">
        <f>IF(M48&lt;&gt;"",M48,K48)</f>
        <v/>
      </c>
      <c r="P48" s="30">
        <f>IF(I48="","",IF(G48="","공수1 미응시",IF(H48="","공수2 미응시","")))</f>
        <v/>
      </c>
      <c r="Q48" s="10">
        <f>IF(J48="","",J48+ROW()/100000)</f>
        <v/>
      </c>
    </row>
    <row r="49">
      <c r="A49" s="5" t="n">
        <v>43</v>
      </c>
      <c r="B49" s="10">
        <f>IF('학생명단'!B49="","",'학생명단'!B49)</f>
        <v/>
      </c>
      <c r="C49" s="10">
        <f>IF('학생명단'!C49="","",'학생명단'!C49)</f>
        <v/>
      </c>
      <c r="D49" s="10">
        <f>IF('학생명단'!D49="","",'학생명단'!D49)</f>
        <v/>
      </c>
      <c r="E49" s="10">
        <f>IF('학생명단'!E49="","",'학생명단'!E49)</f>
        <v/>
      </c>
      <c r="F49" s="11">
        <f>IF('학생명단'!F49="","",'학생명단'!F49)</f>
        <v/>
      </c>
      <c r="G49" s="10">
        <f>'공수1'!Y49</f>
        <v/>
      </c>
      <c r="H49" s="10">
        <f>'공수2'!Y49</f>
        <v/>
      </c>
      <c r="I49" s="28">
        <f>IF(AND(G49="",H49=""),"",N(G49)*'설정'!$C$13+N(H49)*'설정'!$C$14)</f>
        <v/>
      </c>
      <c r="J49" s="10">
        <f>IF(I49="","",COUNTIF($I$7:$I$156,"&gt;"&amp;I49)+1)</f>
        <v/>
      </c>
      <c r="K49" s="27">
        <f>IF(I49="","",IF(IF(COUNT('설정'!$C$6:$F$6)=0,AND(G49&lt;&gt;"",H49&lt;&gt;""),OR(AND('설정'!$C$6&lt;&gt;"",G49&lt;&gt;"",N(G49)&gt;='설정'!$C$6),AND('설정'!$D$6&lt;&gt;"",AND(G49&lt;&gt;"",H49&lt;&gt;""),(N(G49)+N(H49))&gt;='설정'!$D$6),AND('설정'!$E$6&lt;&gt;"",OR(AND(G49&lt;&gt;"",N(G49)&lt;='설정'!$E$6),AND(H49&lt;&gt;"",N(H49)&lt;='설정'!$E$6))),AND('설정'!$F$6&lt;&gt;"",AND(G49&lt;&gt;"",H49&lt;&gt;""),(N(G49)+N(H49))&lt;='설정'!$F$6))),'설정'!$B$6,IF(IF(COUNT('설정'!$C$7:$F$7)=0,AND(G49&lt;&gt;"",H49&lt;&gt;""),OR(AND('설정'!$C$7&lt;&gt;"",G49&lt;&gt;"",N(G49)&gt;='설정'!$C$7),AND('설정'!$D$7&lt;&gt;"",AND(G49&lt;&gt;"",H49&lt;&gt;""),(N(G49)+N(H49))&gt;='설정'!$D$7),AND('설정'!$E$7&lt;&gt;"",OR(AND(G49&lt;&gt;"",N(G49)&lt;='설정'!$E$7),AND(H49&lt;&gt;"",N(H49)&lt;='설정'!$E$7))),AND('설정'!$F$7&lt;&gt;"",AND(G49&lt;&gt;"",H49&lt;&gt;""),(N(G49)+N(H49))&lt;='설정'!$F$7))),'설정'!$B$7,IF(IF(COUNT('설정'!$C$8:$F$8)=0,AND(G49&lt;&gt;"",H49&lt;&gt;""),OR(AND('설정'!$C$8&lt;&gt;"",G49&lt;&gt;"",N(G49)&gt;='설정'!$C$8),AND('설정'!$D$8&lt;&gt;"",AND(G49&lt;&gt;"",H49&lt;&gt;""),(N(G49)+N(H49))&gt;='설정'!$D$8),AND('설정'!$E$8&lt;&gt;"",OR(AND(G49&lt;&gt;"",N(G49)&lt;='설정'!$E$8),AND(H49&lt;&gt;"",N(H49)&lt;='설정'!$E$8))),AND('설정'!$F$8&lt;&gt;"",AND(G49&lt;&gt;"",H49&lt;&gt;""),(N(G49)+N(H49))&lt;='설정'!$F$8))),'설정'!$B$8,'설정'!$B$9))))</f>
        <v/>
      </c>
      <c r="L49" s="29">
        <f>IF(OR(G49="",H49=""),"",IF(SUMPRODUCT(ISNUMBER('설정'!$C$6:$C$8)*(ABS(G49-'설정'!$C$6:$C$8)&lt;='설정'!$C$15))+SUMPRODUCT(ISNUMBER('설정'!$D$6:$D$8)*(ABS((G49+H49)-'설정'!$D$6:$D$8)&lt;='설정'!$C$15))+SUMPRODUCT(ISNUMBER('설정'!$F$6:$F$8)*(ABS((G49+H49)-'설정'!$F$6:$F$8)&lt;='설정'!$C$15))+SUMPRODUCT(ISNUMBER('설정'!$E$6:$E$8)*(ABS(G49-'설정'!$E$6:$E$8)&lt;='설정'!$C$15))+SUMPRODUCT(ISNUMBER('설정'!$E$6:$E$8)*(ABS(H49-'설정'!$E$6:$E$8)&lt;='설정'!$C$15))&gt;0,"경계",""))</f>
        <v/>
      </c>
      <c r="M49" s="7" t="n"/>
      <c r="N49" s="7" t="n"/>
      <c r="O49" s="27">
        <f>IF(M49&lt;&gt;"",M49,K49)</f>
        <v/>
      </c>
      <c r="P49" s="30">
        <f>IF(I49="","",IF(G49="","공수1 미응시",IF(H49="","공수2 미응시","")))</f>
        <v/>
      </c>
      <c r="Q49" s="10">
        <f>IF(J49="","",J49+ROW()/100000)</f>
        <v/>
      </c>
    </row>
    <row r="50">
      <c r="A50" s="5" t="n">
        <v>44</v>
      </c>
      <c r="B50" s="10">
        <f>IF('학생명단'!B50="","",'학생명단'!B50)</f>
        <v/>
      </c>
      <c r="C50" s="10">
        <f>IF('학생명단'!C50="","",'학생명단'!C50)</f>
        <v/>
      </c>
      <c r="D50" s="10">
        <f>IF('학생명단'!D50="","",'학생명단'!D50)</f>
        <v/>
      </c>
      <c r="E50" s="10">
        <f>IF('학생명단'!E50="","",'학생명단'!E50)</f>
        <v/>
      </c>
      <c r="F50" s="11">
        <f>IF('학생명단'!F50="","",'학생명단'!F50)</f>
        <v/>
      </c>
      <c r="G50" s="10">
        <f>'공수1'!Y50</f>
        <v/>
      </c>
      <c r="H50" s="10">
        <f>'공수2'!Y50</f>
        <v/>
      </c>
      <c r="I50" s="28">
        <f>IF(AND(G50="",H50=""),"",N(G50)*'설정'!$C$13+N(H50)*'설정'!$C$14)</f>
        <v/>
      </c>
      <c r="J50" s="10">
        <f>IF(I50="","",COUNTIF($I$7:$I$156,"&gt;"&amp;I50)+1)</f>
        <v/>
      </c>
      <c r="K50" s="27">
        <f>IF(I50="","",IF(IF(COUNT('설정'!$C$6:$F$6)=0,AND(G50&lt;&gt;"",H50&lt;&gt;""),OR(AND('설정'!$C$6&lt;&gt;"",G50&lt;&gt;"",N(G50)&gt;='설정'!$C$6),AND('설정'!$D$6&lt;&gt;"",AND(G50&lt;&gt;"",H50&lt;&gt;""),(N(G50)+N(H50))&gt;='설정'!$D$6),AND('설정'!$E$6&lt;&gt;"",OR(AND(G50&lt;&gt;"",N(G50)&lt;='설정'!$E$6),AND(H50&lt;&gt;"",N(H50)&lt;='설정'!$E$6))),AND('설정'!$F$6&lt;&gt;"",AND(G50&lt;&gt;"",H50&lt;&gt;""),(N(G50)+N(H50))&lt;='설정'!$F$6))),'설정'!$B$6,IF(IF(COUNT('설정'!$C$7:$F$7)=0,AND(G50&lt;&gt;"",H50&lt;&gt;""),OR(AND('설정'!$C$7&lt;&gt;"",G50&lt;&gt;"",N(G50)&gt;='설정'!$C$7),AND('설정'!$D$7&lt;&gt;"",AND(G50&lt;&gt;"",H50&lt;&gt;""),(N(G50)+N(H50))&gt;='설정'!$D$7),AND('설정'!$E$7&lt;&gt;"",OR(AND(G50&lt;&gt;"",N(G50)&lt;='설정'!$E$7),AND(H50&lt;&gt;"",N(H50)&lt;='설정'!$E$7))),AND('설정'!$F$7&lt;&gt;"",AND(G50&lt;&gt;"",H50&lt;&gt;""),(N(G50)+N(H50))&lt;='설정'!$F$7))),'설정'!$B$7,IF(IF(COUNT('설정'!$C$8:$F$8)=0,AND(G50&lt;&gt;"",H50&lt;&gt;""),OR(AND('설정'!$C$8&lt;&gt;"",G50&lt;&gt;"",N(G50)&gt;='설정'!$C$8),AND('설정'!$D$8&lt;&gt;"",AND(G50&lt;&gt;"",H50&lt;&gt;""),(N(G50)+N(H50))&gt;='설정'!$D$8),AND('설정'!$E$8&lt;&gt;"",OR(AND(G50&lt;&gt;"",N(G50)&lt;='설정'!$E$8),AND(H50&lt;&gt;"",N(H50)&lt;='설정'!$E$8))),AND('설정'!$F$8&lt;&gt;"",AND(G50&lt;&gt;"",H50&lt;&gt;""),(N(G50)+N(H50))&lt;='설정'!$F$8))),'설정'!$B$8,'설정'!$B$9))))</f>
        <v/>
      </c>
      <c r="L50" s="29">
        <f>IF(OR(G50="",H50=""),"",IF(SUMPRODUCT(ISNUMBER('설정'!$C$6:$C$8)*(ABS(G50-'설정'!$C$6:$C$8)&lt;='설정'!$C$15))+SUMPRODUCT(ISNUMBER('설정'!$D$6:$D$8)*(ABS((G50+H50)-'설정'!$D$6:$D$8)&lt;='설정'!$C$15))+SUMPRODUCT(ISNUMBER('설정'!$F$6:$F$8)*(ABS((G50+H50)-'설정'!$F$6:$F$8)&lt;='설정'!$C$15))+SUMPRODUCT(ISNUMBER('설정'!$E$6:$E$8)*(ABS(G50-'설정'!$E$6:$E$8)&lt;='설정'!$C$15))+SUMPRODUCT(ISNUMBER('설정'!$E$6:$E$8)*(ABS(H50-'설정'!$E$6:$E$8)&lt;='설정'!$C$15))&gt;0,"경계",""))</f>
        <v/>
      </c>
      <c r="M50" s="7" t="n"/>
      <c r="N50" s="7" t="n"/>
      <c r="O50" s="27">
        <f>IF(M50&lt;&gt;"",M50,K50)</f>
        <v/>
      </c>
      <c r="P50" s="30">
        <f>IF(I50="","",IF(G50="","공수1 미응시",IF(H50="","공수2 미응시","")))</f>
        <v/>
      </c>
      <c r="Q50" s="10">
        <f>IF(J50="","",J50+ROW()/100000)</f>
        <v/>
      </c>
    </row>
    <row r="51">
      <c r="A51" s="5" t="n">
        <v>45</v>
      </c>
      <c r="B51" s="10">
        <f>IF('학생명단'!B51="","",'학생명단'!B51)</f>
        <v/>
      </c>
      <c r="C51" s="10">
        <f>IF('학생명단'!C51="","",'학생명단'!C51)</f>
        <v/>
      </c>
      <c r="D51" s="10">
        <f>IF('학생명단'!D51="","",'학생명단'!D51)</f>
        <v/>
      </c>
      <c r="E51" s="10">
        <f>IF('학생명단'!E51="","",'학생명단'!E51)</f>
        <v/>
      </c>
      <c r="F51" s="11">
        <f>IF('학생명단'!F51="","",'학생명단'!F51)</f>
        <v/>
      </c>
      <c r="G51" s="10">
        <f>'공수1'!Y51</f>
        <v/>
      </c>
      <c r="H51" s="10">
        <f>'공수2'!Y51</f>
        <v/>
      </c>
      <c r="I51" s="28">
        <f>IF(AND(G51="",H51=""),"",N(G51)*'설정'!$C$13+N(H51)*'설정'!$C$14)</f>
        <v/>
      </c>
      <c r="J51" s="10">
        <f>IF(I51="","",COUNTIF($I$7:$I$156,"&gt;"&amp;I51)+1)</f>
        <v/>
      </c>
      <c r="K51" s="27">
        <f>IF(I51="","",IF(IF(COUNT('설정'!$C$6:$F$6)=0,AND(G51&lt;&gt;"",H51&lt;&gt;""),OR(AND('설정'!$C$6&lt;&gt;"",G51&lt;&gt;"",N(G51)&gt;='설정'!$C$6),AND('설정'!$D$6&lt;&gt;"",AND(G51&lt;&gt;"",H51&lt;&gt;""),(N(G51)+N(H51))&gt;='설정'!$D$6),AND('설정'!$E$6&lt;&gt;"",OR(AND(G51&lt;&gt;"",N(G51)&lt;='설정'!$E$6),AND(H51&lt;&gt;"",N(H51)&lt;='설정'!$E$6))),AND('설정'!$F$6&lt;&gt;"",AND(G51&lt;&gt;"",H51&lt;&gt;""),(N(G51)+N(H51))&lt;='설정'!$F$6))),'설정'!$B$6,IF(IF(COUNT('설정'!$C$7:$F$7)=0,AND(G51&lt;&gt;"",H51&lt;&gt;""),OR(AND('설정'!$C$7&lt;&gt;"",G51&lt;&gt;"",N(G51)&gt;='설정'!$C$7),AND('설정'!$D$7&lt;&gt;"",AND(G51&lt;&gt;"",H51&lt;&gt;""),(N(G51)+N(H51))&gt;='설정'!$D$7),AND('설정'!$E$7&lt;&gt;"",OR(AND(G51&lt;&gt;"",N(G51)&lt;='설정'!$E$7),AND(H51&lt;&gt;"",N(H51)&lt;='설정'!$E$7))),AND('설정'!$F$7&lt;&gt;"",AND(G51&lt;&gt;"",H51&lt;&gt;""),(N(G51)+N(H51))&lt;='설정'!$F$7))),'설정'!$B$7,IF(IF(COUNT('설정'!$C$8:$F$8)=0,AND(G51&lt;&gt;"",H51&lt;&gt;""),OR(AND('설정'!$C$8&lt;&gt;"",G51&lt;&gt;"",N(G51)&gt;='설정'!$C$8),AND('설정'!$D$8&lt;&gt;"",AND(G51&lt;&gt;"",H51&lt;&gt;""),(N(G51)+N(H51))&gt;='설정'!$D$8),AND('설정'!$E$8&lt;&gt;"",OR(AND(G51&lt;&gt;"",N(G51)&lt;='설정'!$E$8),AND(H51&lt;&gt;"",N(H51)&lt;='설정'!$E$8))),AND('설정'!$F$8&lt;&gt;"",AND(G51&lt;&gt;"",H51&lt;&gt;""),(N(G51)+N(H51))&lt;='설정'!$F$8))),'설정'!$B$8,'설정'!$B$9))))</f>
        <v/>
      </c>
      <c r="L51" s="29">
        <f>IF(OR(G51="",H51=""),"",IF(SUMPRODUCT(ISNUMBER('설정'!$C$6:$C$8)*(ABS(G51-'설정'!$C$6:$C$8)&lt;='설정'!$C$15))+SUMPRODUCT(ISNUMBER('설정'!$D$6:$D$8)*(ABS((G51+H51)-'설정'!$D$6:$D$8)&lt;='설정'!$C$15))+SUMPRODUCT(ISNUMBER('설정'!$F$6:$F$8)*(ABS((G51+H51)-'설정'!$F$6:$F$8)&lt;='설정'!$C$15))+SUMPRODUCT(ISNUMBER('설정'!$E$6:$E$8)*(ABS(G51-'설정'!$E$6:$E$8)&lt;='설정'!$C$15))+SUMPRODUCT(ISNUMBER('설정'!$E$6:$E$8)*(ABS(H51-'설정'!$E$6:$E$8)&lt;='설정'!$C$15))&gt;0,"경계",""))</f>
        <v/>
      </c>
      <c r="M51" s="7" t="n"/>
      <c r="N51" s="7" t="n"/>
      <c r="O51" s="27">
        <f>IF(M51&lt;&gt;"",M51,K51)</f>
        <v/>
      </c>
      <c r="P51" s="30">
        <f>IF(I51="","",IF(G51="","공수1 미응시",IF(H51="","공수2 미응시","")))</f>
        <v/>
      </c>
      <c r="Q51" s="10">
        <f>IF(J51="","",J51+ROW()/100000)</f>
        <v/>
      </c>
    </row>
    <row r="52">
      <c r="A52" s="5" t="n">
        <v>46</v>
      </c>
      <c r="B52" s="10">
        <f>IF('학생명단'!B52="","",'학생명단'!B52)</f>
        <v/>
      </c>
      <c r="C52" s="10">
        <f>IF('학생명단'!C52="","",'학생명단'!C52)</f>
        <v/>
      </c>
      <c r="D52" s="10">
        <f>IF('학생명단'!D52="","",'학생명단'!D52)</f>
        <v/>
      </c>
      <c r="E52" s="10">
        <f>IF('학생명단'!E52="","",'학생명단'!E52)</f>
        <v/>
      </c>
      <c r="F52" s="11">
        <f>IF('학생명단'!F52="","",'학생명단'!F52)</f>
        <v/>
      </c>
      <c r="G52" s="10">
        <f>'공수1'!Y52</f>
        <v/>
      </c>
      <c r="H52" s="10">
        <f>'공수2'!Y52</f>
        <v/>
      </c>
      <c r="I52" s="28">
        <f>IF(AND(G52="",H52=""),"",N(G52)*'설정'!$C$13+N(H52)*'설정'!$C$14)</f>
        <v/>
      </c>
      <c r="J52" s="10">
        <f>IF(I52="","",COUNTIF($I$7:$I$156,"&gt;"&amp;I52)+1)</f>
        <v/>
      </c>
      <c r="K52" s="27">
        <f>IF(I52="","",IF(IF(COUNT('설정'!$C$6:$F$6)=0,AND(G52&lt;&gt;"",H52&lt;&gt;""),OR(AND('설정'!$C$6&lt;&gt;"",G52&lt;&gt;"",N(G52)&gt;='설정'!$C$6),AND('설정'!$D$6&lt;&gt;"",AND(G52&lt;&gt;"",H52&lt;&gt;""),(N(G52)+N(H52))&gt;='설정'!$D$6),AND('설정'!$E$6&lt;&gt;"",OR(AND(G52&lt;&gt;"",N(G52)&lt;='설정'!$E$6),AND(H52&lt;&gt;"",N(H52)&lt;='설정'!$E$6))),AND('설정'!$F$6&lt;&gt;"",AND(G52&lt;&gt;"",H52&lt;&gt;""),(N(G52)+N(H52))&lt;='설정'!$F$6))),'설정'!$B$6,IF(IF(COUNT('설정'!$C$7:$F$7)=0,AND(G52&lt;&gt;"",H52&lt;&gt;""),OR(AND('설정'!$C$7&lt;&gt;"",G52&lt;&gt;"",N(G52)&gt;='설정'!$C$7),AND('설정'!$D$7&lt;&gt;"",AND(G52&lt;&gt;"",H52&lt;&gt;""),(N(G52)+N(H52))&gt;='설정'!$D$7),AND('설정'!$E$7&lt;&gt;"",OR(AND(G52&lt;&gt;"",N(G52)&lt;='설정'!$E$7),AND(H52&lt;&gt;"",N(H52)&lt;='설정'!$E$7))),AND('설정'!$F$7&lt;&gt;"",AND(G52&lt;&gt;"",H52&lt;&gt;""),(N(G52)+N(H52))&lt;='설정'!$F$7))),'설정'!$B$7,IF(IF(COUNT('설정'!$C$8:$F$8)=0,AND(G52&lt;&gt;"",H52&lt;&gt;""),OR(AND('설정'!$C$8&lt;&gt;"",G52&lt;&gt;"",N(G52)&gt;='설정'!$C$8),AND('설정'!$D$8&lt;&gt;"",AND(G52&lt;&gt;"",H52&lt;&gt;""),(N(G52)+N(H52))&gt;='설정'!$D$8),AND('설정'!$E$8&lt;&gt;"",OR(AND(G52&lt;&gt;"",N(G52)&lt;='설정'!$E$8),AND(H52&lt;&gt;"",N(H52)&lt;='설정'!$E$8))),AND('설정'!$F$8&lt;&gt;"",AND(G52&lt;&gt;"",H52&lt;&gt;""),(N(G52)+N(H52))&lt;='설정'!$F$8))),'설정'!$B$8,'설정'!$B$9))))</f>
        <v/>
      </c>
      <c r="L52" s="29">
        <f>IF(OR(G52="",H52=""),"",IF(SUMPRODUCT(ISNUMBER('설정'!$C$6:$C$8)*(ABS(G52-'설정'!$C$6:$C$8)&lt;='설정'!$C$15))+SUMPRODUCT(ISNUMBER('설정'!$D$6:$D$8)*(ABS((G52+H52)-'설정'!$D$6:$D$8)&lt;='설정'!$C$15))+SUMPRODUCT(ISNUMBER('설정'!$F$6:$F$8)*(ABS((G52+H52)-'설정'!$F$6:$F$8)&lt;='설정'!$C$15))+SUMPRODUCT(ISNUMBER('설정'!$E$6:$E$8)*(ABS(G52-'설정'!$E$6:$E$8)&lt;='설정'!$C$15))+SUMPRODUCT(ISNUMBER('설정'!$E$6:$E$8)*(ABS(H52-'설정'!$E$6:$E$8)&lt;='설정'!$C$15))&gt;0,"경계",""))</f>
        <v/>
      </c>
      <c r="M52" s="7" t="n"/>
      <c r="N52" s="7" t="n"/>
      <c r="O52" s="27">
        <f>IF(M52&lt;&gt;"",M52,K52)</f>
        <v/>
      </c>
      <c r="P52" s="30">
        <f>IF(I52="","",IF(G52="","공수1 미응시",IF(H52="","공수2 미응시","")))</f>
        <v/>
      </c>
      <c r="Q52" s="10">
        <f>IF(J52="","",J52+ROW()/100000)</f>
        <v/>
      </c>
    </row>
    <row r="53">
      <c r="A53" s="5" t="n">
        <v>47</v>
      </c>
      <c r="B53" s="10">
        <f>IF('학생명단'!B53="","",'학생명단'!B53)</f>
        <v/>
      </c>
      <c r="C53" s="10">
        <f>IF('학생명단'!C53="","",'학생명단'!C53)</f>
        <v/>
      </c>
      <c r="D53" s="10">
        <f>IF('학생명단'!D53="","",'학생명단'!D53)</f>
        <v/>
      </c>
      <c r="E53" s="10">
        <f>IF('학생명단'!E53="","",'학생명단'!E53)</f>
        <v/>
      </c>
      <c r="F53" s="11">
        <f>IF('학생명단'!F53="","",'학생명단'!F53)</f>
        <v/>
      </c>
      <c r="G53" s="10">
        <f>'공수1'!Y53</f>
        <v/>
      </c>
      <c r="H53" s="10">
        <f>'공수2'!Y53</f>
        <v/>
      </c>
      <c r="I53" s="28">
        <f>IF(AND(G53="",H53=""),"",N(G53)*'설정'!$C$13+N(H53)*'설정'!$C$14)</f>
        <v/>
      </c>
      <c r="J53" s="10">
        <f>IF(I53="","",COUNTIF($I$7:$I$156,"&gt;"&amp;I53)+1)</f>
        <v/>
      </c>
      <c r="K53" s="27">
        <f>IF(I53="","",IF(IF(COUNT('설정'!$C$6:$F$6)=0,AND(G53&lt;&gt;"",H53&lt;&gt;""),OR(AND('설정'!$C$6&lt;&gt;"",G53&lt;&gt;"",N(G53)&gt;='설정'!$C$6),AND('설정'!$D$6&lt;&gt;"",AND(G53&lt;&gt;"",H53&lt;&gt;""),(N(G53)+N(H53))&gt;='설정'!$D$6),AND('설정'!$E$6&lt;&gt;"",OR(AND(G53&lt;&gt;"",N(G53)&lt;='설정'!$E$6),AND(H53&lt;&gt;"",N(H53)&lt;='설정'!$E$6))),AND('설정'!$F$6&lt;&gt;"",AND(G53&lt;&gt;"",H53&lt;&gt;""),(N(G53)+N(H53))&lt;='설정'!$F$6))),'설정'!$B$6,IF(IF(COUNT('설정'!$C$7:$F$7)=0,AND(G53&lt;&gt;"",H53&lt;&gt;""),OR(AND('설정'!$C$7&lt;&gt;"",G53&lt;&gt;"",N(G53)&gt;='설정'!$C$7),AND('설정'!$D$7&lt;&gt;"",AND(G53&lt;&gt;"",H53&lt;&gt;""),(N(G53)+N(H53))&gt;='설정'!$D$7),AND('설정'!$E$7&lt;&gt;"",OR(AND(G53&lt;&gt;"",N(G53)&lt;='설정'!$E$7),AND(H53&lt;&gt;"",N(H53)&lt;='설정'!$E$7))),AND('설정'!$F$7&lt;&gt;"",AND(G53&lt;&gt;"",H53&lt;&gt;""),(N(G53)+N(H53))&lt;='설정'!$F$7))),'설정'!$B$7,IF(IF(COUNT('설정'!$C$8:$F$8)=0,AND(G53&lt;&gt;"",H53&lt;&gt;""),OR(AND('설정'!$C$8&lt;&gt;"",G53&lt;&gt;"",N(G53)&gt;='설정'!$C$8),AND('설정'!$D$8&lt;&gt;"",AND(G53&lt;&gt;"",H53&lt;&gt;""),(N(G53)+N(H53))&gt;='설정'!$D$8),AND('설정'!$E$8&lt;&gt;"",OR(AND(G53&lt;&gt;"",N(G53)&lt;='설정'!$E$8),AND(H53&lt;&gt;"",N(H53)&lt;='설정'!$E$8))),AND('설정'!$F$8&lt;&gt;"",AND(G53&lt;&gt;"",H53&lt;&gt;""),(N(G53)+N(H53))&lt;='설정'!$F$8))),'설정'!$B$8,'설정'!$B$9))))</f>
        <v/>
      </c>
      <c r="L53" s="29">
        <f>IF(OR(G53="",H53=""),"",IF(SUMPRODUCT(ISNUMBER('설정'!$C$6:$C$8)*(ABS(G53-'설정'!$C$6:$C$8)&lt;='설정'!$C$15))+SUMPRODUCT(ISNUMBER('설정'!$D$6:$D$8)*(ABS((G53+H53)-'설정'!$D$6:$D$8)&lt;='설정'!$C$15))+SUMPRODUCT(ISNUMBER('설정'!$F$6:$F$8)*(ABS((G53+H53)-'설정'!$F$6:$F$8)&lt;='설정'!$C$15))+SUMPRODUCT(ISNUMBER('설정'!$E$6:$E$8)*(ABS(G53-'설정'!$E$6:$E$8)&lt;='설정'!$C$15))+SUMPRODUCT(ISNUMBER('설정'!$E$6:$E$8)*(ABS(H53-'설정'!$E$6:$E$8)&lt;='설정'!$C$15))&gt;0,"경계",""))</f>
        <v/>
      </c>
      <c r="M53" s="7" t="n"/>
      <c r="N53" s="7" t="n"/>
      <c r="O53" s="27">
        <f>IF(M53&lt;&gt;"",M53,K53)</f>
        <v/>
      </c>
      <c r="P53" s="30">
        <f>IF(I53="","",IF(G53="","공수1 미응시",IF(H53="","공수2 미응시","")))</f>
        <v/>
      </c>
      <c r="Q53" s="10">
        <f>IF(J53="","",J53+ROW()/100000)</f>
        <v/>
      </c>
    </row>
    <row r="54">
      <c r="A54" s="5" t="n">
        <v>48</v>
      </c>
      <c r="B54" s="10">
        <f>IF('학생명단'!B54="","",'학생명단'!B54)</f>
        <v/>
      </c>
      <c r="C54" s="10">
        <f>IF('학생명단'!C54="","",'학생명단'!C54)</f>
        <v/>
      </c>
      <c r="D54" s="10">
        <f>IF('학생명단'!D54="","",'학생명단'!D54)</f>
        <v/>
      </c>
      <c r="E54" s="10">
        <f>IF('학생명단'!E54="","",'학생명단'!E54)</f>
        <v/>
      </c>
      <c r="F54" s="11">
        <f>IF('학생명단'!F54="","",'학생명단'!F54)</f>
        <v/>
      </c>
      <c r="G54" s="10">
        <f>'공수1'!Y54</f>
        <v/>
      </c>
      <c r="H54" s="10">
        <f>'공수2'!Y54</f>
        <v/>
      </c>
      <c r="I54" s="28">
        <f>IF(AND(G54="",H54=""),"",N(G54)*'설정'!$C$13+N(H54)*'설정'!$C$14)</f>
        <v/>
      </c>
      <c r="J54" s="10">
        <f>IF(I54="","",COUNTIF($I$7:$I$156,"&gt;"&amp;I54)+1)</f>
        <v/>
      </c>
      <c r="K54" s="27">
        <f>IF(I54="","",IF(IF(COUNT('설정'!$C$6:$F$6)=0,AND(G54&lt;&gt;"",H54&lt;&gt;""),OR(AND('설정'!$C$6&lt;&gt;"",G54&lt;&gt;"",N(G54)&gt;='설정'!$C$6),AND('설정'!$D$6&lt;&gt;"",AND(G54&lt;&gt;"",H54&lt;&gt;""),(N(G54)+N(H54))&gt;='설정'!$D$6),AND('설정'!$E$6&lt;&gt;"",OR(AND(G54&lt;&gt;"",N(G54)&lt;='설정'!$E$6),AND(H54&lt;&gt;"",N(H54)&lt;='설정'!$E$6))),AND('설정'!$F$6&lt;&gt;"",AND(G54&lt;&gt;"",H54&lt;&gt;""),(N(G54)+N(H54))&lt;='설정'!$F$6))),'설정'!$B$6,IF(IF(COUNT('설정'!$C$7:$F$7)=0,AND(G54&lt;&gt;"",H54&lt;&gt;""),OR(AND('설정'!$C$7&lt;&gt;"",G54&lt;&gt;"",N(G54)&gt;='설정'!$C$7),AND('설정'!$D$7&lt;&gt;"",AND(G54&lt;&gt;"",H54&lt;&gt;""),(N(G54)+N(H54))&gt;='설정'!$D$7),AND('설정'!$E$7&lt;&gt;"",OR(AND(G54&lt;&gt;"",N(G54)&lt;='설정'!$E$7),AND(H54&lt;&gt;"",N(H54)&lt;='설정'!$E$7))),AND('설정'!$F$7&lt;&gt;"",AND(G54&lt;&gt;"",H54&lt;&gt;""),(N(G54)+N(H54))&lt;='설정'!$F$7))),'설정'!$B$7,IF(IF(COUNT('설정'!$C$8:$F$8)=0,AND(G54&lt;&gt;"",H54&lt;&gt;""),OR(AND('설정'!$C$8&lt;&gt;"",G54&lt;&gt;"",N(G54)&gt;='설정'!$C$8),AND('설정'!$D$8&lt;&gt;"",AND(G54&lt;&gt;"",H54&lt;&gt;""),(N(G54)+N(H54))&gt;='설정'!$D$8),AND('설정'!$E$8&lt;&gt;"",OR(AND(G54&lt;&gt;"",N(G54)&lt;='설정'!$E$8),AND(H54&lt;&gt;"",N(H54)&lt;='설정'!$E$8))),AND('설정'!$F$8&lt;&gt;"",AND(G54&lt;&gt;"",H54&lt;&gt;""),(N(G54)+N(H54))&lt;='설정'!$F$8))),'설정'!$B$8,'설정'!$B$9))))</f>
        <v/>
      </c>
      <c r="L54" s="29">
        <f>IF(OR(G54="",H54=""),"",IF(SUMPRODUCT(ISNUMBER('설정'!$C$6:$C$8)*(ABS(G54-'설정'!$C$6:$C$8)&lt;='설정'!$C$15))+SUMPRODUCT(ISNUMBER('설정'!$D$6:$D$8)*(ABS((G54+H54)-'설정'!$D$6:$D$8)&lt;='설정'!$C$15))+SUMPRODUCT(ISNUMBER('설정'!$F$6:$F$8)*(ABS((G54+H54)-'설정'!$F$6:$F$8)&lt;='설정'!$C$15))+SUMPRODUCT(ISNUMBER('설정'!$E$6:$E$8)*(ABS(G54-'설정'!$E$6:$E$8)&lt;='설정'!$C$15))+SUMPRODUCT(ISNUMBER('설정'!$E$6:$E$8)*(ABS(H54-'설정'!$E$6:$E$8)&lt;='설정'!$C$15))&gt;0,"경계",""))</f>
        <v/>
      </c>
      <c r="M54" s="7" t="n"/>
      <c r="N54" s="7" t="n"/>
      <c r="O54" s="27">
        <f>IF(M54&lt;&gt;"",M54,K54)</f>
        <v/>
      </c>
      <c r="P54" s="30">
        <f>IF(I54="","",IF(G54="","공수1 미응시",IF(H54="","공수2 미응시","")))</f>
        <v/>
      </c>
      <c r="Q54" s="10">
        <f>IF(J54="","",J54+ROW()/100000)</f>
        <v/>
      </c>
    </row>
    <row r="55">
      <c r="A55" s="5" t="n">
        <v>49</v>
      </c>
      <c r="B55" s="10">
        <f>IF('학생명단'!B55="","",'학생명단'!B55)</f>
        <v/>
      </c>
      <c r="C55" s="10">
        <f>IF('학생명단'!C55="","",'학생명단'!C55)</f>
        <v/>
      </c>
      <c r="D55" s="10">
        <f>IF('학생명단'!D55="","",'학생명단'!D55)</f>
        <v/>
      </c>
      <c r="E55" s="10">
        <f>IF('학생명단'!E55="","",'학생명단'!E55)</f>
        <v/>
      </c>
      <c r="F55" s="11">
        <f>IF('학생명단'!F55="","",'학생명단'!F55)</f>
        <v/>
      </c>
      <c r="G55" s="10">
        <f>'공수1'!Y55</f>
        <v/>
      </c>
      <c r="H55" s="10">
        <f>'공수2'!Y55</f>
        <v/>
      </c>
      <c r="I55" s="28">
        <f>IF(AND(G55="",H55=""),"",N(G55)*'설정'!$C$13+N(H55)*'설정'!$C$14)</f>
        <v/>
      </c>
      <c r="J55" s="10">
        <f>IF(I55="","",COUNTIF($I$7:$I$156,"&gt;"&amp;I55)+1)</f>
        <v/>
      </c>
      <c r="K55" s="27">
        <f>IF(I55="","",IF(IF(COUNT('설정'!$C$6:$F$6)=0,AND(G55&lt;&gt;"",H55&lt;&gt;""),OR(AND('설정'!$C$6&lt;&gt;"",G55&lt;&gt;"",N(G55)&gt;='설정'!$C$6),AND('설정'!$D$6&lt;&gt;"",AND(G55&lt;&gt;"",H55&lt;&gt;""),(N(G55)+N(H55))&gt;='설정'!$D$6),AND('설정'!$E$6&lt;&gt;"",OR(AND(G55&lt;&gt;"",N(G55)&lt;='설정'!$E$6),AND(H55&lt;&gt;"",N(H55)&lt;='설정'!$E$6))),AND('설정'!$F$6&lt;&gt;"",AND(G55&lt;&gt;"",H55&lt;&gt;""),(N(G55)+N(H55))&lt;='설정'!$F$6))),'설정'!$B$6,IF(IF(COUNT('설정'!$C$7:$F$7)=0,AND(G55&lt;&gt;"",H55&lt;&gt;""),OR(AND('설정'!$C$7&lt;&gt;"",G55&lt;&gt;"",N(G55)&gt;='설정'!$C$7),AND('설정'!$D$7&lt;&gt;"",AND(G55&lt;&gt;"",H55&lt;&gt;""),(N(G55)+N(H55))&gt;='설정'!$D$7),AND('설정'!$E$7&lt;&gt;"",OR(AND(G55&lt;&gt;"",N(G55)&lt;='설정'!$E$7),AND(H55&lt;&gt;"",N(H55)&lt;='설정'!$E$7))),AND('설정'!$F$7&lt;&gt;"",AND(G55&lt;&gt;"",H55&lt;&gt;""),(N(G55)+N(H55))&lt;='설정'!$F$7))),'설정'!$B$7,IF(IF(COUNT('설정'!$C$8:$F$8)=0,AND(G55&lt;&gt;"",H55&lt;&gt;""),OR(AND('설정'!$C$8&lt;&gt;"",G55&lt;&gt;"",N(G55)&gt;='설정'!$C$8),AND('설정'!$D$8&lt;&gt;"",AND(G55&lt;&gt;"",H55&lt;&gt;""),(N(G55)+N(H55))&gt;='설정'!$D$8),AND('설정'!$E$8&lt;&gt;"",OR(AND(G55&lt;&gt;"",N(G55)&lt;='설정'!$E$8),AND(H55&lt;&gt;"",N(H55)&lt;='설정'!$E$8))),AND('설정'!$F$8&lt;&gt;"",AND(G55&lt;&gt;"",H55&lt;&gt;""),(N(G55)+N(H55))&lt;='설정'!$F$8))),'설정'!$B$8,'설정'!$B$9))))</f>
        <v/>
      </c>
      <c r="L55" s="29">
        <f>IF(OR(G55="",H55=""),"",IF(SUMPRODUCT(ISNUMBER('설정'!$C$6:$C$8)*(ABS(G55-'설정'!$C$6:$C$8)&lt;='설정'!$C$15))+SUMPRODUCT(ISNUMBER('설정'!$D$6:$D$8)*(ABS((G55+H55)-'설정'!$D$6:$D$8)&lt;='설정'!$C$15))+SUMPRODUCT(ISNUMBER('설정'!$F$6:$F$8)*(ABS((G55+H55)-'설정'!$F$6:$F$8)&lt;='설정'!$C$15))+SUMPRODUCT(ISNUMBER('설정'!$E$6:$E$8)*(ABS(G55-'설정'!$E$6:$E$8)&lt;='설정'!$C$15))+SUMPRODUCT(ISNUMBER('설정'!$E$6:$E$8)*(ABS(H55-'설정'!$E$6:$E$8)&lt;='설정'!$C$15))&gt;0,"경계",""))</f>
        <v/>
      </c>
      <c r="M55" s="7" t="n"/>
      <c r="N55" s="7" t="n"/>
      <c r="O55" s="27">
        <f>IF(M55&lt;&gt;"",M55,K55)</f>
        <v/>
      </c>
      <c r="P55" s="30">
        <f>IF(I55="","",IF(G55="","공수1 미응시",IF(H55="","공수2 미응시","")))</f>
        <v/>
      </c>
      <c r="Q55" s="10">
        <f>IF(J55="","",J55+ROW()/100000)</f>
        <v/>
      </c>
    </row>
    <row r="56">
      <c r="A56" s="5" t="n">
        <v>50</v>
      </c>
      <c r="B56" s="10">
        <f>IF('학생명단'!B56="","",'학생명단'!B56)</f>
        <v/>
      </c>
      <c r="C56" s="10">
        <f>IF('학생명단'!C56="","",'학생명단'!C56)</f>
        <v/>
      </c>
      <c r="D56" s="10">
        <f>IF('학생명단'!D56="","",'학생명단'!D56)</f>
        <v/>
      </c>
      <c r="E56" s="10">
        <f>IF('학생명단'!E56="","",'학생명단'!E56)</f>
        <v/>
      </c>
      <c r="F56" s="11">
        <f>IF('학생명단'!F56="","",'학생명단'!F56)</f>
        <v/>
      </c>
      <c r="G56" s="10">
        <f>'공수1'!Y56</f>
        <v/>
      </c>
      <c r="H56" s="10">
        <f>'공수2'!Y56</f>
        <v/>
      </c>
      <c r="I56" s="28">
        <f>IF(AND(G56="",H56=""),"",N(G56)*'설정'!$C$13+N(H56)*'설정'!$C$14)</f>
        <v/>
      </c>
      <c r="J56" s="10">
        <f>IF(I56="","",COUNTIF($I$7:$I$156,"&gt;"&amp;I56)+1)</f>
        <v/>
      </c>
      <c r="K56" s="27">
        <f>IF(I56="","",IF(IF(COUNT('설정'!$C$6:$F$6)=0,AND(G56&lt;&gt;"",H56&lt;&gt;""),OR(AND('설정'!$C$6&lt;&gt;"",G56&lt;&gt;"",N(G56)&gt;='설정'!$C$6),AND('설정'!$D$6&lt;&gt;"",AND(G56&lt;&gt;"",H56&lt;&gt;""),(N(G56)+N(H56))&gt;='설정'!$D$6),AND('설정'!$E$6&lt;&gt;"",OR(AND(G56&lt;&gt;"",N(G56)&lt;='설정'!$E$6),AND(H56&lt;&gt;"",N(H56)&lt;='설정'!$E$6))),AND('설정'!$F$6&lt;&gt;"",AND(G56&lt;&gt;"",H56&lt;&gt;""),(N(G56)+N(H56))&lt;='설정'!$F$6))),'설정'!$B$6,IF(IF(COUNT('설정'!$C$7:$F$7)=0,AND(G56&lt;&gt;"",H56&lt;&gt;""),OR(AND('설정'!$C$7&lt;&gt;"",G56&lt;&gt;"",N(G56)&gt;='설정'!$C$7),AND('설정'!$D$7&lt;&gt;"",AND(G56&lt;&gt;"",H56&lt;&gt;""),(N(G56)+N(H56))&gt;='설정'!$D$7),AND('설정'!$E$7&lt;&gt;"",OR(AND(G56&lt;&gt;"",N(G56)&lt;='설정'!$E$7),AND(H56&lt;&gt;"",N(H56)&lt;='설정'!$E$7))),AND('설정'!$F$7&lt;&gt;"",AND(G56&lt;&gt;"",H56&lt;&gt;""),(N(G56)+N(H56))&lt;='설정'!$F$7))),'설정'!$B$7,IF(IF(COUNT('설정'!$C$8:$F$8)=0,AND(G56&lt;&gt;"",H56&lt;&gt;""),OR(AND('설정'!$C$8&lt;&gt;"",G56&lt;&gt;"",N(G56)&gt;='설정'!$C$8),AND('설정'!$D$8&lt;&gt;"",AND(G56&lt;&gt;"",H56&lt;&gt;""),(N(G56)+N(H56))&gt;='설정'!$D$8),AND('설정'!$E$8&lt;&gt;"",OR(AND(G56&lt;&gt;"",N(G56)&lt;='설정'!$E$8),AND(H56&lt;&gt;"",N(H56)&lt;='설정'!$E$8))),AND('설정'!$F$8&lt;&gt;"",AND(G56&lt;&gt;"",H56&lt;&gt;""),(N(G56)+N(H56))&lt;='설정'!$F$8))),'설정'!$B$8,'설정'!$B$9))))</f>
        <v/>
      </c>
      <c r="L56" s="29">
        <f>IF(OR(G56="",H56=""),"",IF(SUMPRODUCT(ISNUMBER('설정'!$C$6:$C$8)*(ABS(G56-'설정'!$C$6:$C$8)&lt;='설정'!$C$15))+SUMPRODUCT(ISNUMBER('설정'!$D$6:$D$8)*(ABS((G56+H56)-'설정'!$D$6:$D$8)&lt;='설정'!$C$15))+SUMPRODUCT(ISNUMBER('설정'!$F$6:$F$8)*(ABS((G56+H56)-'설정'!$F$6:$F$8)&lt;='설정'!$C$15))+SUMPRODUCT(ISNUMBER('설정'!$E$6:$E$8)*(ABS(G56-'설정'!$E$6:$E$8)&lt;='설정'!$C$15))+SUMPRODUCT(ISNUMBER('설정'!$E$6:$E$8)*(ABS(H56-'설정'!$E$6:$E$8)&lt;='설정'!$C$15))&gt;0,"경계",""))</f>
        <v/>
      </c>
      <c r="M56" s="7" t="n"/>
      <c r="N56" s="7" t="n"/>
      <c r="O56" s="27">
        <f>IF(M56&lt;&gt;"",M56,K56)</f>
        <v/>
      </c>
      <c r="P56" s="30">
        <f>IF(I56="","",IF(G56="","공수1 미응시",IF(H56="","공수2 미응시","")))</f>
        <v/>
      </c>
      <c r="Q56" s="10">
        <f>IF(J56="","",J56+ROW()/100000)</f>
        <v/>
      </c>
    </row>
    <row r="57">
      <c r="A57" s="5" t="n">
        <v>51</v>
      </c>
      <c r="B57" s="10">
        <f>IF('학생명단'!B57="","",'학생명단'!B57)</f>
        <v/>
      </c>
      <c r="C57" s="10">
        <f>IF('학생명단'!C57="","",'학생명단'!C57)</f>
        <v/>
      </c>
      <c r="D57" s="10">
        <f>IF('학생명단'!D57="","",'학생명단'!D57)</f>
        <v/>
      </c>
      <c r="E57" s="10">
        <f>IF('학생명단'!E57="","",'학생명단'!E57)</f>
        <v/>
      </c>
      <c r="F57" s="11">
        <f>IF('학생명단'!F57="","",'학생명단'!F57)</f>
        <v/>
      </c>
      <c r="G57" s="10">
        <f>'공수1'!Y57</f>
        <v/>
      </c>
      <c r="H57" s="10">
        <f>'공수2'!Y57</f>
        <v/>
      </c>
      <c r="I57" s="28">
        <f>IF(AND(G57="",H57=""),"",N(G57)*'설정'!$C$13+N(H57)*'설정'!$C$14)</f>
        <v/>
      </c>
      <c r="J57" s="10">
        <f>IF(I57="","",COUNTIF($I$7:$I$156,"&gt;"&amp;I57)+1)</f>
        <v/>
      </c>
      <c r="K57" s="27">
        <f>IF(I57="","",IF(IF(COUNT('설정'!$C$6:$F$6)=0,AND(G57&lt;&gt;"",H57&lt;&gt;""),OR(AND('설정'!$C$6&lt;&gt;"",G57&lt;&gt;"",N(G57)&gt;='설정'!$C$6),AND('설정'!$D$6&lt;&gt;"",AND(G57&lt;&gt;"",H57&lt;&gt;""),(N(G57)+N(H57))&gt;='설정'!$D$6),AND('설정'!$E$6&lt;&gt;"",OR(AND(G57&lt;&gt;"",N(G57)&lt;='설정'!$E$6),AND(H57&lt;&gt;"",N(H57)&lt;='설정'!$E$6))),AND('설정'!$F$6&lt;&gt;"",AND(G57&lt;&gt;"",H57&lt;&gt;""),(N(G57)+N(H57))&lt;='설정'!$F$6))),'설정'!$B$6,IF(IF(COUNT('설정'!$C$7:$F$7)=0,AND(G57&lt;&gt;"",H57&lt;&gt;""),OR(AND('설정'!$C$7&lt;&gt;"",G57&lt;&gt;"",N(G57)&gt;='설정'!$C$7),AND('설정'!$D$7&lt;&gt;"",AND(G57&lt;&gt;"",H57&lt;&gt;""),(N(G57)+N(H57))&gt;='설정'!$D$7),AND('설정'!$E$7&lt;&gt;"",OR(AND(G57&lt;&gt;"",N(G57)&lt;='설정'!$E$7),AND(H57&lt;&gt;"",N(H57)&lt;='설정'!$E$7))),AND('설정'!$F$7&lt;&gt;"",AND(G57&lt;&gt;"",H57&lt;&gt;""),(N(G57)+N(H57))&lt;='설정'!$F$7))),'설정'!$B$7,IF(IF(COUNT('설정'!$C$8:$F$8)=0,AND(G57&lt;&gt;"",H57&lt;&gt;""),OR(AND('설정'!$C$8&lt;&gt;"",G57&lt;&gt;"",N(G57)&gt;='설정'!$C$8),AND('설정'!$D$8&lt;&gt;"",AND(G57&lt;&gt;"",H57&lt;&gt;""),(N(G57)+N(H57))&gt;='설정'!$D$8),AND('설정'!$E$8&lt;&gt;"",OR(AND(G57&lt;&gt;"",N(G57)&lt;='설정'!$E$8),AND(H57&lt;&gt;"",N(H57)&lt;='설정'!$E$8))),AND('설정'!$F$8&lt;&gt;"",AND(G57&lt;&gt;"",H57&lt;&gt;""),(N(G57)+N(H57))&lt;='설정'!$F$8))),'설정'!$B$8,'설정'!$B$9))))</f>
        <v/>
      </c>
      <c r="L57" s="29">
        <f>IF(OR(G57="",H57=""),"",IF(SUMPRODUCT(ISNUMBER('설정'!$C$6:$C$8)*(ABS(G57-'설정'!$C$6:$C$8)&lt;='설정'!$C$15))+SUMPRODUCT(ISNUMBER('설정'!$D$6:$D$8)*(ABS((G57+H57)-'설정'!$D$6:$D$8)&lt;='설정'!$C$15))+SUMPRODUCT(ISNUMBER('설정'!$F$6:$F$8)*(ABS((G57+H57)-'설정'!$F$6:$F$8)&lt;='설정'!$C$15))+SUMPRODUCT(ISNUMBER('설정'!$E$6:$E$8)*(ABS(G57-'설정'!$E$6:$E$8)&lt;='설정'!$C$15))+SUMPRODUCT(ISNUMBER('설정'!$E$6:$E$8)*(ABS(H57-'설정'!$E$6:$E$8)&lt;='설정'!$C$15))&gt;0,"경계",""))</f>
        <v/>
      </c>
      <c r="M57" s="7" t="n"/>
      <c r="N57" s="7" t="n"/>
      <c r="O57" s="27">
        <f>IF(M57&lt;&gt;"",M57,K57)</f>
        <v/>
      </c>
      <c r="P57" s="30">
        <f>IF(I57="","",IF(G57="","공수1 미응시",IF(H57="","공수2 미응시","")))</f>
        <v/>
      </c>
      <c r="Q57" s="10">
        <f>IF(J57="","",J57+ROW()/100000)</f>
        <v/>
      </c>
    </row>
    <row r="58">
      <c r="A58" s="5" t="n">
        <v>52</v>
      </c>
      <c r="B58" s="10">
        <f>IF('학생명단'!B58="","",'학생명단'!B58)</f>
        <v/>
      </c>
      <c r="C58" s="10">
        <f>IF('학생명단'!C58="","",'학생명단'!C58)</f>
        <v/>
      </c>
      <c r="D58" s="10">
        <f>IF('학생명단'!D58="","",'학생명단'!D58)</f>
        <v/>
      </c>
      <c r="E58" s="10">
        <f>IF('학생명단'!E58="","",'학생명단'!E58)</f>
        <v/>
      </c>
      <c r="F58" s="11">
        <f>IF('학생명단'!F58="","",'학생명단'!F58)</f>
        <v/>
      </c>
      <c r="G58" s="10">
        <f>'공수1'!Y58</f>
        <v/>
      </c>
      <c r="H58" s="10">
        <f>'공수2'!Y58</f>
        <v/>
      </c>
      <c r="I58" s="28">
        <f>IF(AND(G58="",H58=""),"",N(G58)*'설정'!$C$13+N(H58)*'설정'!$C$14)</f>
        <v/>
      </c>
      <c r="J58" s="10">
        <f>IF(I58="","",COUNTIF($I$7:$I$156,"&gt;"&amp;I58)+1)</f>
        <v/>
      </c>
      <c r="K58" s="27">
        <f>IF(I58="","",IF(IF(COUNT('설정'!$C$6:$F$6)=0,AND(G58&lt;&gt;"",H58&lt;&gt;""),OR(AND('설정'!$C$6&lt;&gt;"",G58&lt;&gt;"",N(G58)&gt;='설정'!$C$6),AND('설정'!$D$6&lt;&gt;"",AND(G58&lt;&gt;"",H58&lt;&gt;""),(N(G58)+N(H58))&gt;='설정'!$D$6),AND('설정'!$E$6&lt;&gt;"",OR(AND(G58&lt;&gt;"",N(G58)&lt;='설정'!$E$6),AND(H58&lt;&gt;"",N(H58)&lt;='설정'!$E$6))),AND('설정'!$F$6&lt;&gt;"",AND(G58&lt;&gt;"",H58&lt;&gt;""),(N(G58)+N(H58))&lt;='설정'!$F$6))),'설정'!$B$6,IF(IF(COUNT('설정'!$C$7:$F$7)=0,AND(G58&lt;&gt;"",H58&lt;&gt;""),OR(AND('설정'!$C$7&lt;&gt;"",G58&lt;&gt;"",N(G58)&gt;='설정'!$C$7),AND('설정'!$D$7&lt;&gt;"",AND(G58&lt;&gt;"",H58&lt;&gt;""),(N(G58)+N(H58))&gt;='설정'!$D$7),AND('설정'!$E$7&lt;&gt;"",OR(AND(G58&lt;&gt;"",N(G58)&lt;='설정'!$E$7),AND(H58&lt;&gt;"",N(H58)&lt;='설정'!$E$7))),AND('설정'!$F$7&lt;&gt;"",AND(G58&lt;&gt;"",H58&lt;&gt;""),(N(G58)+N(H58))&lt;='설정'!$F$7))),'설정'!$B$7,IF(IF(COUNT('설정'!$C$8:$F$8)=0,AND(G58&lt;&gt;"",H58&lt;&gt;""),OR(AND('설정'!$C$8&lt;&gt;"",G58&lt;&gt;"",N(G58)&gt;='설정'!$C$8),AND('설정'!$D$8&lt;&gt;"",AND(G58&lt;&gt;"",H58&lt;&gt;""),(N(G58)+N(H58))&gt;='설정'!$D$8),AND('설정'!$E$8&lt;&gt;"",OR(AND(G58&lt;&gt;"",N(G58)&lt;='설정'!$E$8),AND(H58&lt;&gt;"",N(H58)&lt;='설정'!$E$8))),AND('설정'!$F$8&lt;&gt;"",AND(G58&lt;&gt;"",H58&lt;&gt;""),(N(G58)+N(H58))&lt;='설정'!$F$8))),'설정'!$B$8,'설정'!$B$9))))</f>
        <v/>
      </c>
      <c r="L58" s="29">
        <f>IF(OR(G58="",H58=""),"",IF(SUMPRODUCT(ISNUMBER('설정'!$C$6:$C$8)*(ABS(G58-'설정'!$C$6:$C$8)&lt;='설정'!$C$15))+SUMPRODUCT(ISNUMBER('설정'!$D$6:$D$8)*(ABS((G58+H58)-'설정'!$D$6:$D$8)&lt;='설정'!$C$15))+SUMPRODUCT(ISNUMBER('설정'!$F$6:$F$8)*(ABS((G58+H58)-'설정'!$F$6:$F$8)&lt;='설정'!$C$15))+SUMPRODUCT(ISNUMBER('설정'!$E$6:$E$8)*(ABS(G58-'설정'!$E$6:$E$8)&lt;='설정'!$C$15))+SUMPRODUCT(ISNUMBER('설정'!$E$6:$E$8)*(ABS(H58-'설정'!$E$6:$E$8)&lt;='설정'!$C$15))&gt;0,"경계",""))</f>
        <v/>
      </c>
      <c r="M58" s="7" t="n"/>
      <c r="N58" s="7" t="n"/>
      <c r="O58" s="27">
        <f>IF(M58&lt;&gt;"",M58,K58)</f>
        <v/>
      </c>
      <c r="P58" s="30">
        <f>IF(I58="","",IF(G58="","공수1 미응시",IF(H58="","공수2 미응시","")))</f>
        <v/>
      </c>
      <c r="Q58" s="10">
        <f>IF(J58="","",J58+ROW()/100000)</f>
        <v/>
      </c>
    </row>
    <row r="59">
      <c r="A59" s="5" t="n">
        <v>53</v>
      </c>
      <c r="B59" s="10">
        <f>IF('학생명단'!B59="","",'학생명단'!B59)</f>
        <v/>
      </c>
      <c r="C59" s="10">
        <f>IF('학생명단'!C59="","",'학생명단'!C59)</f>
        <v/>
      </c>
      <c r="D59" s="10">
        <f>IF('학생명단'!D59="","",'학생명단'!D59)</f>
        <v/>
      </c>
      <c r="E59" s="10">
        <f>IF('학생명단'!E59="","",'학생명단'!E59)</f>
        <v/>
      </c>
      <c r="F59" s="11">
        <f>IF('학생명단'!F59="","",'학생명단'!F59)</f>
        <v/>
      </c>
      <c r="G59" s="10">
        <f>'공수1'!Y59</f>
        <v/>
      </c>
      <c r="H59" s="10">
        <f>'공수2'!Y59</f>
        <v/>
      </c>
      <c r="I59" s="28">
        <f>IF(AND(G59="",H59=""),"",N(G59)*'설정'!$C$13+N(H59)*'설정'!$C$14)</f>
        <v/>
      </c>
      <c r="J59" s="10">
        <f>IF(I59="","",COUNTIF($I$7:$I$156,"&gt;"&amp;I59)+1)</f>
        <v/>
      </c>
      <c r="K59" s="27">
        <f>IF(I59="","",IF(IF(COUNT('설정'!$C$6:$F$6)=0,AND(G59&lt;&gt;"",H59&lt;&gt;""),OR(AND('설정'!$C$6&lt;&gt;"",G59&lt;&gt;"",N(G59)&gt;='설정'!$C$6),AND('설정'!$D$6&lt;&gt;"",AND(G59&lt;&gt;"",H59&lt;&gt;""),(N(G59)+N(H59))&gt;='설정'!$D$6),AND('설정'!$E$6&lt;&gt;"",OR(AND(G59&lt;&gt;"",N(G59)&lt;='설정'!$E$6),AND(H59&lt;&gt;"",N(H59)&lt;='설정'!$E$6))),AND('설정'!$F$6&lt;&gt;"",AND(G59&lt;&gt;"",H59&lt;&gt;""),(N(G59)+N(H59))&lt;='설정'!$F$6))),'설정'!$B$6,IF(IF(COUNT('설정'!$C$7:$F$7)=0,AND(G59&lt;&gt;"",H59&lt;&gt;""),OR(AND('설정'!$C$7&lt;&gt;"",G59&lt;&gt;"",N(G59)&gt;='설정'!$C$7),AND('설정'!$D$7&lt;&gt;"",AND(G59&lt;&gt;"",H59&lt;&gt;""),(N(G59)+N(H59))&gt;='설정'!$D$7),AND('설정'!$E$7&lt;&gt;"",OR(AND(G59&lt;&gt;"",N(G59)&lt;='설정'!$E$7),AND(H59&lt;&gt;"",N(H59)&lt;='설정'!$E$7))),AND('설정'!$F$7&lt;&gt;"",AND(G59&lt;&gt;"",H59&lt;&gt;""),(N(G59)+N(H59))&lt;='설정'!$F$7))),'설정'!$B$7,IF(IF(COUNT('설정'!$C$8:$F$8)=0,AND(G59&lt;&gt;"",H59&lt;&gt;""),OR(AND('설정'!$C$8&lt;&gt;"",G59&lt;&gt;"",N(G59)&gt;='설정'!$C$8),AND('설정'!$D$8&lt;&gt;"",AND(G59&lt;&gt;"",H59&lt;&gt;""),(N(G59)+N(H59))&gt;='설정'!$D$8),AND('설정'!$E$8&lt;&gt;"",OR(AND(G59&lt;&gt;"",N(G59)&lt;='설정'!$E$8),AND(H59&lt;&gt;"",N(H59)&lt;='설정'!$E$8))),AND('설정'!$F$8&lt;&gt;"",AND(G59&lt;&gt;"",H59&lt;&gt;""),(N(G59)+N(H59))&lt;='설정'!$F$8))),'설정'!$B$8,'설정'!$B$9))))</f>
        <v/>
      </c>
      <c r="L59" s="29">
        <f>IF(OR(G59="",H59=""),"",IF(SUMPRODUCT(ISNUMBER('설정'!$C$6:$C$8)*(ABS(G59-'설정'!$C$6:$C$8)&lt;='설정'!$C$15))+SUMPRODUCT(ISNUMBER('설정'!$D$6:$D$8)*(ABS((G59+H59)-'설정'!$D$6:$D$8)&lt;='설정'!$C$15))+SUMPRODUCT(ISNUMBER('설정'!$F$6:$F$8)*(ABS((G59+H59)-'설정'!$F$6:$F$8)&lt;='설정'!$C$15))+SUMPRODUCT(ISNUMBER('설정'!$E$6:$E$8)*(ABS(G59-'설정'!$E$6:$E$8)&lt;='설정'!$C$15))+SUMPRODUCT(ISNUMBER('설정'!$E$6:$E$8)*(ABS(H59-'설정'!$E$6:$E$8)&lt;='설정'!$C$15))&gt;0,"경계",""))</f>
        <v/>
      </c>
      <c r="M59" s="7" t="n"/>
      <c r="N59" s="7" t="n"/>
      <c r="O59" s="27">
        <f>IF(M59&lt;&gt;"",M59,K59)</f>
        <v/>
      </c>
      <c r="P59" s="30">
        <f>IF(I59="","",IF(G59="","공수1 미응시",IF(H59="","공수2 미응시","")))</f>
        <v/>
      </c>
      <c r="Q59" s="10">
        <f>IF(J59="","",J59+ROW()/100000)</f>
        <v/>
      </c>
    </row>
    <row r="60">
      <c r="A60" s="5" t="n">
        <v>54</v>
      </c>
      <c r="B60" s="10">
        <f>IF('학생명단'!B60="","",'학생명단'!B60)</f>
        <v/>
      </c>
      <c r="C60" s="10">
        <f>IF('학생명단'!C60="","",'학생명단'!C60)</f>
        <v/>
      </c>
      <c r="D60" s="10">
        <f>IF('학생명단'!D60="","",'학생명단'!D60)</f>
        <v/>
      </c>
      <c r="E60" s="10">
        <f>IF('학생명단'!E60="","",'학생명단'!E60)</f>
        <v/>
      </c>
      <c r="F60" s="11">
        <f>IF('학생명단'!F60="","",'학생명단'!F60)</f>
        <v/>
      </c>
      <c r="G60" s="10">
        <f>'공수1'!Y60</f>
        <v/>
      </c>
      <c r="H60" s="10">
        <f>'공수2'!Y60</f>
        <v/>
      </c>
      <c r="I60" s="28">
        <f>IF(AND(G60="",H60=""),"",N(G60)*'설정'!$C$13+N(H60)*'설정'!$C$14)</f>
        <v/>
      </c>
      <c r="J60" s="10">
        <f>IF(I60="","",COUNTIF($I$7:$I$156,"&gt;"&amp;I60)+1)</f>
        <v/>
      </c>
      <c r="K60" s="27">
        <f>IF(I60="","",IF(IF(COUNT('설정'!$C$6:$F$6)=0,AND(G60&lt;&gt;"",H60&lt;&gt;""),OR(AND('설정'!$C$6&lt;&gt;"",G60&lt;&gt;"",N(G60)&gt;='설정'!$C$6),AND('설정'!$D$6&lt;&gt;"",AND(G60&lt;&gt;"",H60&lt;&gt;""),(N(G60)+N(H60))&gt;='설정'!$D$6),AND('설정'!$E$6&lt;&gt;"",OR(AND(G60&lt;&gt;"",N(G60)&lt;='설정'!$E$6),AND(H60&lt;&gt;"",N(H60)&lt;='설정'!$E$6))),AND('설정'!$F$6&lt;&gt;"",AND(G60&lt;&gt;"",H60&lt;&gt;""),(N(G60)+N(H60))&lt;='설정'!$F$6))),'설정'!$B$6,IF(IF(COUNT('설정'!$C$7:$F$7)=0,AND(G60&lt;&gt;"",H60&lt;&gt;""),OR(AND('설정'!$C$7&lt;&gt;"",G60&lt;&gt;"",N(G60)&gt;='설정'!$C$7),AND('설정'!$D$7&lt;&gt;"",AND(G60&lt;&gt;"",H60&lt;&gt;""),(N(G60)+N(H60))&gt;='설정'!$D$7),AND('설정'!$E$7&lt;&gt;"",OR(AND(G60&lt;&gt;"",N(G60)&lt;='설정'!$E$7),AND(H60&lt;&gt;"",N(H60)&lt;='설정'!$E$7))),AND('설정'!$F$7&lt;&gt;"",AND(G60&lt;&gt;"",H60&lt;&gt;""),(N(G60)+N(H60))&lt;='설정'!$F$7))),'설정'!$B$7,IF(IF(COUNT('설정'!$C$8:$F$8)=0,AND(G60&lt;&gt;"",H60&lt;&gt;""),OR(AND('설정'!$C$8&lt;&gt;"",G60&lt;&gt;"",N(G60)&gt;='설정'!$C$8),AND('설정'!$D$8&lt;&gt;"",AND(G60&lt;&gt;"",H60&lt;&gt;""),(N(G60)+N(H60))&gt;='설정'!$D$8),AND('설정'!$E$8&lt;&gt;"",OR(AND(G60&lt;&gt;"",N(G60)&lt;='설정'!$E$8),AND(H60&lt;&gt;"",N(H60)&lt;='설정'!$E$8))),AND('설정'!$F$8&lt;&gt;"",AND(G60&lt;&gt;"",H60&lt;&gt;""),(N(G60)+N(H60))&lt;='설정'!$F$8))),'설정'!$B$8,'설정'!$B$9))))</f>
        <v/>
      </c>
      <c r="L60" s="29">
        <f>IF(OR(G60="",H60=""),"",IF(SUMPRODUCT(ISNUMBER('설정'!$C$6:$C$8)*(ABS(G60-'설정'!$C$6:$C$8)&lt;='설정'!$C$15))+SUMPRODUCT(ISNUMBER('설정'!$D$6:$D$8)*(ABS((G60+H60)-'설정'!$D$6:$D$8)&lt;='설정'!$C$15))+SUMPRODUCT(ISNUMBER('설정'!$F$6:$F$8)*(ABS((G60+H60)-'설정'!$F$6:$F$8)&lt;='설정'!$C$15))+SUMPRODUCT(ISNUMBER('설정'!$E$6:$E$8)*(ABS(G60-'설정'!$E$6:$E$8)&lt;='설정'!$C$15))+SUMPRODUCT(ISNUMBER('설정'!$E$6:$E$8)*(ABS(H60-'설정'!$E$6:$E$8)&lt;='설정'!$C$15))&gt;0,"경계",""))</f>
        <v/>
      </c>
      <c r="M60" s="7" t="n"/>
      <c r="N60" s="7" t="n"/>
      <c r="O60" s="27">
        <f>IF(M60&lt;&gt;"",M60,K60)</f>
        <v/>
      </c>
      <c r="P60" s="30">
        <f>IF(I60="","",IF(G60="","공수1 미응시",IF(H60="","공수2 미응시","")))</f>
        <v/>
      </c>
      <c r="Q60" s="10">
        <f>IF(J60="","",J60+ROW()/100000)</f>
        <v/>
      </c>
    </row>
    <row r="61">
      <c r="A61" s="5" t="n">
        <v>55</v>
      </c>
      <c r="B61" s="10">
        <f>IF('학생명단'!B61="","",'학생명단'!B61)</f>
        <v/>
      </c>
      <c r="C61" s="10">
        <f>IF('학생명단'!C61="","",'학생명단'!C61)</f>
        <v/>
      </c>
      <c r="D61" s="10">
        <f>IF('학생명단'!D61="","",'학생명단'!D61)</f>
        <v/>
      </c>
      <c r="E61" s="10">
        <f>IF('학생명단'!E61="","",'학생명단'!E61)</f>
        <v/>
      </c>
      <c r="F61" s="11">
        <f>IF('학생명단'!F61="","",'학생명단'!F61)</f>
        <v/>
      </c>
      <c r="G61" s="10">
        <f>'공수1'!Y61</f>
        <v/>
      </c>
      <c r="H61" s="10">
        <f>'공수2'!Y61</f>
        <v/>
      </c>
      <c r="I61" s="28">
        <f>IF(AND(G61="",H61=""),"",N(G61)*'설정'!$C$13+N(H61)*'설정'!$C$14)</f>
        <v/>
      </c>
      <c r="J61" s="10">
        <f>IF(I61="","",COUNTIF($I$7:$I$156,"&gt;"&amp;I61)+1)</f>
        <v/>
      </c>
      <c r="K61" s="27">
        <f>IF(I61="","",IF(IF(COUNT('설정'!$C$6:$F$6)=0,AND(G61&lt;&gt;"",H61&lt;&gt;""),OR(AND('설정'!$C$6&lt;&gt;"",G61&lt;&gt;"",N(G61)&gt;='설정'!$C$6),AND('설정'!$D$6&lt;&gt;"",AND(G61&lt;&gt;"",H61&lt;&gt;""),(N(G61)+N(H61))&gt;='설정'!$D$6),AND('설정'!$E$6&lt;&gt;"",OR(AND(G61&lt;&gt;"",N(G61)&lt;='설정'!$E$6),AND(H61&lt;&gt;"",N(H61)&lt;='설정'!$E$6))),AND('설정'!$F$6&lt;&gt;"",AND(G61&lt;&gt;"",H61&lt;&gt;""),(N(G61)+N(H61))&lt;='설정'!$F$6))),'설정'!$B$6,IF(IF(COUNT('설정'!$C$7:$F$7)=0,AND(G61&lt;&gt;"",H61&lt;&gt;""),OR(AND('설정'!$C$7&lt;&gt;"",G61&lt;&gt;"",N(G61)&gt;='설정'!$C$7),AND('설정'!$D$7&lt;&gt;"",AND(G61&lt;&gt;"",H61&lt;&gt;""),(N(G61)+N(H61))&gt;='설정'!$D$7),AND('설정'!$E$7&lt;&gt;"",OR(AND(G61&lt;&gt;"",N(G61)&lt;='설정'!$E$7),AND(H61&lt;&gt;"",N(H61)&lt;='설정'!$E$7))),AND('설정'!$F$7&lt;&gt;"",AND(G61&lt;&gt;"",H61&lt;&gt;""),(N(G61)+N(H61))&lt;='설정'!$F$7))),'설정'!$B$7,IF(IF(COUNT('설정'!$C$8:$F$8)=0,AND(G61&lt;&gt;"",H61&lt;&gt;""),OR(AND('설정'!$C$8&lt;&gt;"",G61&lt;&gt;"",N(G61)&gt;='설정'!$C$8),AND('설정'!$D$8&lt;&gt;"",AND(G61&lt;&gt;"",H61&lt;&gt;""),(N(G61)+N(H61))&gt;='설정'!$D$8),AND('설정'!$E$8&lt;&gt;"",OR(AND(G61&lt;&gt;"",N(G61)&lt;='설정'!$E$8),AND(H61&lt;&gt;"",N(H61)&lt;='설정'!$E$8))),AND('설정'!$F$8&lt;&gt;"",AND(G61&lt;&gt;"",H61&lt;&gt;""),(N(G61)+N(H61))&lt;='설정'!$F$8))),'설정'!$B$8,'설정'!$B$9))))</f>
        <v/>
      </c>
      <c r="L61" s="29">
        <f>IF(OR(G61="",H61=""),"",IF(SUMPRODUCT(ISNUMBER('설정'!$C$6:$C$8)*(ABS(G61-'설정'!$C$6:$C$8)&lt;='설정'!$C$15))+SUMPRODUCT(ISNUMBER('설정'!$D$6:$D$8)*(ABS((G61+H61)-'설정'!$D$6:$D$8)&lt;='설정'!$C$15))+SUMPRODUCT(ISNUMBER('설정'!$F$6:$F$8)*(ABS((G61+H61)-'설정'!$F$6:$F$8)&lt;='설정'!$C$15))+SUMPRODUCT(ISNUMBER('설정'!$E$6:$E$8)*(ABS(G61-'설정'!$E$6:$E$8)&lt;='설정'!$C$15))+SUMPRODUCT(ISNUMBER('설정'!$E$6:$E$8)*(ABS(H61-'설정'!$E$6:$E$8)&lt;='설정'!$C$15))&gt;0,"경계",""))</f>
        <v/>
      </c>
      <c r="M61" s="7" t="n"/>
      <c r="N61" s="7" t="n"/>
      <c r="O61" s="27">
        <f>IF(M61&lt;&gt;"",M61,K61)</f>
        <v/>
      </c>
      <c r="P61" s="30">
        <f>IF(I61="","",IF(G61="","공수1 미응시",IF(H61="","공수2 미응시","")))</f>
        <v/>
      </c>
      <c r="Q61" s="10">
        <f>IF(J61="","",J61+ROW()/100000)</f>
        <v/>
      </c>
    </row>
    <row r="62">
      <c r="A62" s="5" t="n">
        <v>56</v>
      </c>
      <c r="B62" s="10">
        <f>IF('학생명단'!B62="","",'학생명단'!B62)</f>
        <v/>
      </c>
      <c r="C62" s="10">
        <f>IF('학생명단'!C62="","",'학생명단'!C62)</f>
        <v/>
      </c>
      <c r="D62" s="10">
        <f>IF('학생명단'!D62="","",'학생명단'!D62)</f>
        <v/>
      </c>
      <c r="E62" s="10">
        <f>IF('학생명단'!E62="","",'학생명단'!E62)</f>
        <v/>
      </c>
      <c r="F62" s="11">
        <f>IF('학생명단'!F62="","",'학생명단'!F62)</f>
        <v/>
      </c>
      <c r="G62" s="10">
        <f>'공수1'!Y62</f>
        <v/>
      </c>
      <c r="H62" s="10">
        <f>'공수2'!Y62</f>
        <v/>
      </c>
      <c r="I62" s="28">
        <f>IF(AND(G62="",H62=""),"",N(G62)*'설정'!$C$13+N(H62)*'설정'!$C$14)</f>
        <v/>
      </c>
      <c r="J62" s="10">
        <f>IF(I62="","",COUNTIF($I$7:$I$156,"&gt;"&amp;I62)+1)</f>
        <v/>
      </c>
      <c r="K62" s="27">
        <f>IF(I62="","",IF(IF(COUNT('설정'!$C$6:$F$6)=0,AND(G62&lt;&gt;"",H62&lt;&gt;""),OR(AND('설정'!$C$6&lt;&gt;"",G62&lt;&gt;"",N(G62)&gt;='설정'!$C$6),AND('설정'!$D$6&lt;&gt;"",AND(G62&lt;&gt;"",H62&lt;&gt;""),(N(G62)+N(H62))&gt;='설정'!$D$6),AND('설정'!$E$6&lt;&gt;"",OR(AND(G62&lt;&gt;"",N(G62)&lt;='설정'!$E$6),AND(H62&lt;&gt;"",N(H62)&lt;='설정'!$E$6))),AND('설정'!$F$6&lt;&gt;"",AND(G62&lt;&gt;"",H62&lt;&gt;""),(N(G62)+N(H62))&lt;='설정'!$F$6))),'설정'!$B$6,IF(IF(COUNT('설정'!$C$7:$F$7)=0,AND(G62&lt;&gt;"",H62&lt;&gt;""),OR(AND('설정'!$C$7&lt;&gt;"",G62&lt;&gt;"",N(G62)&gt;='설정'!$C$7),AND('설정'!$D$7&lt;&gt;"",AND(G62&lt;&gt;"",H62&lt;&gt;""),(N(G62)+N(H62))&gt;='설정'!$D$7),AND('설정'!$E$7&lt;&gt;"",OR(AND(G62&lt;&gt;"",N(G62)&lt;='설정'!$E$7),AND(H62&lt;&gt;"",N(H62)&lt;='설정'!$E$7))),AND('설정'!$F$7&lt;&gt;"",AND(G62&lt;&gt;"",H62&lt;&gt;""),(N(G62)+N(H62))&lt;='설정'!$F$7))),'설정'!$B$7,IF(IF(COUNT('설정'!$C$8:$F$8)=0,AND(G62&lt;&gt;"",H62&lt;&gt;""),OR(AND('설정'!$C$8&lt;&gt;"",G62&lt;&gt;"",N(G62)&gt;='설정'!$C$8),AND('설정'!$D$8&lt;&gt;"",AND(G62&lt;&gt;"",H62&lt;&gt;""),(N(G62)+N(H62))&gt;='설정'!$D$8),AND('설정'!$E$8&lt;&gt;"",OR(AND(G62&lt;&gt;"",N(G62)&lt;='설정'!$E$8),AND(H62&lt;&gt;"",N(H62)&lt;='설정'!$E$8))),AND('설정'!$F$8&lt;&gt;"",AND(G62&lt;&gt;"",H62&lt;&gt;""),(N(G62)+N(H62))&lt;='설정'!$F$8))),'설정'!$B$8,'설정'!$B$9))))</f>
        <v/>
      </c>
      <c r="L62" s="29">
        <f>IF(OR(G62="",H62=""),"",IF(SUMPRODUCT(ISNUMBER('설정'!$C$6:$C$8)*(ABS(G62-'설정'!$C$6:$C$8)&lt;='설정'!$C$15))+SUMPRODUCT(ISNUMBER('설정'!$D$6:$D$8)*(ABS((G62+H62)-'설정'!$D$6:$D$8)&lt;='설정'!$C$15))+SUMPRODUCT(ISNUMBER('설정'!$F$6:$F$8)*(ABS((G62+H62)-'설정'!$F$6:$F$8)&lt;='설정'!$C$15))+SUMPRODUCT(ISNUMBER('설정'!$E$6:$E$8)*(ABS(G62-'설정'!$E$6:$E$8)&lt;='설정'!$C$15))+SUMPRODUCT(ISNUMBER('설정'!$E$6:$E$8)*(ABS(H62-'설정'!$E$6:$E$8)&lt;='설정'!$C$15))&gt;0,"경계",""))</f>
        <v/>
      </c>
      <c r="M62" s="7" t="n"/>
      <c r="N62" s="7" t="n"/>
      <c r="O62" s="27">
        <f>IF(M62&lt;&gt;"",M62,K62)</f>
        <v/>
      </c>
      <c r="P62" s="30">
        <f>IF(I62="","",IF(G62="","공수1 미응시",IF(H62="","공수2 미응시","")))</f>
        <v/>
      </c>
      <c r="Q62" s="10">
        <f>IF(J62="","",J62+ROW()/100000)</f>
        <v/>
      </c>
    </row>
    <row r="63">
      <c r="A63" s="5" t="n">
        <v>57</v>
      </c>
      <c r="B63" s="10">
        <f>IF('학생명단'!B63="","",'학생명단'!B63)</f>
        <v/>
      </c>
      <c r="C63" s="10">
        <f>IF('학생명단'!C63="","",'학생명단'!C63)</f>
        <v/>
      </c>
      <c r="D63" s="10">
        <f>IF('학생명단'!D63="","",'학생명단'!D63)</f>
        <v/>
      </c>
      <c r="E63" s="10">
        <f>IF('학생명단'!E63="","",'학생명단'!E63)</f>
        <v/>
      </c>
      <c r="F63" s="11">
        <f>IF('학생명단'!F63="","",'학생명단'!F63)</f>
        <v/>
      </c>
      <c r="G63" s="10">
        <f>'공수1'!Y63</f>
        <v/>
      </c>
      <c r="H63" s="10">
        <f>'공수2'!Y63</f>
        <v/>
      </c>
      <c r="I63" s="28">
        <f>IF(AND(G63="",H63=""),"",N(G63)*'설정'!$C$13+N(H63)*'설정'!$C$14)</f>
        <v/>
      </c>
      <c r="J63" s="10">
        <f>IF(I63="","",COUNTIF($I$7:$I$156,"&gt;"&amp;I63)+1)</f>
        <v/>
      </c>
      <c r="K63" s="27">
        <f>IF(I63="","",IF(IF(COUNT('설정'!$C$6:$F$6)=0,AND(G63&lt;&gt;"",H63&lt;&gt;""),OR(AND('설정'!$C$6&lt;&gt;"",G63&lt;&gt;"",N(G63)&gt;='설정'!$C$6),AND('설정'!$D$6&lt;&gt;"",AND(G63&lt;&gt;"",H63&lt;&gt;""),(N(G63)+N(H63))&gt;='설정'!$D$6),AND('설정'!$E$6&lt;&gt;"",OR(AND(G63&lt;&gt;"",N(G63)&lt;='설정'!$E$6),AND(H63&lt;&gt;"",N(H63)&lt;='설정'!$E$6))),AND('설정'!$F$6&lt;&gt;"",AND(G63&lt;&gt;"",H63&lt;&gt;""),(N(G63)+N(H63))&lt;='설정'!$F$6))),'설정'!$B$6,IF(IF(COUNT('설정'!$C$7:$F$7)=0,AND(G63&lt;&gt;"",H63&lt;&gt;""),OR(AND('설정'!$C$7&lt;&gt;"",G63&lt;&gt;"",N(G63)&gt;='설정'!$C$7),AND('설정'!$D$7&lt;&gt;"",AND(G63&lt;&gt;"",H63&lt;&gt;""),(N(G63)+N(H63))&gt;='설정'!$D$7),AND('설정'!$E$7&lt;&gt;"",OR(AND(G63&lt;&gt;"",N(G63)&lt;='설정'!$E$7),AND(H63&lt;&gt;"",N(H63)&lt;='설정'!$E$7))),AND('설정'!$F$7&lt;&gt;"",AND(G63&lt;&gt;"",H63&lt;&gt;""),(N(G63)+N(H63))&lt;='설정'!$F$7))),'설정'!$B$7,IF(IF(COUNT('설정'!$C$8:$F$8)=0,AND(G63&lt;&gt;"",H63&lt;&gt;""),OR(AND('설정'!$C$8&lt;&gt;"",G63&lt;&gt;"",N(G63)&gt;='설정'!$C$8),AND('설정'!$D$8&lt;&gt;"",AND(G63&lt;&gt;"",H63&lt;&gt;""),(N(G63)+N(H63))&gt;='설정'!$D$8),AND('설정'!$E$8&lt;&gt;"",OR(AND(G63&lt;&gt;"",N(G63)&lt;='설정'!$E$8),AND(H63&lt;&gt;"",N(H63)&lt;='설정'!$E$8))),AND('설정'!$F$8&lt;&gt;"",AND(G63&lt;&gt;"",H63&lt;&gt;""),(N(G63)+N(H63))&lt;='설정'!$F$8))),'설정'!$B$8,'설정'!$B$9))))</f>
        <v/>
      </c>
      <c r="L63" s="29">
        <f>IF(OR(G63="",H63=""),"",IF(SUMPRODUCT(ISNUMBER('설정'!$C$6:$C$8)*(ABS(G63-'설정'!$C$6:$C$8)&lt;='설정'!$C$15))+SUMPRODUCT(ISNUMBER('설정'!$D$6:$D$8)*(ABS((G63+H63)-'설정'!$D$6:$D$8)&lt;='설정'!$C$15))+SUMPRODUCT(ISNUMBER('설정'!$F$6:$F$8)*(ABS((G63+H63)-'설정'!$F$6:$F$8)&lt;='설정'!$C$15))+SUMPRODUCT(ISNUMBER('설정'!$E$6:$E$8)*(ABS(G63-'설정'!$E$6:$E$8)&lt;='설정'!$C$15))+SUMPRODUCT(ISNUMBER('설정'!$E$6:$E$8)*(ABS(H63-'설정'!$E$6:$E$8)&lt;='설정'!$C$15))&gt;0,"경계",""))</f>
        <v/>
      </c>
      <c r="M63" s="7" t="n"/>
      <c r="N63" s="7" t="n"/>
      <c r="O63" s="27">
        <f>IF(M63&lt;&gt;"",M63,K63)</f>
        <v/>
      </c>
      <c r="P63" s="30">
        <f>IF(I63="","",IF(G63="","공수1 미응시",IF(H63="","공수2 미응시","")))</f>
        <v/>
      </c>
      <c r="Q63" s="10">
        <f>IF(J63="","",J63+ROW()/100000)</f>
        <v/>
      </c>
    </row>
    <row r="64">
      <c r="A64" s="5" t="n">
        <v>58</v>
      </c>
      <c r="B64" s="10">
        <f>IF('학생명단'!B64="","",'학생명단'!B64)</f>
        <v/>
      </c>
      <c r="C64" s="10">
        <f>IF('학생명단'!C64="","",'학생명단'!C64)</f>
        <v/>
      </c>
      <c r="D64" s="10">
        <f>IF('학생명단'!D64="","",'학생명단'!D64)</f>
        <v/>
      </c>
      <c r="E64" s="10">
        <f>IF('학생명단'!E64="","",'학생명단'!E64)</f>
        <v/>
      </c>
      <c r="F64" s="11">
        <f>IF('학생명단'!F64="","",'학생명단'!F64)</f>
        <v/>
      </c>
      <c r="G64" s="10">
        <f>'공수1'!Y64</f>
        <v/>
      </c>
      <c r="H64" s="10">
        <f>'공수2'!Y64</f>
        <v/>
      </c>
      <c r="I64" s="28">
        <f>IF(AND(G64="",H64=""),"",N(G64)*'설정'!$C$13+N(H64)*'설정'!$C$14)</f>
        <v/>
      </c>
      <c r="J64" s="10">
        <f>IF(I64="","",COUNTIF($I$7:$I$156,"&gt;"&amp;I64)+1)</f>
        <v/>
      </c>
      <c r="K64" s="27">
        <f>IF(I64="","",IF(IF(COUNT('설정'!$C$6:$F$6)=0,AND(G64&lt;&gt;"",H64&lt;&gt;""),OR(AND('설정'!$C$6&lt;&gt;"",G64&lt;&gt;"",N(G64)&gt;='설정'!$C$6),AND('설정'!$D$6&lt;&gt;"",AND(G64&lt;&gt;"",H64&lt;&gt;""),(N(G64)+N(H64))&gt;='설정'!$D$6),AND('설정'!$E$6&lt;&gt;"",OR(AND(G64&lt;&gt;"",N(G64)&lt;='설정'!$E$6),AND(H64&lt;&gt;"",N(H64)&lt;='설정'!$E$6))),AND('설정'!$F$6&lt;&gt;"",AND(G64&lt;&gt;"",H64&lt;&gt;""),(N(G64)+N(H64))&lt;='설정'!$F$6))),'설정'!$B$6,IF(IF(COUNT('설정'!$C$7:$F$7)=0,AND(G64&lt;&gt;"",H64&lt;&gt;""),OR(AND('설정'!$C$7&lt;&gt;"",G64&lt;&gt;"",N(G64)&gt;='설정'!$C$7),AND('설정'!$D$7&lt;&gt;"",AND(G64&lt;&gt;"",H64&lt;&gt;""),(N(G64)+N(H64))&gt;='설정'!$D$7),AND('설정'!$E$7&lt;&gt;"",OR(AND(G64&lt;&gt;"",N(G64)&lt;='설정'!$E$7),AND(H64&lt;&gt;"",N(H64)&lt;='설정'!$E$7))),AND('설정'!$F$7&lt;&gt;"",AND(G64&lt;&gt;"",H64&lt;&gt;""),(N(G64)+N(H64))&lt;='설정'!$F$7))),'설정'!$B$7,IF(IF(COUNT('설정'!$C$8:$F$8)=0,AND(G64&lt;&gt;"",H64&lt;&gt;""),OR(AND('설정'!$C$8&lt;&gt;"",G64&lt;&gt;"",N(G64)&gt;='설정'!$C$8),AND('설정'!$D$8&lt;&gt;"",AND(G64&lt;&gt;"",H64&lt;&gt;""),(N(G64)+N(H64))&gt;='설정'!$D$8),AND('설정'!$E$8&lt;&gt;"",OR(AND(G64&lt;&gt;"",N(G64)&lt;='설정'!$E$8),AND(H64&lt;&gt;"",N(H64)&lt;='설정'!$E$8))),AND('설정'!$F$8&lt;&gt;"",AND(G64&lt;&gt;"",H64&lt;&gt;""),(N(G64)+N(H64))&lt;='설정'!$F$8))),'설정'!$B$8,'설정'!$B$9))))</f>
        <v/>
      </c>
      <c r="L64" s="29">
        <f>IF(OR(G64="",H64=""),"",IF(SUMPRODUCT(ISNUMBER('설정'!$C$6:$C$8)*(ABS(G64-'설정'!$C$6:$C$8)&lt;='설정'!$C$15))+SUMPRODUCT(ISNUMBER('설정'!$D$6:$D$8)*(ABS((G64+H64)-'설정'!$D$6:$D$8)&lt;='설정'!$C$15))+SUMPRODUCT(ISNUMBER('설정'!$F$6:$F$8)*(ABS((G64+H64)-'설정'!$F$6:$F$8)&lt;='설정'!$C$15))+SUMPRODUCT(ISNUMBER('설정'!$E$6:$E$8)*(ABS(G64-'설정'!$E$6:$E$8)&lt;='설정'!$C$15))+SUMPRODUCT(ISNUMBER('설정'!$E$6:$E$8)*(ABS(H64-'설정'!$E$6:$E$8)&lt;='설정'!$C$15))&gt;0,"경계",""))</f>
        <v/>
      </c>
      <c r="M64" s="7" t="n"/>
      <c r="N64" s="7" t="n"/>
      <c r="O64" s="27">
        <f>IF(M64&lt;&gt;"",M64,K64)</f>
        <v/>
      </c>
      <c r="P64" s="30">
        <f>IF(I64="","",IF(G64="","공수1 미응시",IF(H64="","공수2 미응시","")))</f>
        <v/>
      </c>
      <c r="Q64" s="10">
        <f>IF(J64="","",J64+ROW()/100000)</f>
        <v/>
      </c>
    </row>
    <row r="65">
      <c r="A65" s="5" t="n">
        <v>59</v>
      </c>
      <c r="B65" s="10">
        <f>IF('학생명단'!B65="","",'학생명단'!B65)</f>
        <v/>
      </c>
      <c r="C65" s="10">
        <f>IF('학생명단'!C65="","",'학생명단'!C65)</f>
        <v/>
      </c>
      <c r="D65" s="10">
        <f>IF('학생명단'!D65="","",'학생명단'!D65)</f>
        <v/>
      </c>
      <c r="E65" s="10">
        <f>IF('학생명단'!E65="","",'학생명단'!E65)</f>
        <v/>
      </c>
      <c r="F65" s="11">
        <f>IF('학생명단'!F65="","",'학생명단'!F65)</f>
        <v/>
      </c>
      <c r="G65" s="10">
        <f>'공수1'!Y65</f>
        <v/>
      </c>
      <c r="H65" s="10">
        <f>'공수2'!Y65</f>
        <v/>
      </c>
      <c r="I65" s="28">
        <f>IF(AND(G65="",H65=""),"",N(G65)*'설정'!$C$13+N(H65)*'설정'!$C$14)</f>
        <v/>
      </c>
      <c r="J65" s="10">
        <f>IF(I65="","",COUNTIF($I$7:$I$156,"&gt;"&amp;I65)+1)</f>
        <v/>
      </c>
      <c r="K65" s="27">
        <f>IF(I65="","",IF(IF(COUNT('설정'!$C$6:$F$6)=0,AND(G65&lt;&gt;"",H65&lt;&gt;""),OR(AND('설정'!$C$6&lt;&gt;"",G65&lt;&gt;"",N(G65)&gt;='설정'!$C$6),AND('설정'!$D$6&lt;&gt;"",AND(G65&lt;&gt;"",H65&lt;&gt;""),(N(G65)+N(H65))&gt;='설정'!$D$6),AND('설정'!$E$6&lt;&gt;"",OR(AND(G65&lt;&gt;"",N(G65)&lt;='설정'!$E$6),AND(H65&lt;&gt;"",N(H65)&lt;='설정'!$E$6))),AND('설정'!$F$6&lt;&gt;"",AND(G65&lt;&gt;"",H65&lt;&gt;""),(N(G65)+N(H65))&lt;='설정'!$F$6))),'설정'!$B$6,IF(IF(COUNT('설정'!$C$7:$F$7)=0,AND(G65&lt;&gt;"",H65&lt;&gt;""),OR(AND('설정'!$C$7&lt;&gt;"",G65&lt;&gt;"",N(G65)&gt;='설정'!$C$7),AND('설정'!$D$7&lt;&gt;"",AND(G65&lt;&gt;"",H65&lt;&gt;""),(N(G65)+N(H65))&gt;='설정'!$D$7),AND('설정'!$E$7&lt;&gt;"",OR(AND(G65&lt;&gt;"",N(G65)&lt;='설정'!$E$7),AND(H65&lt;&gt;"",N(H65)&lt;='설정'!$E$7))),AND('설정'!$F$7&lt;&gt;"",AND(G65&lt;&gt;"",H65&lt;&gt;""),(N(G65)+N(H65))&lt;='설정'!$F$7))),'설정'!$B$7,IF(IF(COUNT('설정'!$C$8:$F$8)=0,AND(G65&lt;&gt;"",H65&lt;&gt;""),OR(AND('설정'!$C$8&lt;&gt;"",G65&lt;&gt;"",N(G65)&gt;='설정'!$C$8),AND('설정'!$D$8&lt;&gt;"",AND(G65&lt;&gt;"",H65&lt;&gt;""),(N(G65)+N(H65))&gt;='설정'!$D$8),AND('설정'!$E$8&lt;&gt;"",OR(AND(G65&lt;&gt;"",N(G65)&lt;='설정'!$E$8),AND(H65&lt;&gt;"",N(H65)&lt;='설정'!$E$8))),AND('설정'!$F$8&lt;&gt;"",AND(G65&lt;&gt;"",H65&lt;&gt;""),(N(G65)+N(H65))&lt;='설정'!$F$8))),'설정'!$B$8,'설정'!$B$9))))</f>
        <v/>
      </c>
      <c r="L65" s="29">
        <f>IF(OR(G65="",H65=""),"",IF(SUMPRODUCT(ISNUMBER('설정'!$C$6:$C$8)*(ABS(G65-'설정'!$C$6:$C$8)&lt;='설정'!$C$15))+SUMPRODUCT(ISNUMBER('설정'!$D$6:$D$8)*(ABS((G65+H65)-'설정'!$D$6:$D$8)&lt;='설정'!$C$15))+SUMPRODUCT(ISNUMBER('설정'!$F$6:$F$8)*(ABS((G65+H65)-'설정'!$F$6:$F$8)&lt;='설정'!$C$15))+SUMPRODUCT(ISNUMBER('설정'!$E$6:$E$8)*(ABS(G65-'설정'!$E$6:$E$8)&lt;='설정'!$C$15))+SUMPRODUCT(ISNUMBER('설정'!$E$6:$E$8)*(ABS(H65-'설정'!$E$6:$E$8)&lt;='설정'!$C$15))&gt;0,"경계",""))</f>
        <v/>
      </c>
      <c r="M65" s="7" t="n"/>
      <c r="N65" s="7" t="n"/>
      <c r="O65" s="27">
        <f>IF(M65&lt;&gt;"",M65,K65)</f>
        <v/>
      </c>
      <c r="P65" s="30">
        <f>IF(I65="","",IF(G65="","공수1 미응시",IF(H65="","공수2 미응시","")))</f>
        <v/>
      </c>
      <c r="Q65" s="10">
        <f>IF(J65="","",J65+ROW()/100000)</f>
        <v/>
      </c>
    </row>
    <row r="66">
      <c r="A66" s="5" t="n">
        <v>60</v>
      </c>
      <c r="B66" s="10">
        <f>IF('학생명단'!B66="","",'학생명단'!B66)</f>
        <v/>
      </c>
      <c r="C66" s="10">
        <f>IF('학생명단'!C66="","",'학생명단'!C66)</f>
        <v/>
      </c>
      <c r="D66" s="10">
        <f>IF('학생명단'!D66="","",'학생명단'!D66)</f>
        <v/>
      </c>
      <c r="E66" s="10">
        <f>IF('학생명단'!E66="","",'학생명단'!E66)</f>
        <v/>
      </c>
      <c r="F66" s="11">
        <f>IF('학생명단'!F66="","",'학생명단'!F66)</f>
        <v/>
      </c>
      <c r="G66" s="10">
        <f>'공수1'!Y66</f>
        <v/>
      </c>
      <c r="H66" s="10">
        <f>'공수2'!Y66</f>
        <v/>
      </c>
      <c r="I66" s="28">
        <f>IF(AND(G66="",H66=""),"",N(G66)*'설정'!$C$13+N(H66)*'설정'!$C$14)</f>
        <v/>
      </c>
      <c r="J66" s="10">
        <f>IF(I66="","",COUNTIF($I$7:$I$156,"&gt;"&amp;I66)+1)</f>
        <v/>
      </c>
      <c r="K66" s="27">
        <f>IF(I66="","",IF(IF(COUNT('설정'!$C$6:$F$6)=0,AND(G66&lt;&gt;"",H66&lt;&gt;""),OR(AND('설정'!$C$6&lt;&gt;"",G66&lt;&gt;"",N(G66)&gt;='설정'!$C$6),AND('설정'!$D$6&lt;&gt;"",AND(G66&lt;&gt;"",H66&lt;&gt;""),(N(G66)+N(H66))&gt;='설정'!$D$6),AND('설정'!$E$6&lt;&gt;"",OR(AND(G66&lt;&gt;"",N(G66)&lt;='설정'!$E$6),AND(H66&lt;&gt;"",N(H66)&lt;='설정'!$E$6))),AND('설정'!$F$6&lt;&gt;"",AND(G66&lt;&gt;"",H66&lt;&gt;""),(N(G66)+N(H66))&lt;='설정'!$F$6))),'설정'!$B$6,IF(IF(COUNT('설정'!$C$7:$F$7)=0,AND(G66&lt;&gt;"",H66&lt;&gt;""),OR(AND('설정'!$C$7&lt;&gt;"",G66&lt;&gt;"",N(G66)&gt;='설정'!$C$7),AND('설정'!$D$7&lt;&gt;"",AND(G66&lt;&gt;"",H66&lt;&gt;""),(N(G66)+N(H66))&gt;='설정'!$D$7),AND('설정'!$E$7&lt;&gt;"",OR(AND(G66&lt;&gt;"",N(G66)&lt;='설정'!$E$7),AND(H66&lt;&gt;"",N(H66)&lt;='설정'!$E$7))),AND('설정'!$F$7&lt;&gt;"",AND(G66&lt;&gt;"",H66&lt;&gt;""),(N(G66)+N(H66))&lt;='설정'!$F$7))),'설정'!$B$7,IF(IF(COUNT('설정'!$C$8:$F$8)=0,AND(G66&lt;&gt;"",H66&lt;&gt;""),OR(AND('설정'!$C$8&lt;&gt;"",G66&lt;&gt;"",N(G66)&gt;='설정'!$C$8),AND('설정'!$D$8&lt;&gt;"",AND(G66&lt;&gt;"",H66&lt;&gt;""),(N(G66)+N(H66))&gt;='설정'!$D$8),AND('설정'!$E$8&lt;&gt;"",OR(AND(G66&lt;&gt;"",N(G66)&lt;='설정'!$E$8),AND(H66&lt;&gt;"",N(H66)&lt;='설정'!$E$8))),AND('설정'!$F$8&lt;&gt;"",AND(G66&lt;&gt;"",H66&lt;&gt;""),(N(G66)+N(H66))&lt;='설정'!$F$8))),'설정'!$B$8,'설정'!$B$9))))</f>
        <v/>
      </c>
      <c r="L66" s="29">
        <f>IF(OR(G66="",H66=""),"",IF(SUMPRODUCT(ISNUMBER('설정'!$C$6:$C$8)*(ABS(G66-'설정'!$C$6:$C$8)&lt;='설정'!$C$15))+SUMPRODUCT(ISNUMBER('설정'!$D$6:$D$8)*(ABS((G66+H66)-'설정'!$D$6:$D$8)&lt;='설정'!$C$15))+SUMPRODUCT(ISNUMBER('설정'!$F$6:$F$8)*(ABS((G66+H66)-'설정'!$F$6:$F$8)&lt;='설정'!$C$15))+SUMPRODUCT(ISNUMBER('설정'!$E$6:$E$8)*(ABS(G66-'설정'!$E$6:$E$8)&lt;='설정'!$C$15))+SUMPRODUCT(ISNUMBER('설정'!$E$6:$E$8)*(ABS(H66-'설정'!$E$6:$E$8)&lt;='설정'!$C$15))&gt;0,"경계",""))</f>
        <v/>
      </c>
      <c r="M66" s="7" t="n"/>
      <c r="N66" s="7" t="n"/>
      <c r="O66" s="27">
        <f>IF(M66&lt;&gt;"",M66,K66)</f>
        <v/>
      </c>
      <c r="P66" s="30">
        <f>IF(I66="","",IF(G66="","공수1 미응시",IF(H66="","공수2 미응시","")))</f>
        <v/>
      </c>
      <c r="Q66" s="10">
        <f>IF(J66="","",J66+ROW()/100000)</f>
        <v/>
      </c>
    </row>
    <row r="67">
      <c r="A67" s="5" t="n">
        <v>61</v>
      </c>
      <c r="B67" s="10">
        <f>IF('학생명단'!B67="","",'학생명단'!B67)</f>
        <v/>
      </c>
      <c r="C67" s="10">
        <f>IF('학생명단'!C67="","",'학생명단'!C67)</f>
        <v/>
      </c>
      <c r="D67" s="10">
        <f>IF('학생명단'!D67="","",'학생명단'!D67)</f>
        <v/>
      </c>
      <c r="E67" s="10">
        <f>IF('학생명단'!E67="","",'학생명단'!E67)</f>
        <v/>
      </c>
      <c r="F67" s="11">
        <f>IF('학생명단'!F67="","",'학생명단'!F67)</f>
        <v/>
      </c>
      <c r="G67" s="10">
        <f>'공수1'!Y67</f>
        <v/>
      </c>
      <c r="H67" s="10">
        <f>'공수2'!Y67</f>
        <v/>
      </c>
      <c r="I67" s="28">
        <f>IF(AND(G67="",H67=""),"",N(G67)*'설정'!$C$13+N(H67)*'설정'!$C$14)</f>
        <v/>
      </c>
      <c r="J67" s="10">
        <f>IF(I67="","",COUNTIF($I$7:$I$156,"&gt;"&amp;I67)+1)</f>
        <v/>
      </c>
      <c r="K67" s="27">
        <f>IF(I67="","",IF(IF(COUNT('설정'!$C$6:$F$6)=0,AND(G67&lt;&gt;"",H67&lt;&gt;""),OR(AND('설정'!$C$6&lt;&gt;"",G67&lt;&gt;"",N(G67)&gt;='설정'!$C$6),AND('설정'!$D$6&lt;&gt;"",AND(G67&lt;&gt;"",H67&lt;&gt;""),(N(G67)+N(H67))&gt;='설정'!$D$6),AND('설정'!$E$6&lt;&gt;"",OR(AND(G67&lt;&gt;"",N(G67)&lt;='설정'!$E$6),AND(H67&lt;&gt;"",N(H67)&lt;='설정'!$E$6))),AND('설정'!$F$6&lt;&gt;"",AND(G67&lt;&gt;"",H67&lt;&gt;""),(N(G67)+N(H67))&lt;='설정'!$F$6))),'설정'!$B$6,IF(IF(COUNT('설정'!$C$7:$F$7)=0,AND(G67&lt;&gt;"",H67&lt;&gt;""),OR(AND('설정'!$C$7&lt;&gt;"",G67&lt;&gt;"",N(G67)&gt;='설정'!$C$7),AND('설정'!$D$7&lt;&gt;"",AND(G67&lt;&gt;"",H67&lt;&gt;""),(N(G67)+N(H67))&gt;='설정'!$D$7),AND('설정'!$E$7&lt;&gt;"",OR(AND(G67&lt;&gt;"",N(G67)&lt;='설정'!$E$7),AND(H67&lt;&gt;"",N(H67)&lt;='설정'!$E$7))),AND('설정'!$F$7&lt;&gt;"",AND(G67&lt;&gt;"",H67&lt;&gt;""),(N(G67)+N(H67))&lt;='설정'!$F$7))),'설정'!$B$7,IF(IF(COUNT('설정'!$C$8:$F$8)=0,AND(G67&lt;&gt;"",H67&lt;&gt;""),OR(AND('설정'!$C$8&lt;&gt;"",G67&lt;&gt;"",N(G67)&gt;='설정'!$C$8),AND('설정'!$D$8&lt;&gt;"",AND(G67&lt;&gt;"",H67&lt;&gt;""),(N(G67)+N(H67))&gt;='설정'!$D$8),AND('설정'!$E$8&lt;&gt;"",OR(AND(G67&lt;&gt;"",N(G67)&lt;='설정'!$E$8),AND(H67&lt;&gt;"",N(H67)&lt;='설정'!$E$8))),AND('설정'!$F$8&lt;&gt;"",AND(G67&lt;&gt;"",H67&lt;&gt;""),(N(G67)+N(H67))&lt;='설정'!$F$8))),'설정'!$B$8,'설정'!$B$9))))</f>
        <v/>
      </c>
      <c r="L67" s="29">
        <f>IF(OR(G67="",H67=""),"",IF(SUMPRODUCT(ISNUMBER('설정'!$C$6:$C$8)*(ABS(G67-'설정'!$C$6:$C$8)&lt;='설정'!$C$15))+SUMPRODUCT(ISNUMBER('설정'!$D$6:$D$8)*(ABS((G67+H67)-'설정'!$D$6:$D$8)&lt;='설정'!$C$15))+SUMPRODUCT(ISNUMBER('설정'!$F$6:$F$8)*(ABS((G67+H67)-'설정'!$F$6:$F$8)&lt;='설정'!$C$15))+SUMPRODUCT(ISNUMBER('설정'!$E$6:$E$8)*(ABS(G67-'설정'!$E$6:$E$8)&lt;='설정'!$C$15))+SUMPRODUCT(ISNUMBER('설정'!$E$6:$E$8)*(ABS(H67-'설정'!$E$6:$E$8)&lt;='설정'!$C$15))&gt;0,"경계",""))</f>
        <v/>
      </c>
      <c r="M67" s="7" t="n"/>
      <c r="N67" s="7" t="n"/>
      <c r="O67" s="27">
        <f>IF(M67&lt;&gt;"",M67,K67)</f>
        <v/>
      </c>
      <c r="P67" s="30">
        <f>IF(I67="","",IF(G67="","공수1 미응시",IF(H67="","공수2 미응시","")))</f>
        <v/>
      </c>
      <c r="Q67" s="10">
        <f>IF(J67="","",J67+ROW()/100000)</f>
        <v/>
      </c>
    </row>
    <row r="68">
      <c r="A68" s="5" t="n">
        <v>62</v>
      </c>
      <c r="B68" s="10">
        <f>IF('학생명단'!B68="","",'학생명단'!B68)</f>
        <v/>
      </c>
      <c r="C68" s="10">
        <f>IF('학생명단'!C68="","",'학생명단'!C68)</f>
        <v/>
      </c>
      <c r="D68" s="10">
        <f>IF('학생명단'!D68="","",'학생명단'!D68)</f>
        <v/>
      </c>
      <c r="E68" s="10">
        <f>IF('학생명단'!E68="","",'학생명단'!E68)</f>
        <v/>
      </c>
      <c r="F68" s="11">
        <f>IF('학생명단'!F68="","",'학생명단'!F68)</f>
        <v/>
      </c>
      <c r="G68" s="10">
        <f>'공수1'!Y68</f>
        <v/>
      </c>
      <c r="H68" s="10">
        <f>'공수2'!Y68</f>
        <v/>
      </c>
      <c r="I68" s="28">
        <f>IF(AND(G68="",H68=""),"",N(G68)*'설정'!$C$13+N(H68)*'설정'!$C$14)</f>
        <v/>
      </c>
      <c r="J68" s="10">
        <f>IF(I68="","",COUNTIF($I$7:$I$156,"&gt;"&amp;I68)+1)</f>
        <v/>
      </c>
      <c r="K68" s="27">
        <f>IF(I68="","",IF(IF(COUNT('설정'!$C$6:$F$6)=0,AND(G68&lt;&gt;"",H68&lt;&gt;""),OR(AND('설정'!$C$6&lt;&gt;"",G68&lt;&gt;"",N(G68)&gt;='설정'!$C$6),AND('설정'!$D$6&lt;&gt;"",AND(G68&lt;&gt;"",H68&lt;&gt;""),(N(G68)+N(H68))&gt;='설정'!$D$6),AND('설정'!$E$6&lt;&gt;"",OR(AND(G68&lt;&gt;"",N(G68)&lt;='설정'!$E$6),AND(H68&lt;&gt;"",N(H68)&lt;='설정'!$E$6))),AND('설정'!$F$6&lt;&gt;"",AND(G68&lt;&gt;"",H68&lt;&gt;""),(N(G68)+N(H68))&lt;='설정'!$F$6))),'설정'!$B$6,IF(IF(COUNT('설정'!$C$7:$F$7)=0,AND(G68&lt;&gt;"",H68&lt;&gt;""),OR(AND('설정'!$C$7&lt;&gt;"",G68&lt;&gt;"",N(G68)&gt;='설정'!$C$7),AND('설정'!$D$7&lt;&gt;"",AND(G68&lt;&gt;"",H68&lt;&gt;""),(N(G68)+N(H68))&gt;='설정'!$D$7),AND('설정'!$E$7&lt;&gt;"",OR(AND(G68&lt;&gt;"",N(G68)&lt;='설정'!$E$7),AND(H68&lt;&gt;"",N(H68)&lt;='설정'!$E$7))),AND('설정'!$F$7&lt;&gt;"",AND(G68&lt;&gt;"",H68&lt;&gt;""),(N(G68)+N(H68))&lt;='설정'!$F$7))),'설정'!$B$7,IF(IF(COUNT('설정'!$C$8:$F$8)=0,AND(G68&lt;&gt;"",H68&lt;&gt;""),OR(AND('설정'!$C$8&lt;&gt;"",G68&lt;&gt;"",N(G68)&gt;='설정'!$C$8),AND('설정'!$D$8&lt;&gt;"",AND(G68&lt;&gt;"",H68&lt;&gt;""),(N(G68)+N(H68))&gt;='설정'!$D$8),AND('설정'!$E$8&lt;&gt;"",OR(AND(G68&lt;&gt;"",N(G68)&lt;='설정'!$E$8),AND(H68&lt;&gt;"",N(H68)&lt;='설정'!$E$8))),AND('설정'!$F$8&lt;&gt;"",AND(G68&lt;&gt;"",H68&lt;&gt;""),(N(G68)+N(H68))&lt;='설정'!$F$8))),'설정'!$B$8,'설정'!$B$9))))</f>
        <v/>
      </c>
      <c r="L68" s="29">
        <f>IF(OR(G68="",H68=""),"",IF(SUMPRODUCT(ISNUMBER('설정'!$C$6:$C$8)*(ABS(G68-'설정'!$C$6:$C$8)&lt;='설정'!$C$15))+SUMPRODUCT(ISNUMBER('설정'!$D$6:$D$8)*(ABS((G68+H68)-'설정'!$D$6:$D$8)&lt;='설정'!$C$15))+SUMPRODUCT(ISNUMBER('설정'!$F$6:$F$8)*(ABS((G68+H68)-'설정'!$F$6:$F$8)&lt;='설정'!$C$15))+SUMPRODUCT(ISNUMBER('설정'!$E$6:$E$8)*(ABS(G68-'설정'!$E$6:$E$8)&lt;='설정'!$C$15))+SUMPRODUCT(ISNUMBER('설정'!$E$6:$E$8)*(ABS(H68-'설정'!$E$6:$E$8)&lt;='설정'!$C$15))&gt;0,"경계",""))</f>
        <v/>
      </c>
      <c r="M68" s="7" t="n"/>
      <c r="N68" s="7" t="n"/>
      <c r="O68" s="27">
        <f>IF(M68&lt;&gt;"",M68,K68)</f>
        <v/>
      </c>
      <c r="P68" s="30">
        <f>IF(I68="","",IF(G68="","공수1 미응시",IF(H68="","공수2 미응시","")))</f>
        <v/>
      </c>
      <c r="Q68" s="10">
        <f>IF(J68="","",J68+ROW()/100000)</f>
        <v/>
      </c>
    </row>
    <row r="69">
      <c r="A69" s="5" t="n">
        <v>63</v>
      </c>
      <c r="B69" s="10">
        <f>IF('학생명단'!B69="","",'학생명단'!B69)</f>
        <v/>
      </c>
      <c r="C69" s="10">
        <f>IF('학생명단'!C69="","",'학생명단'!C69)</f>
        <v/>
      </c>
      <c r="D69" s="10">
        <f>IF('학생명단'!D69="","",'학생명단'!D69)</f>
        <v/>
      </c>
      <c r="E69" s="10">
        <f>IF('학생명단'!E69="","",'학생명단'!E69)</f>
        <v/>
      </c>
      <c r="F69" s="11">
        <f>IF('학생명단'!F69="","",'학생명단'!F69)</f>
        <v/>
      </c>
      <c r="G69" s="10">
        <f>'공수1'!Y69</f>
        <v/>
      </c>
      <c r="H69" s="10">
        <f>'공수2'!Y69</f>
        <v/>
      </c>
      <c r="I69" s="28">
        <f>IF(AND(G69="",H69=""),"",N(G69)*'설정'!$C$13+N(H69)*'설정'!$C$14)</f>
        <v/>
      </c>
      <c r="J69" s="10">
        <f>IF(I69="","",COUNTIF($I$7:$I$156,"&gt;"&amp;I69)+1)</f>
        <v/>
      </c>
      <c r="K69" s="27">
        <f>IF(I69="","",IF(IF(COUNT('설정'!$C$6:$F$6)=0,AND(G69&lt;&gt;"",H69&lt;&gt;""),OR(AND('설정'!$C$6&lt;&gt;"",G69&lt;&gt;"",N(G69)&gt;='설정'!$C$6),AND('설정'!$D$6&lt;&gt;"",AND(G69&lt;&gt;"",H69&lt;&gt;""),(N(G69)+N(H69))&gt;='설정'!$D$6),AND('설정'!$E$6&lt;&gt;"",OR(AND(G69&lt;&gt;"",N(G69)&lt;='설정'!$E$6),AND(H69&lt;&gt;"",N(H69)&lt;='설정'!$E$6))),AND('설정'!$F$6&lt;&gt;"",AND(G69&lt;&gt;"",H69&lt;&gt;""),(N(G69)+N(H69))&lt;='설정'!$F$6))),'설정'!$B$6,IF(IF(COUNT('설정'!$C$7:$F$7)=0,AND(G69&lt;&gt;"",H69&lt;&gt;""),OR(AND('설정'!$C$7&lt;&gt;"",G69&lt;&gt;"",N(G69)&gt;='설정'!$C$7),AND('설정'!$D$7&lt;&gt;"",AND(G69&lt;&gt;"",H69&lt;&gt;""),(N(G69)+N(H69))&gt;='설정'!$D$7),AND('설정'!$E$7&lt;&gt;"",OR(AND(G69&lt;&gt;"",N(G69)&lt;='설정'!$E$7),AND(H69&lt;&gt;"",N(H69)&lt;='설정'!$E$7))),AND('설정'!$F$7&lt;&gt;"",AND(G69&lt;&gt;"",H69&lt;&gt;""),(N(G69)+N(H69))&lt;='설정'!$F$7))),'설정'!$B$7,IF(IF(COUNT('설정'!$C$8:$F$8)=0,AND(G69&lt;&gt;"",H69&lt;&gt;""),OR(AND('설정'!$C$8&lt;&gt;"",G69&lt;&gt;"",N(G69)&gt;='설정'!$C$8),AND('설정'!$D$8&lt;&gt;"",AND(G69&lt;&gt;"",H69&lt;&gt;""),(N(G69)+N(H69))&gt;='설정'!$D$8),AND('설정'!$E$8&lt;&gt;"",OR(AND(G69&lt;&gt;"",N(G69)&lt;='설정'!$E$8),AND(H69&lt;&gt;"",N(H69)&lt;='설정'!$E$8))),AND('설정'!$F$8&lt;&gt;"",AND(G69&lt;&gt;"",H69&lt;&gt;""),(N(G69)+N(H69))&lt;='설정'!$F$8))),'설정'!$B$8,'설정'!$B$9))))</f>
        <v/>
      </c>
      <c r="L69" s="29">
        <f>IF(OR(G69="",H69=""),"",IF(SUMPRODUCT(ISNUMBER('설정'!$C$6:$C$8)*(ABS(G69-'설정'!$C$6:$C$8)&lt;='설정'!$C$15))+SUMPRODUCT(ISNUMBER('설정'!$D$6:$D$8)*(ABS((G69+H69)-'설정'!$D$6:$D$8)&lt;='설정'!$C$15))+SUMPRODUCT(ISNUMBER('설정'!$F$6:$F$8)*(ABS((G69+H69)-'설정'!$F$6:$F$8)&lt;='설정'!$C$15))+SUMPRODUCT(ISNUMBER('설정'!$E$6:$E$8)*(ABS(G69-'설정'!$E$6:$E$8)&lt;='설정'!$C$15))+SUMPRODUCT(ISNUMBER('설정'!$E$6:$E$8)*(ABS(H69-'설정'!$E$6:$E$8)&lt;='설정'!$C$15))&gt;0,"경계",""))</f>
        <v/>
      </c>
      <c r="M69" s="7" t="n"/>
      <c r="N69" s="7" t="n"/>
      <c r="O69" s="27">
        <f>IF(M69&lt;&gt;"",M69,K69)</f>
        <v/>
      </c>
      <c r="P69" s="30">
        <f>IF(I69="","",IF(G69="","공수1 미응시",IF(H69="","공수2 미응시","")))</f>
        <v/>
      </c>
      <c r="Q69" s="10">
        <f>IF(J69="","",J69+ROW()/100000)</f>
        <v/>
      </c>
    </row>
    <row r="70">
      <c r="A70" s="5" t="n">
        <v>64</v>
      </c>
      <c r="B70" s="10">
        <f>IF('학생명단'!B70="","",'학생명단'!B70)</f>
        <v/>
      </c>
      <c r="C70" s="10">
        <f>IF('학생명단'!C70="","",'학생명단'!C70)</f>
        <v/>
      </c>
      <c r="D70" s="10">
        <f>IF('학생명단'!D70="","",'학생명단'!D70)</f>
        <v/>
      </c>
      <c r="E70" s="10">
        <f>IF('학생명단'!E70="","",'학생명단'!E70)</f>
        <v/>
      </c>
      <c r="F70" s="11">
        <f>IF('학생명단'!F70="","",'학생명단'!F70)</f>
        <v/>
      </c>
      <c r="G70" s="10">
        <f>'공수1'!Y70</f>
        <v/>
      </c>
      <c r="H70" s="10">
        <f>'공수2'!Y70</f>
        <v/>
      </c>
      <c r="I70" s="28">
        <f>IF(AND(G70="",H70=""),"",N(G70)*'설정'!$C$13+N(H70)*'설정'!$C$14)</f>
        <v/>
      </c>
      <c r="J70" s="10">
        <f>IF(I70="","",COUNTIF($I$7:$I$156,"&gt;"&amp;I70)+1)</f>
        <v/>
      </c>
      <c r="K70" s="27">
        <f>IF(I70="","",IF(IF(COUNT('설정'!$C$6:$F$6)=0,AND(G70&lt;&gt;"",H70&lt;&gt;""),OR(AND('설정'!$C$6&lt;&gt;"",G70&lt;&gt;"",N(G70)&gt;='설정'!$C$6),AND('설정'!$D$6&lt;&gt;"",AND(G70&lt;&gt;"",H70&lt;&gt;""),(N(G70)+N(H70))&gt;='설정'!$D$6),AND('설정'!$E$6&lt;&gt;"",OR(AND(G70&lt;&gt;"",N(G70)&lt;='설정'!$E$6),AND(H70&lt;&gt;"",N(H70)&lt;='설정'!$E$6))),AND('설정'!$F$6&lt;&gt;"",AND(G70&lt;&gt;"",H70&lt;&gt;""),(N(G70)+N(H70))&lt;='설정'!$F$6))),'설정'!$B$6,IF(IF(COUNT('설정'!$C$7:$F$7)=0,AND(G70&lt;&gt;"",H70&lt;&gt;""),OR(AND('설정'!$C$7&lt;&gt;"",G70&lt;&gt;"",N(G70)&gt;='설정'!$C$7),AND('설정'!$D$7&lt;&gt;"",AND(G70&lt;&gt;"",H70&lt;&gt;""),(N(G70)+N(H70))&gt;='설정'!$D$7),AND('설정'!$E$7&lt;&gt;"",OR(AND(G70&lt;&gt;"",N(G70)&lt;='설정'!$E$7),AND(H70&lt;&gt;"",N(H70)&lt;='설정'!$E$7))),AND('설정'!$F$7&lt;&gt;"",AND(G70&lt;&gt;"",H70&lt;&gt;""),(N(G70)+N(H70))&lt;='설정'!$F$7))),'설정'!$B$7,IF(IF(COUNT('설정'!$C$8:$F$8)=0,AND(G70&lt;&gt;"",H70&lt;&gt;""),OR(AND('설정'!$C$8&lt;&gt;"",G70&lt;&gt;"",N(G70)&gt;='설정'!$C$8),AND('설정'!$D$8&lt;&gt;"",AND(G70&lt;&gt;"",H70&lt;&gt;""),(N(G70)+N(H70))&gt;='설정'!$D$8),AND('설정'!$E$8&lt;&gt;"",OR(AND(G70&lt;&gt;"",N(G70)&lt;='설정'!$E$8),AND(H70&lt;&gt;"",N(H70)&lt;='설정'!$E$8))),AND('설정'!$F$8&lt;&gt;"",AND(G70&lt;&gt;"",H70&lt;&gt;""),(N(G70)+N(H70))&lt;='설정'!$F$8))),'설정'!$B$8,'설정'!$B$9))))</f>
        <v/>
      </c>
      <c r="L70" s="29">
        <f>IF(OR(G70="",H70=""),"",IF(SUMPRODUCT(ISNUMBER('설정'!$C$6:$C$8)*(ABS(G70-'설정'!$C$6:$C$8)&lt;='설정'!$C$15))+SUMPRODUCT(ISNUMBER('설정'!$D$6:$D$8)*(ABS((G70+H70)-'설정'!$D$6:$D$8)&lt;='설정'!$C$15))+SUMPRODUCT(ISNUMBER('설정'!$F$6:$F$8)*(ABS((G70+H70)-'설정'!$F$6:$F$8)&lt;='설정'!$C$15))+SUMPRODUCT(ISNUMBER('설정'!$E$6:$E$8)*(ABS(G70-'설정'!$E$6:$E$8)&lt;='설정'!$C$15))+SUMPRODUCT(ISNUMBER('설정'!$E$6:$E$8)*(ABS(H70-'설정'!$E$6:$E$8)&lt;='설정'!$C$15))&gt;0,"경계",""))</f>
        <v/>
      </c>
      <c r="M70" s="7" t="n"/>
      <c r="N70" s="7" t="n"/>
      <c r="O70" s="27">
        <f>IF(M70&lt;&gt;"",M70,K70)</f>
        <v/>
      </c>
      <c r="P70" s="30">
        <f>IF(I70="","",IF(G70="","공수1 미응시",IF(H70="","공수2 미응시","")))</f>
        <v/>
      </c>
      <c r="Q70" s="10">
        <f>IF(J70="","",J70+ROW()/100000)</f>
        <v/>
      </c>
    </row>
    <row r="71">
      <c r="A71" s="5" t="n">
        <v>65</v>
      </c>
      <c r="B71" s="10">
        <f>IF('학생명단'!B71="","",'학생명단'!B71)</f>
        <v/>
      </c>
      <c r="C71" s="10">
        <f>IF('학생명단'!C71="","",'학생명단'!C71)</f>
        <v/>
      </c>
      <c r="D71" s="10">
        <f>IF('학생명단'!D71="","",'학생명단'!D71)</f>
        <v/>
      </c>
      <c r="E71" s="10">
        <f>IF('학생명단'!E71="","",'학생명단'!E71)</f>
        <v/>
      </c>
      <c r="F71" s="11">
        <f>IF('학생명단'!F71="","",'학생명단'!F71)</f>
        <v/>
      </c>
      <c r="G71" s="10">
        <f>'공수1'!Y71</f>
        <v/>
      </c>
      <c r="H71" s="10">
        <f>'공수2'!Y71</f>
        <v/>
      </c>
      <c r="I71" s="28">
        <f>IF(AND(G71="",H71=""),"",N(G71)*'설정'!$C$13+N(H71)*'설정'!$C$14)</f>
        <v/>
      </c>
      <c r="J71" s="10">
        <f>IF(I71="","",COUNTIF($I$7:$I$156,"&gt;"&amp;I71)+1)</f>
        <v/>
      </c>
      <c r="K71" s="27">
        <f>IF(I71="","",IF(IF(COUNT('설정'!$C$6:$F$6)=0,AND(G71&lt;&gt;"",H71&lt;&gt;""),OR(AND('설정'!$C$6&lt;&gt;"",G71&lt;&gt;"",N(G71)&gt;='설정'!$C$6),AND('설정'!$D$6&lt;&gt;"",AND(G71&lt;&gt;"",H71&lt;&gt;""),(N(G71)+N(H71))&gt;='설정'!$D$6),AND('설정'!$E$6&lt;&gt;"",OR(AND(G71&lt;&gt;"",N(G71)&lt;='설정'!$E$6),AND(H71&lt;&gt;"",N(H71)&lt;='설정'!$E$6))),AND('설정'!$F$6&lt;&gt;"",AND(G71&lt;&gt;"",H71&lt;&gt;""),(N(G71)+N(H71))&lt;='설정'!$F$6))),'설정'!$B$6,IF(IF(COUNT('설정'!$C$7:$F$7)=0,AND(G71&lt;&gt;"",H71&lt;&gt;""),OR(AND('설정'!$C$7&lt;&gt;"",G71&lt;&gt;"",N(G71)&gt;='설정'!$C$7),AND('설정'!$D$7&lt;&gt;"",AND(G71&lt;&gt;"",H71&lt;&gt;""),(N(G71)+N(H71))&gt;='설정'!$D$7),AND('설정'!$E$7&lt;&gt;"",OR(AND(G71&lt;&gt;"",N(G71)&lt;='설정'!$E$7),AND(H71&lt;&gt;"",N(H71)&lt;='설정'!$E$7))),AND('설정'!$F$7&lt;&gt;"",AND(G71&lt;&gt;"",H71&lt;&gt;""),(N(G71)+N(H71))&lt;='설정'!$F$7))),'설정'!$B$7,IF(IF(COUNT('설정'!$C$8:$F$8)=0,AND(G71&lt;&gt;"",H71&lt;&gt;""),OR(AND('설정'!$C$8&lt;&gt;"",G71&lt;&gt;"",N(G71)&gt;='설정'!$C$8),AND('설정'!$D$8&lt;&gt;"",AND(G71&lt;&gt;"",H71&lt;&gt;""),(N(G71)+N(H71))&gt;='설정'!$D$8),AND('설정'!$E$8&lt;&gt;"",OR(AND(G71&lt;&gt;"",N(G71)&lt;='설정'!$E$8),AND(H71&lt;&gt;"",N(H71)&lt;='설정'!$E$8))),AND('설정'!$F$8&lt;&gt;"",AND(G71&lt;&gt;"",H71&lt;&gt;""),(N(G71)+N(H71))&lt;='설정'!$F$8))),'설정'!$B$8,'설정'!$B$9))))</f>
        <v/>
      </c>
      <c r="L71" s="29">
        <f>IF(OR(G71="",H71=""),"",IF(SUMPRODUCT(ISNUMBER('설정'!$C$6:$C$8)*(ABS(G71-'설정'!$C$6:$C$8)&lt;='설정'!$C$15))+SUMPRODUCT(ISNUMBER('설정'!$D$6:$D$8)*(ABS((G71+H71)-'설정'!$D$6:$D$8)&lt;='설정'!$C$15))+SUMPRODUCT(ISNUMBER('설정'!$F$6:$F$8)*(ABS((G71+H71)-'설정'!$F$6:$F$8)&lt;='설정'!$C$15))+SUMPRODUCT(ISNUMBER('설정'!$E$6:$E$8)*(ABS(G71-'설정'!$E$6:$E$8)&lt;='설정'!$C$15))+SUMPRODUCT(ISNUMBER('설정'!$E$6:$E$8)*(ABS(H71-'설정'!$E$6:$E$8)&lt;='설정'!$C$15))&gt;0,"경계",""))</f>
        <v/>
      </c>
      <c r="M71" s="7" t="n"/>
      <c r="N71" s="7" t="n"/>
      <c r="O71" s="27">
        <f>IF(M71&lt;&gt;"",M71,K71)</f>
        <v/>
      </c>
      <c r="P71" s="30">
        <f>IF(I71="","",IF(G71="","공수1 미응시",IF(H71="","공수2 미응시","")))</f>
        <v/>
      </c>
      <c r="Q71" s="10">
        <f>IF(J71="","",J71+ROW()/100000)</f>
        <v/>
      </c>
    </row>
    <row r="72">
      <c r="A72" s="5" t="n">
        <v>66</v>
      </c>
      <c r="B72" s="10">
        <f>IF('학생명단'!B72="","",'학생명단'!B72)</f>
        <v/>
      </c>
      <c r="C72" s="10">
        <f>IF('학생명단'!C72="","",'학생명단'!C72)</f>
        <v/>
      </c>
      <c r="D72" s="10">
        <f>IF('학생명단'!D72="","",'학생명단'!D72)</f>
        <v/>
      </c>
      <c r="E72" s="10">
        <f>IF('학생명단'!E72="","",'학생명단'!E72)</f>
        <v/>
      </c>
      <c r="F72" s="11">
        <f>IF('학생명단'!F72="","",'학생명단'!F72)</f>
        <v/>
      </c>
      <c r="G72" s="10">
        <f>'공수1'!Y72</f>
        <v/>
      </c>
      <c r="H72" s="10">
        <f>'공수2'!Y72</f>
        <v/>
      </c>
      <c r="I72" s="28">
        <f>IF(AND(G72="",H72=""),"",N(G72)*'설정'!$C$13+N(H72)*'설정'!$C$14)</f>
        <v/>
      </c>
      <c r="J72" s="10">
        <f>IF(I72="","",COUNTIF($I$7:$I$156,"&gt;"&amp;I72)+1)</f>
        <v/>
      </c>
      <c r="K72" s="27">
        <f>IF(I72="","",IF(IF(COUNT('설정'!$C$6:$F$6)=0,AND(G72&lt;&gt;"",H72&lt;&gt;""),OR(AND('설정'!$C$6&lt;&gt;"",G72&lt;&gt;"",N(G72)&gt;='설정'!$C$6),AND('설정'!$D$6&lt;&gt;"",AND(G72&lt;&gt;"",H72&lt;&gt;""),(N(G72)+N(H72))&gt;='설정'!$D$6),AND('설정'!$E$6&lt;&gt;"",OR(AND(G72&lt;&gt;"",N(G72)&lt;='설정'!$E$6),AND(H72&lt;&gt;"",N(H72)&lt;='설정'!$E$6))),AND('설정'!$F$6&lt;&gt;"",AND(G72&lt;&gt;"",H72&lt;&gt;""),(N(G72)+N(H72))&lt;='설정'!$F$6))),'설정'!$B$6,IF(IF(COUNT('설정'!$C$7:$F$7)=0,AND(G72&lt;&gt;"",H72&lt;&gt;""),OR(AND('설정'!$C$7&lt;&gt;"",G72&lt;&gt;"",N(G72)&gt;='설정'!$C$7),AND('설정'!$D$7&lt;&gt;"",AND(G72&lt;&gt;"",H72&lt;&gt;""),(N(G72)+N(H72))&gt;='설정'!$D$7),AND('설정'!$E$7&lt;&gt;"",OR(AND(G72&lt;&gt;"",N(G72)&lt;='설정'!$E$7),AND(H72&lt;&gt;"",N(H72)&lt;='설정'!$E$7))),AND('설정'!$F$7&lt;&gt;"",AND(G72&lt;&gt;"",H72&lt;&gt;""),(N(G72)+N(H72))&lt;='설정'!$F$7))),'설정'!$B$7,IF(IF(COUNT('설정'!$C$8:$F$8)=0,AND(G72&lt;&gt;"",H72&lt;&gt;""),OR(AND('설정'!$C$8&lt;&gt;"",G72&lt;&gt;"",N(G72)&gt;='설정'!$C$8),AND('설정'!$D$8&lt;&gt;"",AND(G72&lt;&gt;"",H72&lt;&gt;""),(N(G72)+N(H72))&gt;='설정'!$D$8),AND('설정'!$E$8&lt;&gt;"",OR(AND(G72&lt;&gt;"",N(G72)&lt;='설정'!$E$8),AND(H72&lt;&gt;"",N(H72)&lt;='설정'!$E$8))),AND('설정'!$F$8&lt;&gt;"",AND(G72&lt;&gt;"",H72&lt;&gt;""),(N(G72)+N(H72))&lt;='설정'!$F$8))),'설정'!$B$8,'설정'!$B$9))))</f>
        <v/>
      </c>
      <c r="L72" s="29">
        <f>IF(OR(G72="",H72=""),"",IF(SUMPRODUCT(ISNUMBER('설정'!$C$6:$C$8)*(ABS(G72-'설정'!$C$6:$C$8)&lt;='설정'!$C$15))+SUMPRODUCT(ISNUMBER('설정'!$D$6:$D$8)*(ABS((G72+H72)-'설정'!$D$6:$D$8)&lt;='설정'!$C$15))+SUMPRODUCT(ISNUMBER('설정'!$F$6:$F$8)*(ABS((G72+H72)-'설정'!$F$6:$F$8)&lt;='설정'!$C$15))+SUMPRODUCT(ISNUMBER('설정'!$E$6:$E$8)*(ABS(G72-'설정'!$E$6:$E$8)&lt;='설정'!$C$15))+SUMPRODUCT(ISNUMBER('설정'!$E$6:$E$8)*(ABS(H72-'설정'!$E$6:$E$8)&lt;='설정'!$C$15))&gt;0,"경계",""))</f>
        <v/>
      </c>
      <c r="M72" s="7" t="n"/>
      <c r="N72" s="7" t="n"/>
      <c r="O72" s="27">
        <f>IF(M72&lt;&gt;"",M72,K72)</f>
        <v/>
      </c>
      <c r="P72" s="30">
        <f>IF(I72="","",IF(G72="","공수1 미응시",IF(H72="","공수2 미응시","")))</f>
        <v/>
      </c>
      <c r="Q72" s="10">
        <f>IF(J72="","",J72+ROW()/100000)</f>
        <v/>
      </c>
    </row>
    <row r="73">
      <c r="A73" s="5" t="n">
        <v>67</v>
      </c>
      <c r="B73" s="10">
        <f>IF('학생명단'!B73="","",'학생명단'!B73)</f>
        <v/>
      </c>
      <c r="C73" s="10">
        <f>IF('학생명단'!C73="","",'학생명단'!C73)</f>
        <v/>
      </c>
      <c r="D73" s="10">
        <f>IF('학생명단'!D73="","",'학생명단'!D73)</f>
        <v/>
      </c>
      <c r="E73" s="10">
        <f>IF('학생명단'!E73="","",'학생명단'!E73)</f>
        <v/>
      </c>
      <c r="F73" s="11">
        <f>IF('학생명단'!F73="","",'학생명단'!F73)</f>
        <v/>
      </c>
      <c r="G73" s="10">
        <f>'공수1'!Y73</f>
        <v/>
      </c>
      <c r="H73" s="10">
        <f>'공수2'!Y73</f>
        <v/>
      </c>
      <c r="I73" s="28">
        <f>IF(AND(G73="",H73=""),"",N(G73)*'설정'!$C$13+N(H73)*'설정'!$C$14)</f>
        <v/>
      </c>
      <c r="J73" s="10">
        <f>IF(I73="","",COUNTIF($I$7:$I$156,"&gt;"&amp;I73)+1)</f>
        <v/>
      </c>
      <c r="K73" s="27">
        <f>IF(I73="","",IF(IF(COUNT('설정'!$C$6:$F$6)=0,AND(G73&lt;&gt;"",H73&lt;&gt;""),OR(AND('설정'!$C$6&lt;&gt;"",G73&lt;&gt;"",N(G73)&gt;='설정'!$C$6),AND('설정'!$D$6&lt;&gt;"",AND(G73&lt;&gt;"",H73&lt;&gt;""),(N(G73)+N(H73))&gt;='설정'!$D$6),AND('설정'!$E$6&lt;&gt;"",OR(AND(G73&lt;&gt;"",N(G73)&lt;='설정'!$E$6),AND(H73&lt;&gt;"",N(H73)&lt;='설정'!$E$6))),AND('설정'!$F$6&lt;&gt;"",AND(G73&lt;&gt;"",H73&lt;&gt;""),(N(G73)+N(H73))&lt;='설정'!$F$6))),'설정'!$B$6,IF(IF(COUNT('설정'!$C$7:$F$7)=0,AND(G73&lt;&gt;"",H73&lt;&gt;""),OR(AND('설정'!$C$7&lt;&gt;"",G73&lt;&gt;"",N(G73)&gt;='설정'!$C$7),AND('설정'!$D$7&lt;&gt;"",AND(G73&lt;&gt;"",H73&lt;&gt;""),(N(G73)+N(H73))&gt;='설정'!$D$7),AND('설정'!$E$7&lt;&gt;"",OR(AND(G73&lt;&gt;"",N(G73)&lt;='설정'!$E$7),AND(H73&lt;&gt;"",N(H73)&lt;='설정'!$E$7))),AND('설정'!$F$7&lt;&gt;"",AND(G73&lt;&gt;"",H73&lt;&gt;""),(N(G73)+N(H73))&lt;='설정'!$F$7))),'설정'!$B$7,IF(IF(COUNT('설정'!$C$8:$F$8)=0,AND(G73&lt;&gt;"",H73&lt;&gt;""),OR(AND('설정'!$C$8&lt;&gt;"",G73&lt;&gt;"",N(G73)&gt;='설정'!$C$8),AND('설정'!$D$8&lt;&gt;"",AND(G73&lt;&gt;"",H73&lt;&gt;""),(N(G73)+N(H73))&gt;='설정'!$D$8),AND('설정'!$E$8&lt;&gt;"",OR(AND(G73&lt;&gt;"",N(G73)&lt;='설정'!$E$8),AND(H73&lt;&gt;"",N(H73)&lt;='설정'!$E$8))),AND('설정'!$F$8&lt;&gt;"",AND(G73&lt;&gt;"",H73&lt;&gt;""),(N(G73)+N(H73))&lt;='설정'!$F$8))),'설정'!$B$8,'설정'!$B$9))))</f>
        <v/>
      </c>
      <c r="L73" s="29">
        <f>IF(OR(G73="",H73=""),"",IF(SUMPRODUCT(ISNUMBER('설정'!$C$6:$C$8)*(ABS(G73-'설정'!$C$6:$C$8)&lt;='설정'!$C$15))+SUMPRODUCT(ISNUMBER('설정'!$D$6:$D$8)*(ABS((G73+H73)-'설정'!$D$6:$D$8)&lt;='설정'!$C$15))+SUMPRODUCT(ISNUMBER('설정'!$F$6:$F$8)*(ABS((G73+H73)-'설정'!$F$6:$F$8)&lt;='설정'!$C$15))+SUMPRODUCT(ISNUMBER('설정'!$E$6:$E$8)*(ABS(G73-'설정'!$E$6:$E$8)&lt;='설정'!$C$15))+SUMPRODUCT(ISNUMBER('설정'!$E$6:$E$8)*(ABS(H73-'설정'!$E$6:$E$8)&lt;='설정'!$C$15))&gt;0,"경계",""))</f>
        <v/>
      </c>
      <c r="M73" s="7" t="n"/>
      <c r="N73" s="7" t="n"/>
      <c r="O73" s="27">
        <f>IF(M73&lt;&gt;"",M73,K73)</f>
        <v/>
      </c>
      <c r="P73" s="30">
        <f>IF(I73="","",IF(G73="","공수1 미응시",IF(H73="","공수2 미응시","")))</f>
        <v/>
      </c>
      <c r="Q73" s="10">
        <f>IF(J73="","",J73+ROW()/100000)</f>
        <v/>
      </c>
    </row>
    <row r="74">
      <c r="A74" s="5" t="n">
        <v>68</v>
      </c>
      <c r="B74" s="10">
        <f>IF('학생명단'!B74="","",'학생명단'!B74)</f>
        <v/>
      </c>
      <c r="C74" s="10">
        <f>IF('학생명단'!C74="","",'학생명단'!C74)</f>
        <v/>
      </c>
      <c r="D74" s="10">
        <f>IF('학생명단'!D74="","",'학생명단'!D74)</f>
        <v/>
      </c>
      <c r="E74" s="10">
        <f>IF('학생명단'!E74="","",'학생명단'!E74)</f>
        <v/>
      </c>
      <c r="F74" s="11">
        <f>IF('학생명단'!F74="","",'학생명단'!F74)</f>
        <v/>
      </c>
      <c r="G74" s="10">
        <f>'공수1'!Y74</f>
        <v/>
      </c>
      <c r="H74" s="10">
        <f>'공수2'!Y74</f>
        <v/>
      </c>
      <c r="I74" s="28">
        <f>IF(AND(G74="",H74=""),"",N(G74)*'설정'!$C$13+N(H74)*'설정'!$C$14)</f>
        <v/>
      </c>
      <c r="J74" s="10">
        <f>IF(I74="","",COUNTIF($I$7:$I$156,"&gt;"&amp;I74)+1)</f>
        <v/>
      </c>
      <c r="K74" s="27">
        <f>IF(I74="","",IF(IF(COUNT('설정'!$C$6:$F$6)=0,AND(G74&lt;&gt;"",H74&lt;&gt;""),OR(AND('설정'!$C$6&lt;&gt;"",G74&lt;&gt;"",N(G74)&gt;='설정'!$C$6),AND('설정'!$D$6&lt;&gt;"",AND(G74&lt;&gt;"",H74&lt;&gt;""),(N(G74)+N(H74))&gt;='설정'!$D$6),AND('설정'!$E$6&lt;&gt;"",OR(AND(G74&lt;&gt;"",N(G74)&lt;='설정'!$E$6),AND(H74&lt;&gt;"",N(H74)&lt;='설정'!$E$6))),AND('설정'!$F$6&lt;&gt;"",AND(G74&lt;&gt;"",H74&lt;&gt;""),(N(G74)+N(H74))&lt;='설정'!$F$6))),'설정'!$B$6,IF(IF(COUNT('설정'!$C$7:$F$7)=0,AND(G74&lt;&gt;"",H74&lt;&gt;""),OR(AND('설정'!$C$7&lt;&gt;"",G74&lt;&gt;"",N(G74)&gt;='설정'!$C$7),AND('설정'!$D$7&lt;&gt;"",AND(G74&lt;&gt;"",H74&lt;&gt;""),(N(G74)+N(H74))&gt;='설정'!$D$7),AND('설정'!$E$7&lt;&gt;"",OR(AND(G74&lt;&gt;"",N(G74)&lt;='설정'!$E$7),AND(H74&lt;&gt;"",N(H74)&lt;='설정'!$E$7))),AND('설정'!$F$7&lt;&gt;"",AND(G74&lt;&gt;"",H74&lt;&gt;""),(N(G74)+N(H74))&lt;='설정'!$F$7))),'설정'!$B$7,IF(IF(COUNT('설정'!$C$8:$F$8)=0,AND(G74&lt;&gt;"",H74&lt;&gt;""),OR(AND('설정'!$C$8&lt;&gt;"",G74&lt;&gt;"",N(G74)&gt;='설정'!$C$8),AND('설정'!$D$8&lt;&gt;"",AND(G74&lt;&gt;"",H74&lt;&gt;""),(N(G74)+N(H74))&gt;='설정'!$D$8),AND('설정'!$E$8&lt;&gt;"",OR(AND(G74&lt;&gt;"",N(G74)&lt;='설정'!$E$8),AND(H74&lt;&gt;"",N(H74)&lt;='설정'!$E$8))),AND('설정'!$F$8&lt;&gt;"",AND(G74&lt;&gt;"",H74&lt;&gt;""),(N(G74)+N(H74))&lt;='설정'!$F$8))),'설정'!$B$8,'설정'!$B$9))))</f>
        <v/>
      </c>
      <c r="L74" s="29">
        <f>IF(OR(G74="",H74=""),"",IF(SUMPRODUCT(ISNUMBER('설정'!$C$6:$C$8)*(ABS(G74-'설정'!$C$6:$C$8)&lt;='설정'!$C$15))+SUMPRODUCT(ISNUMBER('설정'!$D$6:$D$8)*(ABS((G74+H74)-'설정'!$D$6:$D$8)&lt;='설정'!$C$15))+SUMPRODUCT(ISNUMBER('설정'!$F$6:$F$8)*(ABS((G74+H74)-'설정'!$F$6:$F$8)&lt;='설정'!$C$15))+SUMPRODUCT(ISNUMBER('설정'!$E$6:$E$8)*(ABS(G74-'설정'!$E$6:$E$8)&lt;='설정'!$C$15))+SUMPRODUCT(ISNUMBER('설정'!$E$6:$E$8)*(ABS(H74-'설정'!$E$6:$E$8)&lt;='설정'!$C$15))&gt;0,"경계",""))</f>
        <v/>
      </c>
      <c r="M74" s="7" t="n"/>
      <c r="N74" s="7" t="n"/>
      <c r="O74" s="27">
        <f>IF(M74&lt;&gt;"",M74,K74)</f>
        <v/>
      </c>
      <c r="P74" s="30">
        <f>IF(I74="","",IF(G74="","공수1 미응시",IF(H74="","공수2 미응시","")))</f>
        <v/>
      </c>
      <c r="Q74" s="10">
        <f>IF(J74="","",J74+ROW()/100000)</f>
        <v/>
      </c>
    </row>
    <row r="75">
      <c r="A75" s="5" t="n">
        <v>69</v>
      </c>
      <c r="B75" s="10">
        <f>IF('학생명단'!B75="","",'학생명단'!B75)</f>
        <v/>
      </c>
      <c r="C75" s="10">
        <f>IF('학생명단'!C75="","",'학생명단'!C75)</f>
        <v/>
      </c>
      <c r="D75" s="10">
        <f>IF('학생명단'!D75="","",'학생명단'!D75)</f>
        <v/>
      </c>
      <c r="E75" s="10">
        <f>IF('학생명단'!E75="","",'학생명단'!E75)</f>
        <v/>
      </c>
      <c r="F75" s="11">
        <f>IF('학생명단'!F75="","",'학생명단'!F75)</f>
        <v/>
      </c>
      <c r="G75" s="10">
        <f>'공수1'!Y75</f>
        <v/>
      </c>
      <c r="H75" s="10">
        <f>'공수2'!Y75</f>
        <v/>
      </c>
      <c r="I75" s="28">
        <f>IF(AND(G75="",H75=""),"",N(G75)*'설정'!$C$13+N(H75)*'설정'!$C$14)</f>
        <v/>
      </c>
      <c r="J75" s="10">
        <f>IF(I75="","",COUNTIF($I$7:$I$156,"&gt;"&amp;I75)+1)</f>
        <v/>
      </c>
      <c r="K75" s="27">
        <f>IF(I75="","",IF(IF(COUNT('설정'!$C$6:$F$6)=0,AND(G75&lt;&gt;"",H75&lt;&gt;""),OR(AND('설정'!$C$6&lt;&gt;"",G75&lt;&gt;"",N(G75)&gt;='설정'!$C$6),AND('설정'!$D$6&lt;&gt;"",AND(G75&lt;&gt;"",H75&lt;&gt;""),(N(G75)+N(H75))&gt;='설정'!$D$6),AND('설정'!$E$6&lt;&gt;"",OR(AND(G75&lt;&gt;"",N(G75)&lt;='설정'!$E$6),AND(H75&lt;&gt;"",N(H75)&lt;='설정'!$E$6))),AND('설정'!$F$6&lt;&gt;"",AND(G75&lt;&gt;"",H75&lt;&gt;""),(N(G75)+N(H75))&lt;='설정'!$F$6))),'설정'!$B$6,IF(IF(COUNT('설정'!$C$7:$F$7)=0,AND(G75&lt;&gt;"",H75&lt;&gt;""),OR(AND('설정'!$C$7&lt;&gt;"",G75&lt;&gt;"",N(G75)&gt;='설정'!$C$7),AND('설정'!$D$7&lt;&gt;"",AND(G75&lt;&gt;"",H75&lt;&gt;""),(N(G75)+N(H75))&gt;='설정'!$D$7),AND('설정'!$E$7&lt;&gt;"",OR(AND(G75&lt;&gt;"",N(G75)&lt;='설정'!$E$7),AND(H75&lt;&gt;"",N(H75)&lt;='설정'!$E$7))),AND('설정'!$F$7&lt;&gt;"",AND(G75&lt;&gt;"",H75&lt;&gt;""),(N(G75)+N(H75))&lt;='설정'!$F$7))),'설정'!$B$7,IF(IF(COUNT('설정'!$C$8:$F$8)=0,AND(G75&lt;&gt;"",H75&lt;&gt;""),OR(AND('설정'!$C$8&lt;&gt;"",G75&lt;&gt;"",N(G75)&gt;='설정'!$C$8),AND('설정'!$D$8&lt;&gt;"",AND(G75&lt;&gt;"",H75&lt;&gt;""),(N(G75)+N(H75))&gt;='설정'!$D$8),AND('설정'!$E$8&lt;&gt;"",OR(AND(G75&lt;&gt;"",N(G75)&lt;='설정'!$E$8),AND(H75&lt;&gt;"",N(H75)&lt;='설정'!$E$8))),AND('설정'!$F$8&lt;&gt;"",AND(G75&lt;&gt;"",H75&lt;&gt;""),(N(G75)+N(H75))&lt;='설정'!$F$8))),'설정'!$B$8,'설정'!$B$9))))</f>
        <v/>
      </c>
      <c r="L75" s="29">
        <f>IF(OR(G75="",H75=""),"",IF(SUMPRODUCT(ISNUMBER('설정'!$C$6:$C$8)*(ABS(G75-'설정'!$C$6:$C$8)&lt;='설정'!$C$15))+SUMPRODUCT(ISNUMBER('설정'!$D$6:$D$8)*(ABS((G75+H75)-'설정'!$D$6:$D$8)&lt;='설정'!$C$15))+SUMPRODUCT(ISNUMBER('설정'!$F$6:$F$8)*(ABS((G75+H75)-'설정'!$F$6:$F$8)&lt;='설정'!$C$15))+SUMPRODUCT(ISNUMBER('설정'!$E$6:$E$8)*(ABS(G75-'설정'!$E$6:$E$8)&lt;='설정'!$C$15))+SUMPRODUCT(ISNUMBER('설정'!$E$6:$E$8)*(ABS(H75-'설정'!$E$6:$E$8)&lt;='설정'!$C$15))&gt;0,"경계",""))</f>
        <v/>
      </c>
      <c r="M75" s="7" t="n"/>
      <c r="N75" s="7" t="n"/>
      <c r="O75" s="27">
        <f>IF(M75&lt;&gt;"",M75,K75)</f>
        <v/>
      </c>
      <c r="P75" s="30">
        <f>IF(I75="","",IF(G75="","공수1 미응시",IF(H75="","공수2 미응시","")))</f>
        <v/>
      </c>
      <c r="Q75" s="10">
        <f>IF(J75="","",J75+ROW()/100000)</f>
        <v/>
      </c>
    </row>
    <row r="76">
      <c r="A76" s="5" t="n">
        <v>70</v>
      </c>
      <c r="B76" s="10">
        <f>IF('학생명단'!B76="","",'학생명단'!B76)</f>
        <v/>
      </c>
      <c r="C76" s="10">
        <f>IF('학생명단'!C76="","",'학생명단'!C76)</f>
        <v/>
      </c>
      <c r="D76" s="10">
        <f>IF('학생명단'!D76="","",'학생명단'!D76)</f>
        <v/>
      </c>
      <c r="E76" s="10">
        <f>IF('학생명단'!E76="","",'학생명단'!E76)</f>
        <v/>
      </c>
      <c r="F76" s="11">
        <f>IF('학생명단'!F76="","",'학생명단'!F76)</f>
        <v/>
      </c>
      <c r="G76" s="10">
        <f>'공수1'!Y76</f>
        <v/>
      </c>
      <c r="H76" s="10">
        <f>'공수2'!Y76</f>
        <v/>
      </c>
      <c r="I76" s="28">
        <f>IF(AND(G76="",H76=""),"",N(G76)*'설정'!$C$13+N(H76)*'설정'!$C$14)</f>
        <v/>
      </c>
      <c r="J76" s="10">
        <f>IF(I76="","",COUNTIF($I$7:$I$156,"&gt;"&amp;I76)+1)</f>
        <v/>
      </c>
      <c r="K76" s="27">
        <f>IF(I76="","",IF(IF(COUNT('설정'!$C$6:$F$6)=0,AND(G76&lt;&gt;"",H76&lt;&gt;""),OR(AND('설정'!$C$6&lt;&gt;"",G76&lt;&gt;"",N(G76)&gt;='설정'!$C$6),AND('설정'!$D$6&lt;&gt;"",AND(G76&lt;&gt;"",H76&lt;&gt;""),(N(G76)+N(H76))&gt;='설정'!$D$6),AND('설정'!$E$6&lt;&gt;"",OR(AND(G76&lt;&gt;"",N(G76)&lt;='설정'!$E$6),AND(H76&lt;&gt;"",N(H76)&lt;='설정'!$E$6))),AND('설정'!$F$6&lt;&gt;"",AND(G76&lt;&gt;"",H76&lt;&gt;""),(N(G76)+N(H76))&lt;='설정'!$F$6))),'설정'!$B$6,IF(IF(COUNT('설정'!$C$7:$F$7)=0,AND(G76&lt;&gt;"",H76&lt;&gt;""),OR(AND('설정'!$C$7&lt;&gt;"",G76&lt;&gt;"",N(G76)&gt;='설정'!$C$7),AND('설정'!$D$7&lt;&gt;"",AND(G76&lt;&gt;"",H76&lt;&gt;""),(N(G76)+N(H76))&gt;='설정'!$D$7),AND('설정'!$E$7&lt;&gt;"",OR(AND(G76&lt;&gt;"",N(G76)&lt;='설정'!$E$7),AND(H76&lt;&gt;"",N(H76)&lt;='설정'!$E$7))),AND('설정'!$F$7&lt;&gt;"",AND(G76&lt;&gt;"",H76&lt;&gt;""),(N(G76)+N(H76))&lt;='설정'!$F$7))),'설정'!$B$7,IF(IF(COUNT('설정'!$C$8:$F$8)=0,AND(G76&lt;&gt;"",H76&lt;&gt;""),OR(AND('설정'!$C$8&lt;&gt;"",G76&lt;&gt;"",N(G76)&gt;='설정'!$C$8),AND('설정'!$D$8&lt;&gt;"",AND(G76&lt;&gt;"",H76&lt;&gt;""),(N(G76)+N(H76))&gt;='설정'!$D$8),AND('설정'!$E$8&lt;&gt;"",OR(AND(G76&lt;&gt;"",N(G76)&lt;='설정'!$E$8),AND(H76&lt;&gt;"",N(H76)&lt;='설정'!$E$8))),AND('설정'!$F$8&lt;&gt;"",AND(G76&lt;&gt;"",H76&lt;&gt;""),(N(G76)+N(H76))&lt;='설정'!$F$8))),'설정'!$B$8,'설정'!$B$9))))</f>
        <v/>
      </c>
      <c r="L76" s="29">
        <f>IF(OR(G76="",H76=""),"",IF(SUMPRODUCT(ISNUMBER('설정'!$C$6:$C$8)*(ABS(G76-'설정'!$C$6:$C$8)&lt;='설정'!$C$15))+SUMPRODUCT(ISNUMBER('설정'!$D$6:$D$8)*(ABS((G76+H76)-'설정'!$D$6:$D$8)&lt;='설정'!$C$15))+SUMPRODUCT(ISNUMBER('설정'!$F$6:$F$8)*(ABS((G76+H76)-'설정'!$F$6:$F$8)&lt;='설정'!$C$15))+SUMPRODUCT(ISNUMBER('설정'!$E$6:$E$8)*(ABS(G76-'설정'!$E$6:$E$8)&lt;='설정'!$C$15))+SUMPRODUCT(ISNUMBER('설정'!$E$6:$E$8)*(ABS(H76-'설정'!$E$6:$E$8)&lt;='설정'!$C$15))&gt;0,"경계",""))</f>
        <v/>
      </c>
      <c r="M76" s="7" t="n"/>
      <c r="N76" s="7" t="n"/>
      <c r="O76" s="27">
        <f>IF(M76&lt;&gt;"",M76,K76)</f>
        <v/>
      </c>
      <c r="P76" s="30">
        <f>IF(I76="","",IF(G76="","공수1 미응시",IF(H76="","공수2 미응시","")))</f>
        <v/>
      </c>
      <c r="Q76" s="10">
        <f>IF(J76="","",J76+ROW()/100000)</f>
        <v/>
      </c>
    </row>
    <row r="77">
      <c r="A77" s="5" t="n">
        <v>71</v>
      </c>
      <c r="B77" s="10">
        <f>IF('학생명단'!B77="","",'학생명단'!B77)</f>
        <v/>
      </c>
      <c r="C77" s="10">
        <f>IF('학생명단'!C77="","",'학생명단'!C77)</f>
        <v/>
      </c>
      <c r="D77" s="10">
        <f>IF('학생명단'!D77="","",'학생명단'!D77)</f>
        <v/>
      </c>
      <c r="E77" s="10">
        <f>IF('학생명단'!E77="","",'학생명단'!E77)</f>
        <v/>
      </c>
      <c r="F77" s="11">
        <f>IF('학생명단'!F77="","",'학생명단'!F77)</f>
        <v/>
      </c>
      <c r="G77" s="10">
        <f>'공수1'!Y77</f>
        <v/>
      </c>
      <c r="H77" s="10">
        <f>'공수2'!Y77</f>
        <v/>
      </c>
      <c r="I77" s="28">
        <f>IF(AND(G77="",H77=""),"",N(G77)*'설정'!$C$13+N(H77)*'설정'!$C$14)</f>
        <v/>
      </c>
      <c r="J77" s="10">
        <f>IF(I77="","",COUNTIF($I$7:$I$156,"&gt;"&amp;I77)+1)</f>
        <v/>
      </c>
      <c r="K77" s="27">
        <f>IF(I77="","",IF(IF(COUNT('설정'!$C$6:$F$6)=0,AND(G77&lt;&gt;"",H77&lt;&gt;""),OR(AND('설정'!$C$6&lt;&gt;"",G77&lt;&gt;"",N(G77)&gt;='설정'!$C$6),AND('설정'!$D$6&lt;&gt;"",AND(G77&lt;&gt;"",H77&lt;&gt;""),(N(G77)+N(H77))&gt;='설정'!$D$6),AND('설정'!$E$6&lt;&gt;"",OR(AND(G77&lt;&gt;"",N(G77)&lt;='설정'!$E$6),AND(H77&lt;&gt;"",N(H77)&lt;='설정'!$E$6))),AND('설정'!$F$6&lt;&gt;"",AND(G77&lt;&gt;"",H77&lt;&gt;""),(N(G77)+N(H77))&lt;='설정'!$F$6))),'설정'!$B$6,IF(IF(COUNT('설정'!$C$7:$F$7)=0,AND(G77&lt;&gt;"",H77&lt;&gt;""),OR(AND('설정'!$C$7&lt;&gt;"",G77&lt;&gt;"",N(G77)&gt;='설정'!$C$7),AND('설정'!$D$7&lt;&gt;"",AND(G77&lt;&gt;"",H77&lt;&gt;""),(N(G77)+N(H77))&gt;='설정'!$D$7),AND('설정'!$E$7&lt;&gt;"",OR(AND(G77&lt;&gt;"",N(G77)&lt;='설정'!$E$7),AND(H77&lt;&gt;"",N(H77)&lt;='설정'!$E$7))),AND('설정'!$F$7&lt;&gt;"",AND(G77&lt;&gt;"",H77&lt;&gt;""),(N(G77)+N(H77))&lt;='설정'!$F$7))),'설정'!$B$7,IF(IF(COUNT('설정'!$C$8:$F$8)=0,AND(G77&lt;&gt;"",H77&lt;&gt;""),OR(AND('설정'!$C$8&lt;&gt;"",G77&lt;&gt;"",N(G77)&gt;='설정'!$C$8),AND('설정'!$D$8&lt;&gt;"",AND(G77&lt;&gt;"",H77&lt;&gt;""),(N(G77)+N(H77))&gt;='설정'!$D$8),AND('설정'!$E$8&lt;&gt;"",OR(AND(G77&lt;&gt;"",N(G77)&lt;='설정'!$E$8),AND(H77&lt;&gt;"",N(H77)&lt;='설정'!$E$8))),AND('설정'!$F$8&lt;&gt;"",AND(G77&lt;&gt;"",H77&lt;&gt;""),(N(G77)+N(H77))&lt;='설정'!$F$8))),'설정'!$B$8,'설정'!$B$9))))</f>
        <v/>
      </c>
      <c r="L77" s="29">
        <f>IF(OR(G77="",H77=""),"",IF(SUMPRODUCT(ISNUMBER('설정'!$C$6:$C$8)*(ABS(G77-'설정'!$C$6:$C$8)&lt;='설정'!$C$15))+SUMPRODUCT(ISNUMBER('설정'!$D$6:$D$8)*(ABS((G77+H77)-'설정'!$D$6:$D$8)&lt;='설정'!$C$15))+SUMPRODUCT(ISNUMBER('설정'!$F$6:$F$8)*(ABS((G77+H77)-'설정'!$F$6:$F$8)&lt;='설정'!$C$15))+SUMPRODUCT(ISNUMBER('설정'!$E$6:$E$8)*(ABS(G77-'설정'!$E$6:$E$8)&lt;='설정'!$C$15))+SUMPRODUCT(ISNUMBER('설정'!$E$6:$E$8)*(ABS(H77-'설정'!$E$6:$E$8)&lt;='설정'!$C$15))&gt;0,"경계",""))</f>
        <v/>
      </c>
      <c r="M77" s="7" t="n"/>
      <c r="N77" s="7" t="n"/>
      <c r="O77" s="27">
        <f>IF(M77&lt;&gt;"",M77,K77)</f>
        <v/>
      </c>
      <c r="P77" s="30">
        <f>IF(I77="","",IF(G77="","공수1 미응시",IF(H77="","공수2 미응시","")))</f>
        <v/>
      </c>
      <c r="Q77" s="10">
        <f>IF(J77="","",J77+ROW()/100000)</f>
        <v/>
      </c>
    </row>
    <row r="78">
      <c r="A78" s="5" t="n">
        <v>72</v>
      </c>
      <c r="B78" s="10">
        <f>IF('학생명단'!B78="","",'학생명단'!B78)</f>
        <v/>
      </c>
      <c r="C78" s="10">
        <f>IF('학생명단'!C78="","",'학생명단'!C78)</f>
        <v/>
      </c>
      <c r="D78" s="10">
        <f>IF('학생명단'!D78="","",'학생명단'!D78)</f>
        <v/>
      </c>
      <c r="E78" s="10">
        <f>IF('학생명단'!E78="","",'학생명단'!E78)</f>
        <v/>
      </c>
      <c r="F78" s="11">
        <f>IF('학생명단'!F78="","",'학생명단'!F78)</f>
        <v/>
      </c>
      <c r="G78" s="10">
        <f>'공수1'!Y78</f>
        <v/>
      </c>
      <c r="H78" s="10">
        <f>'공수2'!Y78</f>
        <v/>
      </c>
      <c r="I78" s="28">
        <f>IF(AND(G78="",H78=""),"",N(G78)*'설정'!$C$13+N(H78)*'설정'!$C$14)</f>
        <v/>
      </c>
      <c r="J78" s="10">
        <f>IF(I78="","",COUNTIF($I$7:$I$156,"&gt;"&amp;I78)+1)</f>
        <v/>
      </c>
      <c r="K78" s="27">
        <f>IF(I78="","",IF(IF(COUNT('설정'!$C$6:$F$6)=0,AND(G78&lt;&gt;"",H78&lt;&gt;""),OR(AND('설정'!$C$6&lt;&gt;"",G78&lt;&gt;"",N(G78)&gt;='설정'!$C$6),AND('설정'!$D$6&lt;&gt;"",AND(G78&lt;&gt;"",H78&lt;&gt;""),(N(G78)+N(H78))&gt;='설정'!$D$6),AND('설정'!$E$6&lt;&gt;"",OR(AND(G78&lt;&gt;"",N(G78)&lt;='설정'!$E$6),AND(H78&lt;&gt;"",N(H78)&lt;='설정'!$E$6))),AND('설정'!$F$6&lt;&gt;"",AND(G78&lt;&gt;"",H78&lt;&gt;""),(N(G78)+N(H78))&lt;='설정'!$F$6))),'설정'!$B$6,IF(IF(COUNT('설정'!$C$7:$F$7)=0,AND(G78&lt;&gt;"",H78&lt;&gt;""),OR(AND('설정'!$C$7&lt;&gt;"",G78&lt;&gt;"",N(G78)&gt;='설정'!$C$7),AND('설정'!$D$7&lt;&gt;"",AND(G78&lt;&gt;"",H78&lt;&gt;""),(N(G78)+N(H78))&gt;='설정'!$D$7),AND('설정'!$E$7&lt;&gt;"",OR(AND(G78&lt;&gt;"",N(G78)&lt;='설정'!$E$7),AND(H78&lt;&gt;"",N(H78)&lt;='설정'!$E$7))),AND('설정'!$F$7&lt;&gt;"",AND(G78&lt;&gt;"",H78&lt;&gt;""),(N(G78)+N(H78))&lt;='설정'!$F$7))),'설정'!$B$7,IF(IF(COUNT('설정'!$C$8:$F$8)=0,AND(G78&lt;&gt;"",H78&lt;&gt;""),OR(AND('설정'!$C$8&lt;&gt;"",G78&lt;&gt;"",N(G78)&gt;='설정'!$C$8),AND('설정'!$D$8&lt;&gt;"",AND(G78&lt;&gt;"",H78&lt;&gt;""),(N(G78)+N(H78))&gt;='설정'!$D$8),AND('설정'!$E$8&lt;&gt;"",OR(AND(G78&lt;&gt;"",N(G78)&lt;='설정'!$E$8),AND(H78&lt;&gt;"",N(H78)&lt;='설정'!$E$8))),AND('설정'!$F$8&lt;&gt;"",AND(G78&lt;&gt;"",H78&lt;&gt;""),(N(G78)+N(H78))&lt;='설정'!$F$8))),'설정'!$B$8,'설정'!$B$9))))</f>
        <v/>
      </c>
      <c r="L78" s="29">
        <f>IF(OR(G78="",H78=""),"",IF(SUMPRODUCT(ISNUMBER('설정'!$C$6:$C$8)*(ABS(G78-'설정'!$C$6:$C$8)&lt;='설정'!$C$15))+SUMPRODUCT(ISNUMBER('설정'!$D$6:$D$8)*(ABS((G78+H78)-'설정'!$D$6:$D$8)&lt;='설정'!$C$15))+SUMPRODUCT(ISNUMBER('설정'!$F$6:$F$8)*(ABS((G78+H78)-'설정'!$F$6:$F$8)&lt;='설정'!$C$15))+SUMPRODUCT(ISNUMBER('설정'!$E$6:$E$8)*(ABS(G78-'설정'!$E$6:$E$8)&lt;='설정'!$C$15))+SUMPRODUCT(ISNUMBER('설정'!$E$6:$E$8)*(ABS(H78-'설정'!$E$6:$E$8)&lt;='설정'!$C$15))&gt;0,"경계",""))</f>
        <v/>
      </c>
      <c r="M78" s="7" t="n"/>
      <c r="N78" s="7" t="n"/>
      <c r="O78" s="27">
        <f>IF(M78&lt;&gt;"",M78,K78)</f>
        <v/>
      </c>
      <c r="P78" s="30">
        <f>IF(I78="","",IF(G78="","공수1 미응시",IF(H78="","공수2 미응시","")))</f>
        <v/>
      </c>
      <c r="Q78" s="10">
        <f>IF(J78="","",J78+ROW()/100000)</f>
        <v/>
      </c>
    </row>
    <row r="79">
      <c r="A79" s="5" t="n">
        <v>73</v>
      </c>
      <c r="B79" s="10">
        <f>IF('학생명단'!B79="","",'학생명단'!B79)</f>
        <v/>
      </c>
      <c r="C79" s="10">
        <f>IF('학생명단'!C79="","",'학생명단'!C79)</f>
        <v/>
      </c>
      <c r="D79" s="10">
        <f>IF('학생명단'!D79="","",'학생명단'!D79)</f>
        <v/>
      </c>
      <c r="E79" s="10">
        <f>IF('학생명단'!E79="","",'학생명단'!E79)</f>
        <v/>
      </c>
      <c r="F79" s="11">
        <f>IF('학생명단'!F79="","",'학생명단'!F79)</f>
        <v/>
      </c>
      <c r="G79" s="10">
        <f>'공수1'!Y79</f>
        <v/>
      </c>
      <c r="H79" s="10">
        <f>'공수2'!Y79</f>
        <v/>
      </c>
      <c r="I79" s="28">
        <f>IF(AND(G79="",H79=""),"",N(G79)*'설정'!$C$13+N(H79)*'설정'!$C$14)</f>
        <v/>
      </c>
      <c r="J79" s="10">
        <f>IF(I79="","",COUNTIF($I$7:$I$156,"&gt;"&amp;I79)+1)</f>
        <v/>
      </c>
      <c r="K79" s="27">
        <f>IF(I79="","",IF(IF(COUNT('설정'!$C$6:$F$6)=0,AND(G79&lt;&gt;"",H79&lt;&gt;""),OR(AND('설정'!$C$6&lt;&gt;"",G79&lt;&gt;"",N(G79)&gt;='설정'!$C$6),AND('설정'!$D$6&lt;&gt;"",AND(G79&lt;&gt;"",H79&lt;&gt;""),(N(G79)+N(H79))&gt;='설정'!$D$6),AND('설정'!$E$6&lt;&gt;"",OR(AND(G79&lt;&gt;"",N(G79)&lt;='설정'!$E$6),AND(H79&lt;&gt;"",N(H79)&lt;='설정'!$E$6))),AND('설정'!$F$6&lt;&gt;"",AND(G79&lt;&gt;"",H79&lt;&gt;""),(N(G79)+N(H79))&lt;='설정'!$F$6))),'설정'!$B$6,IF(IF(COUNT('설정'!$C$7:$F$7)=0,AND(G79&lt;&gt;"",H79&lt;&gt;""),OR(AND('설정'!$C$7&lt;&gt;"",G79&lt;&gt;"",N(G79)&gt;='설정'!$C$7),AND('설정'!$D$7&lt;&gt;"",AND(G79&lt;&gt;"",H79&lt;&gt;""),(N(G79)+N(H79))&gt;='설정'!$D$7),AND('설정'!$E$7&lt;&gt;"",OR(AND(G79&lt;&gt;"",N(G79)&lt;='설정'!$E$7),AND(H79&lt;&gt;"",N(H79)&lt;='설정'!$E$7))),AND('설정'!$F$7&lt;&gt;"",AND(G79&lt;&gt;"",H79&lt;&gt;""),(N(G79)+N(H79))&lt;='설정'!$F$7))),'설정'!$B$7,IF(IF(COUNT('설정'!$C$8:$F$8)=0,AND(G79&lt;&gt;"",H79&lt;&gt;""),OR(AND('설정'!$C$8&lt;&gt;"",G79&lt;&gt;"",N(G79)&gt;='설정'!$C$8),AND('설정'!$D$8&lt;&gt;"",AND(G79&lt;&gt;"",H79&lt;&gt;""),(N(G79)+N(H79))&gt;='설정'!$D$8),AND('설정'!$E$8&lt;&gt;"",OR(AND(G79&lt;&gt;"",N(G79)&lt;='설정'!$E$8),AND(H79&lt;&gt;"",N(H79)&lt;='설정'!$E$8))),AND('설정'!$F$8&lt;&gt;"",AND(G79&lt;&gt;"",H79&lt;&gt;""),(N(G79)+N(H79))&lt;='설정'!$F$8))),'설정'!$B$8,'설정'!$B$9))))</f>
        <v/>
      </c>
      <c r="L79" s="29">
        <f>IF(OR(G79="",H79=""),"",IF(SUMPRODUCT(ISNUMBER('설정'!$C$6:$C$8)*(ABS(G79-'설정'!$C$6:$C$8)&lt;='설정'!$C$15))+SUMPRODUCT(ISNUMBER('설정'!$D$6:$D$8)*(ABS((G79+H79)-'설정'!$D$6:$D$8)&lt;='설정'!$C$15))+SUMPRODUCT(ISNUMBER('설정'!$F$6:$F$8)*(ABS((G79+H79)-'설정'!$F$6:$F$8)&lt;='설정'!$C$15))+SUMPRODUCT(ISNUMBER('설정'!$E$6:$E$8)*(ABS(G79-'설정'!$E$6:$E$8)&lt;='설정'!$C$15))+SUMPRODUCT(ISNUMBER('설정'!$E$6:$E$8)*(ABS(H79-'설정'!$E$6:$E$8)&lt;='설정'!$C$15))&gt;0,"경계",""))</f>
        <v/>
      </c>
      <c r="M79" s="7" t="n"/>
      <c r="N79" s="7" t="n"/>
      <c r="O79" s="27">
        <f>IF(M79&lt;&gt;"",M79,K79)</f>
        <v/>
      </c>
      <c r="P79" s="30">
        <f>IF(I79="","",IF(G79="","공수1 미응시",IF(H79="","공수2 미응시","")))</f>
        <v/>
      </c>
      <c r="Q79" s="10">
        <f>IF(J79="","",J79+ROW()/100000)</f>
        <v/>
      </c>
    </row>
    <row r="80">
      <c r="A80" s="5" t="n">
        <v>74</v>
      </c>
      <c r="B80" s="10">
        <f>IF('학생명단'!B80="","",'학생명단'!B80)</f>
        <v/>
      </c>
      <c r="C80" s="10">
        <f>IF('학생명단'!C80="","",'학생명단'!C80)</f>
        <v/>
      </c>
      <c r="D80" s="10">
        <f>IF('학생명단'!D80="","",'학생명단'!D80)</f>
        <v/>
      </c>
      <c r="E80" s="10">
        <f>IF('학생명단'!E80="","",'학생명단'!E80)</f>
        <v/>
      </c>
      <c r="F80" s="11">
        <f>IF('학생명단'!F80="","",'학생명단'!F80)</f>
        <v/>
      </c>
      <c r="G80" s="10">
        <f>'공수1'!Y80</f>
        <v/>
      </c>
      <c r="H80" s="10">
        <f>'공수2'!Y80</f>
        <v/>
      </c>
      <c r="I80" s="28">
        <f>IF(AND(G80="",H80=""),"",N(G80)*'설정'!$C$13+N(H80)*'설정'!$C$14)</f>
        <v/>
      </c>
      <c r="J80" s="10">
        <f>IF(I80="","",COUNTIF($I$7:$I$156,"&gt;"&amp;I80)+1)</f>
        <v/>
      </c>
      <c r="K80" s="27">
        <f>IF(I80="","",IF(IF(COUNT('설정'!$C$6:$F$6)=0,AND(G80&lt;&gt;"",H80&lt;&gt;""),OR(AND('설정'!$C$6&lt;&gt;"",G80&lt;&gt;"",N(G80)&gt;='설정'!$C$6),AND('설정'!$D$6&lt;&gt;"",AND(G80&lt;&gt;"",H80&lt;&gt;""),(N(G80)+N(H80))&gt;='설정'!$D$6),AND('설정'!$E$6&lt;&gt;"",OR(AND(G80&lt;&gt;"",N(G80)&lt;='설정'!$E$6),AND(H80&lt;&gt;"",N(H80)&lt;='설정'!$E$6))),AND('설정'!$F$6&lt;&gt;"",AND(G80&lt;&gt;"",H80&lt;&gt;""),(N(G80)+N(H80))&lt;='설정'!$F$6))),'설정'!$B$6,IF(IF(COUNT('설정'!$C$7:$F$7)=0,AND(G80&lt;&gt;"",H80&lt;&gt;""),OR(AND('설정'!$C$7&lt;&gt;"",G80&lt;&gt;"",N(G80)&gt;='설정'!$C$7),AND('설정'!$D$7&lt;&gt;"",AND(G80&lt;&gt;"",H80&lt;&gt;""),(N(G80)+N(H80))&gt;='설정'!$D$7),AND('설정'!$E$7&lt;&gt;"",OR(AND(G80&lt;&gt;"",N(G80)&lt;='설정'!$E$7),AND(H80&lt;&gt;"",N(H80)&lt;='설정'!$E$7))),AND('설정'!$F$7&lt;&gt;"",AND(G80&lt;&gt;"",H80&lt;&gt;""),(N(G80)+N(H80))&lt;='설정'!$F$7))),'설정'!$B$7,IF(IF(COUNT('설정'!$C$8:$F$8)=0,AND(G80&lt;&gt;"",H80&lt;&gt;""),OR(AND('설정'!$C$8&lt;&gt;"",G80&lt;&gt;"",N(G80)&gt;='설정'!$C$8),AND('설정'!$D$8&lt;&gt;"",AND(G80&lt;&gt;"",H80&lt;&gt;""),(N(G80)+N(H80))&gt;='설정'!$D$8),AND('설정'!$E$8&lt;&gt;"",OR(AND(G80&lt;&gt;"",N(G80)&lt;='설정'!$E$8),AND(H80&lt;&gt;"",N(H80)&lt;='설정'!$E$8))),AND('설정'!$F$8&lt;&gt;"",AND(G80&lt;&gt;"",H80&lt;&gt;""),(N(G80)+N(H80))&lt;='설정'!$F$8))),'설정'!$B$8,'설정'!$B$9))))</f>
        <v/>
      </c>
      <c r="L80" s="29">
        <f>IF(OR(G80="",H80=""),"",IF(SUMPRODUCT(ISNUMBER('설정'!$C$6:$C$8)*(ABS(G80-'설정'!$C$6:$C$8)&lt;='설정'!$C$15))+SUMPRODUCT(ISNUMBER('설정'!$D$6:$D$8)*(ABS((G80+H80)-'설정'!$D$6:$D$8)&lt;='설정'!$C$15))+SUMPRODUCT(ISNUMBER('설정'!$F$6:$F$8)*(ABS((G80+H80)-'설정'!$F$6:$F$8)&lt;='설정'!$C$15))+SUMPRODUCT(ISNUMBER('설정'!$E$6:$E$8)*(ABS(G80-'설정'!$E$6:$E$8)&lt;='설정'!$C$15))+SUMPRODUCT(ISNUMBER('설정'!$E$6:$E$8)*(ABS(H80-'설정'!$E$6:$E$8)&lt;='설정'!$C$15))&gt;0,"경계",""))</f>
        <v/>
      </c>
      <c r="M80" s="7" t="n"/>
      <c r="N80" s="7" t="n"/>
      <c r="O80" s="27">
        <f>IF(M80&lt;&gt;"",M80,K80)</f>
        <v/>
      </c>
      <c r="P80" s="30">
        <f>IF(I80="","",IF(G80="","공수1 미응시",IF(H80="","공수2 미응시","")))</f>
        <v/>
      </c>
      <c r="Q80" s="10">
        <f>IF(J80="","",J80+ROW()/100000)</f>
        <v/>
      </c>
    </row>
    <row r="81">
      <c r="A81" s="5" t="n">
        <v>75</v>
      </c>
      <c r="B81" s="10">
        <f>IF('학생명단'!B81="","",'학생명단'!B81)</f>
        <v/>
      </c>
      <c r="C81" s="10">
        <f>IF('학생명단'!C81="","",'학생명단'!C81)</f>
        <v/>
      </c>
      <c r="D81" s="10">
        <f>IF('학생명단'!D81="","",'학생명단'!D81)</f>
        <v/>
      </c>
      <c r="E81" s="10">
        <f>IF('학생명단'!E81="","",'학생명단'!E81)</f>
        <v/>
      </c>
      <c r="F81" s="11">
        <f>IF('학생명단'!F81="","",'학생명단'!F81)</f>
        <v/>
      </c>
      <c r="G81" s="10">
        <f>'공수1'!Y81</f>
        <v/>
      </c>
      <c r="H81" s="10">
        <f>'공수2'!Y81</f>
        <v/>
      </c>
      <c r="I81" s="28">
        <f>IF(AND(G81="",H81=""),"",N(G81)*'설정'!$C$13+N(H81)*'설정'!$C$14)</f>
        <v/>
      </c>
      <c r="J81" s="10">
        <f>IF(I81="","",COUNTIF($I$7:$I$156,"&gt;"&amp;I81)+1)</f>
        <v/>
      </c>
      <c r="K81" s="27">
        <f>IF(I81="","",IF(IF(COUNT('설정'!$C$6:$F$6)=0,AND(G81&lt;&gt;"",H81&lt;&gt;""),OR(AND('설정'!$C$6&lt;&gt;"",G81&lt;&gt;"",N(G81)&gt;='설정'!$C$6),AND('설정'!$D$6&lt;&gt;"",AND(G81&lt;&gt;"",H81&lt;&gt;""),(N(G81)+N(H81))&gt;='설정'!$D$6),AND('설정'!$E$6&lt;&gt;"",OR(AND(G81&lt;&gt;"",N(G81)&lt;='설정'!$E$6),AND(H81&lt;&gt;"",N(H81)&lt;='설정'!$E$6))),AND('설정'!$F$6&lt;&gt;"",AND(G81&lt;&gt;"",H81&lt;&gt;""),(N(G81)+N(H81))&lt;='설정'!$F$6))),'설정'!$B$6,IF(IF(COUNT('설정'!$C$7:$F$7)=0,AND(G81&lt;&gt;"",H81&lt;&gt;""),OR(AND('설정'!$C$7&lt;&gt;"",G81&lt;&gt;"",N(G81)&gt;='설정'!$C$7),AND('설정'!$D$7&lt;&gt;"",AND(G81&lt;&gt;"",H81&lt;&gt;""),(N(G81)+N(H81))&gt;='설정'!$D$7),AND('설정'!$E$7&lt;&gt;"",OR(AND(G81&lt;&gt;"",N(G81)&lt;='설정'!$E$7),AND(H81&lt;&gt;"",N(H81)&lt;='설정'!$E$7))),AND('설정'!$F$7&lt;&gt;"",AND(G81&lt;&gt;"",H81&lt;&gt;""),(N(G81)+N(H81))&lt;='설정'!$F$7))),'설정'!$B$7,IF(IF(COUNT('설정'!$C$8:$F$8)=0,AND(G81&lt;&gt;"",H81&lt;&gt;""),OR(AND('설정'!$C$8&lt;&gt;"",G81&lt;&gt;"",N(G81)&gt;='설정'!$C$8),AND('설정'!$D$8&lt;&gt;"",AND(G81&lt;&gt;"",H81&lt;&gt;""),(N(G81)+N(H81))&gt;='설정'!$D$8),AND('설정'!$E$8&lt;&gt;"",OR(AND(G81&lt;&gt;"",N(G81)&lt;='설정'!$E$8),AND(H81&lt;&gt;"",N(H81)&lt;='설정'!$E$8))),AND('설정'!$F$8&lt;&gt;"",AND(G81&lt;&gt;"",H81&lt;&gt;""),(N(G81)+N(H81))&lt;='설정'!$F$8))),'설정'!$B$8,'설정'!$B$9))))</f>
        <v/>
      </c>
      <c r="L81" s="29">
        <f>IF(OR(G81="",H81=""),"",IF(SUMPRODUCT(ISNUMBER('설정'!$C$6:$C$8)*(ABS(G81-'설정'!$C$6:$C$8)&lt;='설정'!$C$15))+SUMPRODUCT(ISNUMBER('설정'!$D$6:$D$8)*(ABS((G81+H81)-'설정'!$D$6:$D$8)&lt;='설정'!$C$15))+SUMPRODUCT(ISNUMBER('설정'!$F$6:$F$8)*(ABS((G81+H81)-'설정'!$F$6:$F$8)&lt;='설정'!$C$15))+SUMPRODUCT(ISNUMBER('설정'!$E$6:$E$8)*(ABS(G81-'설정'!$E$6:$E$8)&lt;='설정'!$C$15))+SUMPRODUCT(ISNUMBER('설정'!$E$6:$E$8)*(ABS(H81-'설정'!$E$6:$E$8)&lt;='설정'!$C$15))&gt;0,"경계",""))</f>
        <v/>
      </c>
      <c r="M81" s="7" t="n"/>
      <c r="N81" s="7" t="n"/>
      <c r="O81" s="27">
        <f>IF(M81&lt;&gt;"",M81,K81)</f>
        <v/>
      </c>
      <c r="P81" s="30">
        <f>IF(I81="","",IF(G81="","공수1 미응시",IF(H81="","공수2 미응시","")))</f>
        <v/>
      </c>
      <c r="Q81" s="10">
        <f>IF(J81="","",J81+ROW()/100000)</f>
        <v/>
      </c>
    </row>
    <row r="82">
      <c r="A82" s="5" t="n">
        <v>76</v>
      </c>
      <c r="B82" s="10">
        <f>IF('학생명단'!B82="","",'학생명단'!B82)</f>
        <v/>
      </c>
      <c r="C82" s="10">
        <f>IF('학생명단'!C82="","",'학생명단'!C82)</f>
        <v/>
      </c>
      <c r="D82" s="10">
        <f>IF('학생명단'!D82="","",'학생명단'!D82)</f>
        <v/>
      </c>
      <c r="E82" s="10">
        <f>IF('학생명단'!E82="","",'학생명단'!E82)</f>
        <v/>
      </c>
      <c r="F82" s="11">
        <f>IF('학생명단'!F82="","",'학생명단'!F82)</f>
        <v/>
      </c>
      <c r="G82" s="10">
        <f>'공수1'!Y82</f>
        <v/>
      </c>
      <c r="H82" s="10">
        <f>'공수2'!Y82</f>
        <v/>
      </c>
      <c r="I82" s="28">
        <f>IF(AND(G82="",H82=""),"",N(G82)*'설정'!$C$13+N(H82)*'설정'!$C$14)</f>
        <v/>
      </c>
      <c r="J82" s="10">
        <f>IF(I82="","",COUNTIF($I$7:$I$156,"&gt;"&amp;I82)+1)</f>
        <v/>
      </c>
      <c r="K82" s="27">
        <f>IF(I82="","",IF(IF(COUNT('설정'!$C$6:$F$6)=0,AND(G82&lt;&gt;"",H82&lt;&gt;""),OR(AND('설정'!$C$6&lt;&gt;"",G82&lt;&gt;"",N(G82)&gt;='설정'!$C$6),AND('설정'!$D$6&lt;&gt;"",AND(G82&lt;&gt;"",H82&lt;&gt;""),(N(G82)+N(H82))&gt;='설정'!$D$6),AND('설정'!$E$6&lt;&gt;"",OR(AND(G82&lt;&gt;"",N(G82)&lt;='설정'!$E$6),AND(H82&lt;&gt;"",N(H82)&lt;='설정'!$E$6))),AND('설정'!$F$6&lt;&gt;"",AND(G82&lt;&gt;"",H82&lt;&gt;""),(N(G82)+N(H82))&lt;='설정'!$F$6))),'설정'!$B$6,IF(IF(COUNT('설정'!$C$7:$F$7)=0,AND(G82&lt;&gt;"",H82&lt;&gt;""),OR(AND('설정'!$C$7&lt;&gt;"",G82&lt;&gt;"",N(G82)&gt;='설정'!$C$7),AND('설정'!$D$7&lt;&gt;"",AND(G82&lt;&gt;"",H82&lt;&gt;""),(N(G82)+N(H82))&gt;='설정'!$D$7),AND('설정'!$E$7&lt;&gt;"",OR(AND(G82&lt;&gt;"",N(G82)&lt;='설정'!$E$7),AND(H82&lt;&gt;"",N(H82)&lt;='설정'!$E$7))),AND('설정'!$F$7&lt;&gt;"",AND(G82&lt;&gt;"",H82&lt;&gt;""),(N(G82)+N(H82))&lt;='설정'!$F$7))),'설정'!$B$7,IF(IF(COUNT('설정'!$C$8:$F$8)=0,AND(G82&lt;&gt;"",H82&lt;&gt;""),OR(AND('설정'!$C$8&lt;&gt;"",G82&lt;&gt;"",N(G82)&gt;='설정'!$C$8),AND('설정'!$D$8&lt;&gt;"",AND(G82&lt;&gt;"",H82&lt;&gt;""),(N(G82)+N(H82))&gt;='설정'!$D$8),AND('설정'!$E$8&lt;&gt;"",OR(AND(G82&lt;&gt;"",N(G82)&lt;='설정'!$E$8),AND(H82&lt;&gt;"",N(H82)&lt;='설정'!$E$8))),AND('설정'!$F$8&lt;&gt;"",AND(G82&lt;&gt;"",H82&lt;&gt;""),(N(G82)+N(H82))&lt;='설정'!$F$8))),'설정'!$B$8,'설정'!$B$9))))</f>
        <v/>
      </c>
      <c r="L82" s="29">
        <f>IF(OR(G82="",H82=""),"",IF(SUMPRODUCT(ISNUMBER('설정'!$C$6:$C$8)*(ABS(G82-'설정'!$C$6:$C$8)&lt;='설정'!$C$15))+SUMPRODUCT(ISNUMBER('설정'!$D$6:$D$8)*(ABS((G82+H82)-'설정'!$D$6:$D$8)&lt;='설정'!$C$15))+SUMPRODUCT(ISNUMBER('설정'!$F$6:$F$8)*(ABS((G82+H82)-'설정'!$F$6:$F$8)&lt;='설정'!$C$15))+SUMPRODUCT(ISNUMBER('설정'!$E$6:$E$8)*(ABS(G82-'설정'!$E$6:$E$8)&lt;='설정'!$C$15))+SUMPRODUCT(ISNUMBER('설정'!$E$6:$E$8)*(ABS(H82-'설정'!$E$6:$E$8)&lt;='설정'!$C$15))&gt;0,"경계",""))</f>
        <v/>
      </c>
      <c r="M82" s="7" t="n"/>
      <c r="N82" s="7" t="n"/>
      <c r="O82" s="27">
        <f>IF(M82&lt;&gt;"",M82,K82)</f>
        <v/>
      </c>
      <c r="P82" s="30">
        <f>IF(I82="","",IF(G82="","공수1 미응시",IF(H82="","공수2 미응시","")))</f>
        <v/>
      </c>
      <c r="Q82" s="10">
        <f>IF(J82="","",J82+ROW()/100000)</f>
        <v/>
      </c>
    </row>
    <row r="83">
      <c r="A83" s="5" t="n">
        <v>77</v>
      </c>
      <c r="B83" s="10">
        <f>IF('학생명단'!B83="","",'학생명단'!B83)</f>
        <v/>
      </c>
      <c r="C83" s="10">
        <f>IF('학생명단'!C83="","",'학생명단'!C83)</f>
        <v/>
      </c>
      <c r="D83" s="10">
        <f>IF('학생명단'!D83="","",'학생명단'!D83)</f>
        <v/>
      </c>
      <c r="E83" s="10">
        <f>IF('학생명단'!E83="","",'학생명단'!E83)</f>
        <v/>
      </c>
      <c r="F83" s="11">
        <f>IF('학생명단'!F83="","",'학생명단'!F83)</f>
        <v/>
      </c>
      <c r="G83" s="10">
        <f>'공수1'!Y83</f>
        <v/>
      </c>
      <c r="H83" s="10">
        <f>'공수2'!Y83</f>
        <v/>
      </c>
      <c r="I83" s="28">
        <f>IF(AND(G83="",H83=""),"",N(G83)*'설정'!$C$13+N(H83)*'설정'!$C$14)</f>
        <v/>
      </c>
      <c r="J83" s="10">
        <f>IF(I83="","",COUNTIF($I$7:$I$156,"&gt;"&amp;I83)+1)</f>
        <v/>
      </c>
      <c r="K83" s="27">
        <f>IF(I83="","",IF(IF(COUNT('설정'!$C$6:$F$6)=0,AND(G83&lt;&gt;"",H83&lt;&gt;""),OR(AND('설정'!$C$6&lt;&gt;"",G83&lt;&gt;"",N(G83)&gt;='설정'!$C$6),AND('설정'!$D$6&lt;&gt;"",AND(G83&lt;&gt;"",H83&lt;&gt;""),(N(G83)+N(H83))&gt;='설정'!$D$6),AND('설정'!$E$6&lt;&gt;"",OR(AND(G83&lt;&gt;"",N(G83)&lt;='설정'!$E$6),AND(H83&lt;&gt;"",N(H83)&lt;='설정'!$E$6))),AND('설정'!$F$6&lt;&gt;"",AND(G83&lt;&gt;"",H83&lt;&gt;""),(N(G83)+N(H83))&lt;='설정'!$F$6))),'설정'!$B$6,IF(IF(COUNT('설정'!$C$7:$F$7)=0,AND(G83&lt;&gt;"",H83&lt;&gt;""),OR(AND('설정'!$C$7&lt;&gt;"",G83&lt;&gt;"",N(G83)&gt;='설정'!$C$7),AND('설정'!$D$7&lt;&gt;"",AND(G83&lt;&gt;"",H83&lt;&gt;""),(N(G83)+N(H83))&gt;='설정'!$D$7),AND('설정'!$E$7&lt;&gt;"",OR(AND(G83&lt;&gt;"",N(G83)&lt;='설정'!$E$7),AND(H83&lt;&gt;"",N(H83)&lt;='설정'!$E$7))),AND('설정'!$F$7&lt;&gt;"",AND(G83&lt;&gt;"",H83&lt;&gt;""),(N(G83)+N(H83))&lt;='설정'!$F$7))),'설정'!$B$7,IF(IF(COUNT('설정'!$C$8:$F$8)=0,AND(G83&lt;&gt;"",H83&lt;&gt;""),OR(AND('설정'!$C$8&lt;&gt;"",G83&lt;&gt;"",N(G83)&gt;='설정'!$C$8),AND('설정'!$D$8&lt;&gt;"",AND(G83&lt;&gt;"",H83&lt;&gt;""),(N(G83)+N(H83))&gt;='설정'!$D$8),AND('설정'!$E$8&lt;&gt;"",OR(AND(G83&lt;&gt;"",N(G83)&lt;='설정'!$E$8),AND(H83&lt;&gt;"",N(H83)&lt;='설정'!$E$8))),AND('설정'!$F$8&lt;&gt;"",AND(G83&lt;&gt;"",H83&lt;&gt;""),(N(G83)+N(H83))&lt;='설정'!$F$8))),'설정'!$B$8,'설정'!$B$9))))</f>
        <v/>
      </c>
      <c r="L83" s="29">
        <f>IF(OR(G83="",H83=""),"",IF(SUMPRODUCT(ISNUMBER('설정'!$C$6:$C$8)*(ABS(G83-'설정'!$C$6:$C$8)&lt;='설정'!$C$15))+SUMPRODUCT(ISNUMBER('설정'!$D$6:$D$8)*(ABS((G83+H83)-'설정'!$D$6:$D$8)&lt;='설정'!$C$15))+SUMPRODUCT(ISNUMBER('설정'!$F$6:$F$8)*(ABS((G83+H83)-'설정'!$F$6:$F$8)&lt;='설정'!$C$15))+SUMPRODUCT(ISNUMBER('설정'!$E$6:$E$8)*(ABS(G83-'설정'!$E$6:$E$8)&lt;='설정'!$C$15))+SUMPRODUCT(ISNUMBER('설정'!$E$6:$E$8)*(ABS(H83-'설정'!$E$6:$E$8)&lt;='설정'!$C$15))&gt;0,"경계",""))</f>
        <v/>
      </c>
      <c r="M83" s="7" t="n"/>
      <c r="N83" s="7" t="n"/>
      <c r="O83" s="27">
        <f>IF(M83&lt;&gt;"",M83,K83)</f>
        <v/>
      </c>
      <c r="P83" s="30">
        <f>IF(I83="","",IF(G83="","공수1 미응시",IF(H83="","공수2 미응시","")))</f>
        <v/>
      </c>
      <c r="Q83" s="10">
        <f>IF(J83="","",J83+ROW()/100000)</f>
        <v/>
      </c>
    </row>
    <row r="84">
      <c r="A84" s="5" t="n">
        <v>78</v>
      </c>
      <c r="B84" s="10">
        <f>IF('학생명단'!B84="","",'학생명단'!B84)</f>
        <v/>
      </c>
      <c r="C84" s="10">
        <f>IF('학생명단'!C84="","",'학생명단'!C84)</f>
        <v/>
      </c>
      <c r="D84" s="10">
        <f>IF('학생명단'!D84="","",'학생명단'!D84)</f>
        <v/>
      </c>
      <c r="E84" s="10">
        <f>IF('학생명단'!E84="","",'학생명단'!E84)</f>
        <v/>
      </c>
      <c r="F84" s="11">
        <f>IF('학생명단'!F84="","",'학생명단'!F84)</f>
        <v/>
      </c>
      <c r="G84" s="10">
        <f>'공수1'!Y84</f>
        <v/>
      </c>
      <c r="H84" s="10">
        <f>'공수2'!Y84</f>
        <v/>
      </c>
      <c r="I84" s="28">
        <f>IF(AND(G84="",H84=""),"",N(G84)*'설정'!$C$13+N(H84)*'설정'!$C$14)</f>
        <v/>
      </c>
      <c r="J84" s="10">
        <f>IF(I84="","",COUNTIF($I$7:$I$156,"&gt;"&amp;I84)+1)</f>
        <v/>
      </c>
      <c r="K84" s="27">
        <f>IF(I84="","",IF(IF(COUNT('설정'!$C$6:$F$6)=0,AND(G84&lt;&gt;"",H84&lt;&gt;""),OR(AND('설정'!$C$6&lt;&gt;"",G84&lt;&gt;"",N(G84)&gt;='설정'!$C$6),AND('설정'!$D$6&lt;&gt;"",AND(G84&lt;&gt;"",H84&lt;&gt;""),(N(G84)+N(H84))&gt;='설정'!$D$6),AND('설정'!$E$6&lt;&gt;"",OR(AND(G84&lt;&gt;"",N(G84)&lt;='설정'!$E$6),AND(H84&lt;&gt;"",N(H84)&lt;='설정'!$E$6))),AND('설정'!$F$6&lt;&gt;"",AND(G84&lt;&gt;"",H84&lt;&gt;""),(N(G84)+N(H84))&lt;='설정'!$F$6))),'설정'!$B$6,IF(IF(COUNT('설정'!$C$7:$F$7)=0,AND(G84&lt;&gt;"",H84&lt;&gt;""),OR(AND('설정'!$C$7&lt;&gt;"",G84&lt;&gt;"",N(G84)&gt;='설정'!$C$7),AND('설정'!$D$7&lt;&gt;"",AND(G84&lt;&gt;"",H84&lt;&gt;""),(N(G84)+N(H84))&gt;='설정'!$D$7),AND('설정'!$E$7&lt;&gt;"",OR(AND(G84&lt;&gt;"",N(G84)&lt;='설정'!$E$7),AND(H84&lt;&gt;"",N(H84)&lt;='설정'!$E$7))),AND('설정'!$F$7&lt;&gt;"",AND(G84&lt;&gt;"",H84&lt;&gt;""),(N(G84)+N(H84))&lt;='설정'!$F$7))),'설정'!$B$7,IF(IF(COUNT('설정'!$C$8:$F$8)=0,AND(G84&lt;&gt;"",H84&lt;&gt;""),OR(AND('설정'!$C$8&lt;&gt;"",G84&lt;&gt;"",N(G84)&gt;='설정'!$C$8),AND('설정'!$D$8&lt;&gt;"",AND(G84&lt;&gt;"",H84&lt;&gt;""),(N(G84)+N(H84))&gt;='설정'!$D$8),AND('설정'!$E$8&lt;&gt;"",OR(AND(G84&lt;&gt;"",N(G84)&lt;='설정'!$E$8),AND(H84&lt;&gt;"",N(H84)&lt;='설정'!$E$8))),AND('설정'!$F$8&lt;&gt;"",AND(G84&lt;&gt;"",H84&lt;&gt;""),(N(G84)+N(H84))&lt;='설정'!$F$8))),'설정'!$B$8,'설정'!$B$9))))</f>
        <v/>
      </c>
      <c r="L84" s="29">
        <f>IF(OR(G84="",H84=""),"",IF(SUMPRODUCT(ISNUMBER('설정'!$C$6:$C$8)*(ABS(G84-'설정'!$C$6:$C$8)&lt;='설정'!$C$15))+SUMPRODUCT(ISNUMBER('설정'!$D$6:$D$8)*(ABS((G84+H84)-'설정'!$D$6:$D$8)&lt;='설정'!$C$15))+SUMPRODUCT(ISNUMBER('설정'!$F$6:$F$8)*(ABS((G84+H84)-'설정'!$F$6:$F$8)&lt;='설정'!$C$15))+SUMPRODUCT(ISNUMBER('설정'!$E$6:$E$8)*(ABS(G84-'설정'!$E$6:$E$8)&lt;='설정'!$C$15))+SUMPRODUCT(ISNUMBER('설정'!$E$6:$E$8)*(ABS(H84-'설정'!$E$6:$E$8)&lt;='설정'!$C$15))&gt;0,"경계",""))</f>
        <v/>
      </c>
      <c r="M84" s="7" t="n"/>
      <c r="N84" s="7" t="n"/>
      <c r="O84" s="27">
        <f>IF(M84&lt;&gt;"",M84,K84)</f>
        <v/>
      </c>
      <c r="P84" s="30">
        <f>IF(I84="","",IF(G84="","공수1 미응시",IF(H84="","공수2 미응시","")))</f>
        <v/>
      </c>
      <c r="Q84" s="10">
        <f>IF(J84="","",J84+ROW()/100000)</f>
        <v/>
      </c>
    </row>
    <row r="85">
      <c r="A85" s="5" t="n">
        <v>79</v>
      </c>
      <c r="B85" s="10">
        <f>IF('학생명단'!B85="","",'학생명단'!B85)</f>
        <v/>
      </c>
      <c r="C85" s="10">
        <f>IF('학생명단'!C85="","",'학생명단'!C85)</f>
        <v/>
      </c>
      <c r="D85" s="10">
        <f>IF('학생명단'!D85="","",'학생명단'!D85)</f>
        <v/>
      </c>
      <c r="E85" s="10">
        <f>IF('학생명단'!E85="","",'학생명단'!E85)</f>
        <v/>
      </c>
      <c r="F85" s="11">
        <f>IF('학생명단'!F85="","",'학생명단'!F85)</f>
        <v/>
      </c>
      <c r="G85" s="10">
        <f>'공수1'!Y85</f>
        <v/>
      </c>
      <c r="H85" s="10">
        <f>'공수2'!Y85</f>
        <v/>
      </c>
      <c r="I85" s="28">
        <f>IF(AND(G85="",H85=""),"",N(G85)*'설정'!$C$13+N(H85)*'설정'!$C$14)</f>
        <v/>
      </c>
      <c r="J85" s="10">
        <f>IF(I85="","",COUNTIF($I$7:$I$156,"&gt;"&amp;I85)+1)</f>
        <v/>
      </c>
      <c r="K85" s="27">
        <f>IF(I85="","",IF(IF(COUNT('설정'!$C$6:$F$6)=0,AND(G85&lt;&gt;"",H85&lt;&gt;""),OR(AND('설정'!$C$6&lt;&gt;"",G85&lt;&gt;"",N(G85)&gt;='설정'!$C$6),AND('설정'!$D$6&lt;&gt;"",AND(G85&lt;&gt;"",H85&lt;&gt;""),(N(G85)+N(H85))&gt;='설정'!$D$6),AND('설정'!$E$6&lt;&gt;"",OR(AND(G85&lt;&gt;"",N(G85)&lt;='설정'!$E$6),AND(H85&lt;&gt;"",N(H85)&lt;='설정'!$E$6))),AND('설정'!$F$6&lt;&gt;"",AND(G85&lt;&gt;"",H85&lt;&gt;""),(N(G85)+N(H85))&lt;='설정'!$F$6))),'설정'!$B$6,IF(IF(COUNT('설정'!$C$7:$F$7)=0,AND(G85&lt;&gt;"",H85&lt;&gt;""),OR(AND('설정'!$C$7&lt;&gt;"",G85&lt;&gt;"",N(G85)&gt;='설정'!$C$7),AND('설정'!$D$7&lt;&gt;"",AND(G85&lt;&gt;"",H85&lt;&gt;""),(N(G85)+N(H85))&gt;='설정'!$D$7),AND('설정'!$E$7&lt;&gt;"",OR(AND(G85&lt;&gt;"",N(G85)&lt;='설정'!$E$7),AND(H85&lt;&gt;"",N(H85)&lt;='설정'!$E$7))),AND('설정'!$F$7&lt;&gt;"",AND(G85&lt;&gt;"",H85&lt;&gt;""),(N(G85)+N(H85))&lt;='설정'!$F$7))),'설정'!$B$7,IF(IF(COUNT('설정'!$C$8:$F$8)=0,AND(G85&lt;&gt;"",H85&lt;&gt;""),OR(AND('설정'!$C$8&lt;&gt;"",G85&lt;&gt;"",N(G85)&gt;='설정'!$C$8),AND('설정'!$D$8&lt;&gt;"",AND(G85&lt;&gt;"",H85&lt;&gt;""),(N(G85)+N(H85))&gt;='설정'!$D$8),AND('설정'!$E$8&lt;&gt;"",OR(AND(G85&lt;&gt;"",N(G85)&lt;='설정'!$E$8),AND(H85&lt;&gt;"",N(H85)&lt;='설정'!$E$8))),AND('설정'!$F$8&lt;&gt;"",AND(G85&lt;&gt;"",H85&lt;&gt;""),(N(G85)+N(H85))&lt;='설정'!$F$8))),'설정'!$B$8,'설정'!$B$9))))</f>
        <v/>
      </c>
      <c r="L85" s="29">
        <f>IF(OR(G85="",H85=""),"",IF(SUMPRODUCT(ISNUMBER('설정'!$C$6:$C$8)*(ABS(G85-'설정'!$C$6:$C$8)&lt;='설정'!$C$15))+SUMPRODUCT(ISNUMBER('설정'!$D$6:$D$8)*(ABS((G85+H85)-'설정'!$D$6:$D$8)&lt;='설정'!$C$15))+SUMPRODUCT(ISNUMBER('설정'!$F$6:$F$8)*(ABS((G85+H85)-'설정'!$F$6:$F$8)&lt;='설정'!$C$15))+SUMPRODUCT(ISNUMBER('설정'!$E$6:$E$8)*(ABS(G85-'설정'!$E$6:$E$8)&lt;='설정'!$C$15))+SUMPRODUCT(ISNUMBER('설정'!$E$6:$E$8)*(ABS(H85-'설정'!$E$6:$E$8)&lt;='설정'!$C$15))&gt;0,"경계",""))</f>
        <v/>
      </c>
      <c r="M85" s="7" t="n"/>
      <c r="N85" s="7" t="n"/>
      <c r="O85" s="27">
        <f>IF(M85&lt;&gt;"",M85,K85)</f>
        <v/>
      </c>
      <c r="P85" s="30">
        <f>IF(I85="","",IF(G85="","공수1 미응시",IF(H85="","공수2 미응시","")))</f>
        <v/>
      </c>
      <c r="Q85" s="10">
        <f>IF(J85="","",J85+ROW()/100000)</f>
        <v/>
      </c>
    </row>
    <row r="86">
      <c r="A86" s="5" t="n">
        <v>80</v>
      </c>
      <c r="B86" s="10">
        <f>IF('학생명단'!B86="","",'학생명단'!B86)</f>
        <v/>
      </c>
      <c r="C86" s="10">
        <f>IF('학생명단'!C86="","",'학생명단'!C86)</f>
        <v/>
      </c>
      <c r="D86" s="10">
        <f>IF('학생명단'!D86="","",'학생명단'!D86)</f>
        <v/>
      </c>
      <c r="E86" s="10">
        <f>IF('학생명단'!E86="","",'학생명단'!E86)</f>
        <v/>
      </c>
      <c r="F86" s="11">
        <f>IF('학생명단'!F86="","",'학생명단'!F86)</f>
        <v/>
      </c>
      <c r="G86" s="10">
        <f>'공수1'!Y86</f>
        <v/>
      </c>
      <c r="H86" s="10">
        <f>'공수2'!Y86</f>
        <v/>
      </c>
      <c r="I86" s="28">
        <f>IF(AND(G86="",H86=""),"",N(G86)*'설정'!$C$13+N(H86)*'설정'!$C$14)</f>
        <v/>
      </c>
      <c r="J86" s="10">
        <f>IF(I86="","",COUNTIF($I$7:$I$156,"&gt;"&amp;I86)+1)</f>
        <v/>
      </c>
      <c r="K86" s="27">
        <f>IF(I86="","",IF(IF(COUNT('설정'!$C$6:$F$6)=0,AND(G86&lt;&gt;"",H86&lt;&gt;""),OR(AND('설정'!$C$6&lt;&gt;"",G86&lt;&gt;"",N(G86)&gt;='설정'!$C$6),AND('설정'!$D$6&lt;&gt;"",AND(G86&lt;&gt;"",H86&lt;&gt;""),(N(G86)+N(H86))&gt;='설정'!$D$6),AND('설정'!$E$6&lt;&gt;"",OR(AND(G86&lt;&gt;"",N(G86)&lt;='설정'!$E$6),AND(H86&lt;&gt;"",N(H86)&lt;='설정'!$E$6))),AND('설정'!$F$6&lt;&gt;"",AND(G86&lt;&gt;"",H86&lt;&gt;""),(N(G86)+N(H86))&lt;='설정'!$F$6))),'설정'!$B$6,IF(IF(COUNT('설정'!$C$7:$F$7)=0,AND(G86&lt;&gt;"",H86&lt;&gt;""),OR(AND('설정'!$C$7&lt;&gt;"",G86&lt;&gt;"",N(G86)&gt;='설정'!$C$7),AND('설정'!$D$7&lt;&gt;"",AND(G86&lt;&gt;"",H86&lt;&gt;""),(N(G86)+N(H86))&gt;='설정'!$D$7),AND('설정'!$E$7&lt;&gt;"",OR(AND(G86&lt;&gt;"",N(G86)&lt;='설정'!$E$7),AND(H86&lt;&gt;"",N(H86)&lt;='설정'!$E$7))),AND('설정'!$F$7&lt;&gt;"",AND(G86&lt;&gt;"",H86&lt;&gt;""),(N(G86)+N(H86))&lt;='설정'!$F$7))),'설정'!$B$7,IF(IF(COUNT('설정'!$C$8:$F$8)=0,AND(G86&lt;&gt;"",H86&lt;&gt;""),OR(AND('설정'!$C$8&lt;&gt;"",G86&lt;&gt;"",N(G86)&gt;='설정'!$C$8),AND('설정'!$D$8&lt;&gt;"",AND(G86&lt;&gt;"",H86&lt;&gt;""),(N(G86)+N(H86))&gt;='설정'!$D$8),AND('설정'!$E$8&lt;&gt;"",OR(AND(G86&lt;&gt;"",N(G86)&lt;='설정'!$E$8),AND(H86&lt;&gt;"",N(H86)&lt;='설정'!$E$8))),AND('설정'!$F$8&lt;&gt;"",AND(G86&lt;&gt;"",H86&lt;&gt;""),(N(G86)+N(H86))&lt;='설정'!$F$8))),'설정'!$B$8,'설정'!$B$9))))</f>
        <v/>
      </c>
      <c r="L86" s="29">
        <f>IF(OR(G86="",H86=""),"",IF(SUMPRODUCT(ISNUMBER('설정'!$C$6:$C$8)*(ABS(G86-'설정'!$C$6:$C$8)&lt;='설정'!$C$15))+SUMPRODUCT(ISNUMBER('설정'!$D$6:$D$8)*(ABS((G86+H86)-'설정'!$D$6:$D$8)&lt;='설정'!$C$15))+SUMPRODUCT(ISNUMBER('설정'!$F$6:$F$8)*(ABS((G86+H86)-'설정'!$F$6:$F$8)&lt;='설정'!$C$15))+SUMPRODUCT(ISNUMBER('설정'!$E$6:$E$8)*(ABS(G86-'설정'!$E$6:$E$8)&lt;='설정'!$C$15))+SUMPRODUCT(ISNUMBER('설정'!$E$6:$E$8)*(ABS(H86-'설정'!$E$6:$E$8)&lt;='설정'!$C$15))&gt;0,"경계",""))</f>
        <v/>
      </c>
      <c r="M86" s="7" t="n"/>
      <c r="N86" s="7" t="n"/>
      <c r="O86" s="27">
        <f>IF(M86&lt;&gt;"",M86,K86)</f>
        <v/>
      </c>
      <c r="P86" s="30">
        <f>IF(I86="","",IF(G86="","공수1 미응시",IF(H86="","공수2 미응시","")))</f>
        <v/>
      </c>
      <c r="Q86" s="10">
        <f>IF(J86="","",J86+ROW()/100000)</f>
        <v/>
      </c>
    </row>
    <row r="87">
      <c r="A87" s="5" t="n">
        <v>81</v>
      </c>
      <c r="B87" s="10">
        <f>IF('학생명단'!B87="","",'학생명단'!B87)</f>
        <v/>
      </c>
      <c r="C87" s="10">
        <f>IF('학생명단'!C87="","",'학생명단'!C87)</f>
        <v/>
      </c>
      <c r="D87" s="10">
        <f>IF('학생명단'!D87="","",'학생명단'!D87)</f>
        <v/>
      </c>
      <c r="E87" s="10">
        <f>IF('학생명단'!E87="","",'학생명단'!E87)</f>
        <v/>
      </c>
      <c r="F87" s="11">
        <f>IF('학생명단'!F87="","",'학생명단'!F87)</f>
        <v/>
      </c>
      <c r="G87" s="10">
        <f>'공수1'!Y87</f>
        <v/>
      </c>
      <c r="H87" s="10">
        <f>'공수2'!Y87</f>
        <v/>
      </c>
      <c r="I87" s="28">
        <f>IF(AND(G87="",H87=""),"",N(G87)*'설정'!$C$13+N(H87)*'설정'!$C$14)</f>
        <v/>
      </c>
      <c r="J87" s="10">
        <f>IF(I87="","",COUNTIF($I$7:$I$156,"&gt;"&amp;I87)+1)</f>
        <v/>
      </c>
      <c r="K87" s="27">
        <f>IF(I87="","",IF(IF(COUNT('설정'!$C$6:$F$6)=0,AND(G87&lt;&gt;"",H87&lt;&gt;""),OR(AND('설정'!$C$6&lt;&gt;"",G87&lt;&gt;"",N(G87)&gt;='설정'!$C$6),AND('설정'!$D$6&lt;&gt;"",AND(G87&lt;&gt;"",H87&lt;&gt;""),(N(G87)+N(H87))&gt;='설정'!$D$6),AND('설정'!$E$6&lt;&gt;"",OR(AND(G87&lt;&gt;"",N(G87)&lt;='설정'!$E$6),AND(H87&lt;&gt;"",N(H87)&lt;='설정'!$E$6))),AND('설정'!$F$6&lt;&gt;"",AND(G87&lt;&gt;"",H87&lt;&gt;""),(N(G87)+N(H87))&lt;='설정'!$F$6))),'설정'!$B$6,IF(IF(COUNT('설정'!$C$7:$F$7)=0,AND(G87&lt;&gt;"",H87&lt;&gt;""),OR(AND('설정'!$C$7&lt;&gt;"",G87&lt;&gt;"",N(G87)&gt;='설정'!$C$7),AND('설정'!$D$7&lt;&gt;"",AND(G87&lt;&gt;"",H87&lt;&gt;""),(N(G87)+N(H87))&gt;='설정'!$D$7),AND('설정'!$E$7&lt;&gt;"",OR(AND(G87&lt;&gt;"",N(G87)&lt;='설정'!$E$7),AND(H87&lt;&gt;"",N(H87)&lt;='설정'!$E$7))),AND('설정'!$F$7&lt;&gt;"",AND(G87&lt;&gt;"",H87&lt;&gt;""),(N(G87)+N(H87))&lt;='설정'!$F$7))),'설정'!$B$7,IF(IF(COUNT('설정'!$C$8:$F$8)=0,AND(G87&lt;&gt;"",H87&lt;&gt;""),OR(AND('설정'!$C$8&lt;&gt;"",G87&lt;&gt;"",N(G87)&gt;='설정'!$C$8),AND('설정'!$D$8&lt;&gt;"",AND(G87&lt;&gt;"",H87&lt;&gt;""),(N(G87)+N(H87))&gt;='설정'!$D$8),AND('설정'!$E$8&lt;&gt;"",OR(AND(G87&lt;&gt;"",N(G87)&lt;='설정'!$E$8),AND(H87&lt;&gt;"",N(H87)&lt;='설정'!$E$8))),AND('설정'!$F$8&lt;&gt;"",AND(G87&lt;&gt;"",H87&lt;&gt;""),(N(G87)+N(H87))&lt;='설정'!$F$8))),'설정'!$B$8,'설정'!$B$9))))</f>
        <v/>
      </c>
      <c r="L87" s="29">
        <f>IF(OR(G87="",H87=""),"",IF(SUMPRODUCT(ISNUMBER('설정'!$C$6:$C$8)*(ABS(G87-'설정'!$C$6:$C$8)&lt;='설정'!$C$15))+SUMPRODUCT(ISNUMBER('설정'!$D$6:$D$8)*(ABS((G87+H87)-'설정'!$D$6:$D$8)&lt;='설정'!$C$15))+SUMPRODUCT(ISNUMBER('설정'!$F$6:$F$8)*(ABS((G87+H87)-'설정'!$F$6:$F$8)&lt;='설정'!$C$15))+SUMPRODUCT(ISNUMBER('설정'!$E$6:$E$8)*(ABS(G87-'설정'!$E$6:$E$8)&lt;='설정'!$C$15))+SUMPRODUCT(ISNUMBER('설정'!$E$6:$E$8)*(ABS(H87-'설정'!$E$6:$E$8)&lt;='설정'!$C$15))&gt;0,"경계",""))</f>
        <v/>
      </c>
      <c r="M87" s="7" t="n"/>
      <c r="N87" s="7" t="n"/>
      <c r="O87" s="27">
        <f>IF(M87&lt;&gt;"",M87,K87)</f>
        <v/>
      </c>
      <c r="P87" s="30">
        <f>IF(I87="","",IF(G87="","공수1 미응시",IF(H87="","공수2 미응시","")))</f>
        <v/>
      </c>
      <c r="Q87" s="10">
        <f>IF(J87="","",J87+ROW()/100000)</f>
        <v/>
      </c>
    </row>
    <row r="88">
      <c r="A88" s="5" t="n">
        <v>82</v>
      </c>
      <c r="B88" s="10">
        <f>IF('학생명단'!B88="","",'학생명단'!B88)</f>
        <v/>
      </c>
      <c r="C88" s="10">
        <f>IF('학생명단'!C88="","",'학생명단'!C88)</f>
        <v/>
      </c>
      <c r="D88" s="10">
        <f>IF('학생명단'!D88="","",'학생명단'!D88)</f>
        <v/>
      </c>
      <c r="E88" s="10">
        <f>IF('학생명단'!E88="","",'학생명단'!E88)</f>
        <v/>
      </c>
      <c r="F88" s="11">
        <f>IF('학생명단'!F88="","",'학생명단'!F88)</f>
        <v/>
      </c>
      <c r="G88" s="10">
        <f>'공수1'!Y88</f>
        <v/>
      </c>
      <c r="H88" s="10">
        <f>'공수2'!Y88</f>
        <v/>
      </c>
      <c r="I88" s="28">
        <f>IF(AND(G88="",H88=""),"",N(G88)*'설정'!$C$13+N(H88)*'설정'!$C$14)</f>
        <v/>
      </c>
      <c r="J88" s="10">
        <f>IF(I88="","",COUNTIF($I$7:$I$156,"&gt;"&amp;I88)+1)</f>
        <v/>
      </c>
      <c r="K88" s="27">
        <f>IF(I88="","",IF(IF(COUNT('설정'!$C$6:$F$6)=0,AND(G88&lt;&gt;"",H88&lt;&gt;""),OR(AND('설정'!$C$6&lt;&gt;"",G88&lt;&gt;"",N(G88)&gt;='설정'!$C$6),AND('설정'!$D$6&lt;&gt;"",AND(G88&lt;&gt;"",H88&lt;&gt;""),(N(G88)+N(H88))&gt;='설정'!$D$6),AND('설정'!$E$6&lt;&gt;"",OR(AND(G88&lt;&gt;"",N(G88)&lt;='설정'!$E$6),AND(H88&lt;&gt;"",N(H88)&lt;='설정'!$E$6))),AND('설정'!$F$6&lt;&gt;"",AND(G88&lt;&gt;"",H88&lt;&gt;""),(N(G88)+N(H88))&lt;='설정'!$F$6))),'설정'!$B$6,IF(IF(COUNT('설정'!$C$7:$F$7)=0,AND(G88&lt;&gt;"",H88&lt;&gt;""),OR(AND('설정'!$C$7&lt;&gt;"",G88&lt;&gt;"",N(G88)&gt;='설정'!$C$7),AND('설정'!$D$7&lt;&gt;"",AND(G88&lt;&gt;"",H88&lt;&gt;""),(N(G88)+N(H88))&gt;='설정'!$D$7),AND('설정'!$E$7&lt;&gt;"",OR(AND(G88&lt;&gt;"",N(G88)&lt;='설정'!$E$7),AND(H88&lt;&gt;"",N(H88)&lt;='설정'!$E$7))),AND('설정'!$F$7&lt;&gt;"",AND(G88&lt;&gt;"",H88&lt;&gt;""),(N(G88)+N(H88))&lt;='설정'!$F$7))),'설정'!$B$7,IF(IF(COUNT('설정'!$C$8:$F$8)=0,AND(G88&lt;&gt;"",H88&lt;&gt;""),OR(AND('설정'!$C$8&lt;&gt;"",G88&lt;&gt;"",N(G88)&gt;='설정'!$C$8),AND('설정'!$D$8&lt;&gt;"",AND(G88&lt;&gt;"",H88&lt;&gt;""),(N(G88)+N(H88))&gt;='설정'!$D$8),AND('설정'!$E$8&lt;&gt;"",OR(AND(G88&lt;&gt;"",N(G88)&lt;='설정'!$E$8),AND(H88&lt;&gt;"",N(H88)&lt;='설정'!$E$8))),AND('설정'!$F$8&lt;&gt;"",AND(G88&lt;&gt;"",H88&lt;&gt;""),(N(G88)+N(H88))&lt;='설정'!$F$8))),'설정'!$B$8,'설정'!$B$9))))</f>
        <v/>
      </c>
      <c r="L88" s="29">
        <f>IF(OR(G88="",H88=""),"",IF(SUMPRODUCT(ISNUMBER('설정'!$C$6:$C$8)*(ABS(G88-'설정'!$C$6:$C$8)&lt;='설정'!$C$15))+SUMPRODUCT(ISNUMBER('설정'!$D$6:$D$8)*(ABS((G88+H88)-'설정'!$D$6:$D$8)&lt;='설정'!$C$15))+SUMPRODUCT(ISNUMBER('설정'!$F$6:$F$8)*(ABS((G88+H88)-'설정'!$F$6:$F$8)&lt;='설정'!$C$15))+SUMPRODUCT(ISNUMBER('설정'!$E$6:$E$8)*(ABS(G88-'설정'!$E$6:$E$8)&lt;='설정'!$C$15))+SUMPRODUCT(ISNUMBER('설정'!$E$6:$E$8)*(ABS(H88-'설정'!$E$6:$E$8)&lt;='설정'!$C$15))&gt;0,"경계",""))</f>
        <v/>
      </c>
      <c r="M88" s="7" t="n"/>
      <c r="N88" s="7" t="n"/>
      <c r="O88" s="27">
        <f>IF(M88&lt;&gt;"",M88,K88)</f>
        <v/>
      </c>
      <c r="P88" s="30">
        <f>IF(I88="","",IF(G88="","공수1 미응시",IF(H88="","공수2 미응시","")))</f>
        <v/>
      </c>
      <c r="Q88" s="10">
        <f>IF(J88="","",J88+ROW()/100000)</f>
        <v/>
      </c>
    </row>
    <row r="89">
      <c r="A89" s="5" t="n">
        <v>83</v>
      </c>
      <c r="B89" s="10">
        <f>IF('학생명단'!B89="","",'학생명단'!B89)</f>
        <v/>
      </c>
      <c r="C89" s="10">
        <f>IF('학생명단'!C89="","",'학생명단'!C89)</f>
        <v/>
      </c>
      <c r="D89" s="10">
        <f>IF('학생명단'!D89="","",'학생명단'!D89)</f>
        <v/>
      </c>
      <c r="E89" s="10">
        <f>IF('학생명단'!E89="","",'학생명단'!E89)</f>
        <v/>
      </c>
      <c r="F89" s="11">
        <f>IF('학생명단'!F89="","",'학생명단'!F89)</f>
        <v/>
      </c>
      <c r="G89" s="10">
        <f>'공수1'!Y89</f>
        <v/>
      </c>
      <c r="H89" s="10">
        <f>'공수2'!Y89</f>
        <v/>
      </c>
      <c r="I89" s="28">
        <f>IF(AND(G89="",H89=""),"",N(G89)*'설정'!$C$13+N(H89)*'설정'!$C$14)</f>
        <v/>
      </c>
      <c r="J89" s="10">
        <f>IF(I89="","",COUNTIF($I$7:$I$156,"&gt;"&amp;I89)+1)</f>
        <v/>
      </c>
      <c r="K89" s="27">
        <f>IF(I89="","",IF(IF(COUNT('설정'!$C$6:$F$6)=0,AND(G89&lt;&gt;"",H89&lt;&gt;""),OR(AND('설정'!$C$6&lt;&gt;"",G89&lt;&gt;"",N(G89)&gt;='설정'!$C$6),AND('설정'!$D$6&lt;&gt;"",AND(G89&lt;&gt;"",H89&lt;&gt;""),(N(G89)+N(H89))&gt;='설정'!$D$6),AND('설정'!$E$6&lt;&gt;"",OR(AND(G89&lt;&gt;"",N(G89)&lt;='설정'!$E$6),AND(H89&lt;&gt;"",N(H89)&lt;='설정'!$E$6))),AND('설정'!$F$6&lt;&gt;"",AND(G89&lt;&gt;"",H89&lt;&gt;""),(N(G89)+N(H89))&lt;='설정'!$F$6))),'설정'!$B$6,IF(IF(COUNT('설정'!$C$7:$F$7)=0,AND(G89&lt;&gt;"",H89&lt;&gt;""),OR(AND('설정'!$C$7&lt;&gt;"",G89&lt;&gt;"",N(G89)&gt;='설정'!$C$7),AND('설정'!$D$7&lt;&gt;"",AND(G89&lt;&gt;"",H89&lt;&gt;""),(N(G89)+N(H89))&gt;='설정'!$D$7),AND('설정'!$E$7&lt;&gt;"",OR(AND(G89&lt;&gt;"",N(G89)&lt;='설정'!$E$7),AND(H89&lt;&gt;"",N(H89)&lt;='설정'!$E$7))),AND('설정'!$F$7&lt;&gt;"",AND(G89&lt;&gt;"",H89&lt;&gt;""),(N(G89)+N(H89))&lt;='설정'!$F$7))),'설정'!$B$7,IF(IF(COUNT('설정'!$C$8:$F$8)=0,AND(G89&lt;&gt;"",H89&lt;&gt;""),OR(AND('설정'!$C$8&lt;&gt;"",G89&lt;&gt;"",N(G89)&gt;='설정'!$C$8),AND('설정'!$D$8&lt;&gt;"",AND(G89&lt;&gt;"",H89&lt;&gt;""),(N(G89)+N(H89))&gt;='설정'!$D$8),AND('설정'!$E$8&lt;&gt;"",OR(AND(G89&lt;&gt;"",N(G89)&lt;='설정'!$E$8),AND(H89&lt;&gt;"",N(H89)&lt;='설정'!$E$8))),AND('설정'!$F$8&lt;&gt;"",AND(G89&lt;&gt;"",H89&lt;&gt;""),(N(G89)+N(H89))&lt;='설정'!$F$8))),'설정'!$B$8,'설정'!$B$9))))</f>
        <v/>
      </c>
      <c r="L89" s="29">
        <f>IF(OR(G89="",H89=""),"",IF(SUMPRODUCT(ISNUMBER('설정'!$C$6:$C$8)*(ABS(G89-'설정'!$C$6:$C$8)&lt;='설정'!$C$15))+SUMPRODUCT(ISNUMBER('설정'!$D$6:$D$8)*(ABS((G89+H89)-'설정'!$D$6:$D$8)&lt;='설정'!$C$15))+SUMPRODUCT(ISNUMBER('설정'!$F$6:$F$8)*(ABS((G89+H89)-'설정'!$F$6:$F$8)&lt;='설정'!$C$15))+SUMPRODUCT(ISNUMBER('설정'!$E$6:$E$8)*(ABS(G89-'설정'!$E$6:$E$8)&lt;='설정'!$C$15))+SUMPRODUCT(ISNUMBER('설정'!$E$6:$E$8)*(ABS(H89-'설정'!$E$6:$E$8)&lt;='설정'!$C$15))&gt;0,"경계",""))</f>
        <v/>
      </c>
      <c r="M89" s="7" t="n"/>
      <c r="N89" s="7" t="n"/>
      <c r="O89" s="27">
        <f>IF(M89&lt;&gt;"",M89,K89)</f>
        <v/>
      </c>
      <c r="P89" s="30">
        <f>IF(I89="","",IF(G89="","공수1 미응시",IF(H89="","공수2 미응시","")))</f>
        <v/>
      </c>
      <c r="Q89" s="10">
        <f>IF(J89="","",J89+ROW()/100000)</f>
        <v/>
      </c>
    </row>
    <row r="90">
      <c r="A90" s="5" t="n">
        <v>84</v>
      </c>
      <c r="B90" s="10">
        <f>IF('학생명단'!B90="","",'학생명단'!B90)</f>
        <v/>
      </c>
      <c r="C90" s="10">
        <f>IF('학생명단'!C90="","",'학생명단'!C90)</f>
        <v/>
      </c>
      <c r="D90" s="10">
        <f>IF('학생명단'!D90="","",'학생명단'!D90)</f>
        <v/>
      </c>
      <c r="E90" s="10">
        <f>IF('학생명단'!E90="","",'학생명단'!E90)</f>
        <v/>
      </c>
      <c r="F90" s="11">
        <f>IF('학생명단'!F90="","",'학생명단'!F90)</f>
        <v/>
      </c>
      <c r="G90" s="10">
        <f>'공수1'!Y90</f>
        <v/>
      </c>
      <c r="H90" s="10">
        <f>'공수2'!Y90</f>
        <v/>
      </c>
      <c r="I90" s="28">
        <f>IF(AND(G90="",H90=""),"",N(G90)*'설정'!$C$13+N(H90)*'설정'!$C$14)</f>
        <v/>
      </c>
      <c r="J90" s="10">
        <f>IF(I90="","",COUNTIF($I$7:$I$156,"&gt;"&amp;I90)+1)</f>
        <v/>
      </c>
      <c r="K90" s="27">
        <f>IF(I90="","",IF(IF(COUNT('설정'!$C$6:$F$6)=0,AND(G90&lt;&gt;"",H90&lt;&gt;""),OR(AND('설정'!$C$6&lt;&gt;"",G90&lt;&gt;"",N(G90)&gt;='설정'!$C$6),AND('설정'!$D$6&lt;&gt;"",AND(G90&lt;&gt;"",H90&lt;&gt;""),(N(G90)+N(H90))&gt;='설정'!$D$6),AND('설정'!$E$6&lt;&gt;"",OR(AND(G90&lt;&gt;"",N(G90)&lt;='설정'!$E$6),AND(H90&lt;&gt;"",N(H90)&lt;='설정'!$E$6))),AND('설정'!$F$6&lt;&gt;"",AND(G90&lt;&gt;"",H90&lt;&gt;""),(N(G90)+N(H90))&lt;='설정'!$F$6))),'설정'!$B$6,IF(IF(COUNT('설정'!$C$7:$F$7)=0,AND(G90&lt;&gt;"",H90&lt;&gt;""),OR(AND('설정'!$C$7&lt;&gt;"",G90&lt;&gt;"",N(G90)&gt;='설정'!$C$7),AND('설정'!$D$7&lt;&gt;"",AND(G90&lt;&gt;"",H90&lt;&gt;""),(N(G90)+N(H90))&gt;='설정'!$D$7),AND('설정'!$E$7&lt;&gt;"",OR(AND(G90&lt;&gt;"",N(G90)&lt;='설정'!$E$7),AND(H90&lt;&gt;"",N(H90)&lt;='설정'!$E$7))),AND('설정'!$F$7&lt;&gt;"",AND(G90&lt;&gt;"",H90&lt;&gt;""),(N(G90)+N(H90))&lt;='설정'!$F$7))),'설정'!$B$7,IF(IF(COUNT('설정'!$C$8:$F$8)=0,AND(G90&lt;&gt;"",H90&lt;&gt;""),OR(AND('설정'!$C$8&lt;&gt;"",G90&lt;&gt;"",N(G90)&gt;='설정'!$C$8),AND('설정'!$D$8&lt;&gt;"",AND(G90&lt;&gt;"",H90&lt;&gt;""),(N(G90)+N(H90))&gt;='설정'!$D$8),AND('설정'!$E$8&lt;&gt;"",OR(AND(G90&lt;&gt;"",N(G90)&lt;='설정'!$E$8),AND(H90&lt;&gt;"",N(H90)&lt;='설정'!$E$8))),AND('설정'!$F$8&lt;&gt;"",AND(G90&lt;&gt;"",H90&lt;&gt;""),(N(G90)+N(H90))&lt;='설정'!$F$8))),'설정'!$B$8,'설정'!$B$9))))</f>
        <v/>
      </c>
      <c r="L90" s="29">
        <f>IF(OR(G90="",H90=""),"",IF(SUMPRODUCT(ISNUMBER('설정'!$C$6:$C$8)*(ABS(G90-'설정'!$C$6:$C$8)&lt;='설정'!$C$15))+SUMPRODUCT(ISNUMBER('설정'!$D$6:$D$8)*(ABS((G90+H90)-'설정'!$D$6:$D$8)&lt;='설정'!$C$15))+SUMPRODUCT(ISNUMBER('설정'!$F$6:$F$8)*(ABS((G90+H90)-'설정'!$F$6:$F$8)&lt;='설정'!$C$15))+SUMPRODUCT(ISNUMBER('설정'!$E$6:$E$8)*(ABS(G90-'설정'!$E$6:$E$8)&lt;='설정'!$C$15))+SUMPRODUCT(ISNUMBER('설정'!$E$6:$E$8)*(ABS(H90-'설정'!$E$6:$E$8)&lt;='설정'!$C$15))&gt;0,"경계",""))</f>
        <v/>
      </c>
      <c r="M90" s="7" t="n"/>
      <c r="N90" s="7" t="n"/>
      <c r="O90" s="27">
        <f>IF(M90&lt;&gt;"",M90,K90)</f>
        <v/>
      </c>
      <c r="P90" s="30">
        <f>IF(I90="","",IF(G90="","공수1 미응시",IF(H90="","공수2 미응시","")))</f>
        <v/>
      </c>
      <c r="Q90" s="10">
        <f>IF(J90="","",J90+ROW()/100000)</f>
        <v/>
      </c>
    </row>
    <row r="91">
      <c r="A91" s="5" t="n">
        <v>85</v>
      </c>
      <c r="B91" s="10">
        <f>IF('학생명단'!B91="","",'학생명단'!B91)</f>
        <v/>
      </c>
      <c r="C91" s="10">
        <f>IF('학생명단'!C91="","",'학생명단'!C91)</f>
        <v/>
      </c>
      <c r="D91" s="10">
        <f>IF('학생명단'!D91="","",'학생명단'!D91)</f>
        <v/>
      </c>
      <c r="E91" s="10">
        <f>IF('학생명단'!E91="","",'학생명단'!E91)</f>
        <v/>
      </c>
      <c r="F91" s="11">
        <f>IF('학생명단'!F91="","",'학생명단'!F91)</f>
        <v/>
      </c>
      <c r="G91" s="10">
        <f>'공수1'!Y91</f>
        <v/>
      </c>
      <c r="H91" s="10">
        <f>'공수2'!Y91</f>
        <v/>
      </c>
      <c r="I91" s="28">
        <f>IF(AND(G91="",H91=""),"",N(G91)*'설정'!$C$13+N(H91)*'설정'!$C$14)</f>
        <v/>
      </c>
      <c r="J91" s="10">
        <f>IF(I91="","",COUNTIF($I$7:$I$156,"&gt;"&amp;I91)+1)</f>
        <v/>
      </c>
      <c r="K91" s="27">
        <f>IF(I91="","",IF(IF(COUNT('설정'!$C$6:$F$6)=0,AND(G91&lt;&gt;"",H91&lt;&gt;""),OR(AND('설정'!$C$6&lt;&gt;"",G91&lt;&gt;"",N(G91)&gt;='설정'!$C$6),AND('설정'!$D$6&lt;&gt;"",AND(G91&lt;&gt;"",H91&lt;&gt;""),(N(G91)+N(H91))&gt;='설정'!$D$6),AND('설정'!$E$6&lt;&gt;"",OR(AND(G91&lt;&gt;"",N(G91)&lt;='설정'!$E$6),AND(H91&lt;&gt;"",N(H91)&lt;='설정'!$E$6))),AND('설정'!$F$6&lt;&gt;"",AND(G91&lt;&gt;"",H91&lt;&gt;""),(N(G91)+N(H91))&lt;='설정'!$F$6))),'설정'!$B$6,IF(IF(COUNT('설정'!$C$7:$F$7)=0,AND(G91&lt;&gt;"",H91&lt;&gt;""),OR(AND('설정'!$C$7&lt;&gt;"",G91&lt;&gt;"",N(G91)&gt;='설정'!$C$7),AND('설정'!$D$7&lt;&gt;"",AND(G91&lt;&gt;"",H91&lt;&gt;""),(N(G91)+N(H91))&gt;='설정'!$D$7),AND('설정'!$E$7&lt;&gt;"",OR(AND(G91&lt;&gt;"",N(G91)&lt;='설정'!$E$7),AND(H91&lt;&gt;"",N(H91)&lt;='설정'!$E$7))),AND('설정'!$F$7&lt;&gt;"",AND(G91&lt;&gt;"",H91&lt;&gt;""),(N(G91)+N(H91))&lt;='설정'!$F$7))),'설정'!$B$7,IF(IF(COUNT('설정'!$C$8:$F$8)=0,AND(G91&lt;&gt;"",H91&lt;&gt;""),OR(AND('설정'!$C$8&lt;&gt;"",G91&lt;&gt;"",N(G91)&gt;='설정'!$C$8),AND('설정'!$D$8&lt;&gt;"",AND(G91&lt;&gt;"",H91&lt;&gt;""),(N(G91)+N(H91))&gt;='설정'!$D$8),AND('설정'!$E$8&lt;&gt;"",OR(AND(G91&lt;&gt;"",N(G91)&lt;='설정'!$E$8),AND(H91&lt;&gt;"",N(H91)&lt;='설정'!$E$8))),AND('설정'!$F$8&lt;&gt;"",AND(G91&lt;&gt;"",H91&lt;&gt;""),(N(G91)+N(H91))&lt;='설정'!$F$8))),'설정'!$B$8,'설정'!$B$9))))</f>
        <v/>
      </c>
      <c r="L91" s="29">
        <f>IF(OR(G91="",H91=""),"",IF(SUMPRODUCT(ISNUMBER('설정'!$C$6:$C$8)*(ABS(G91-'설정'!$C$6:$C$8)&lt;='설정'!$C$15))+SUMPRODUCT(ISNUMBER('설정'!$D$6:$D$8)*(ABS((G91+H91)-'설정'!$D$6:$D$8)&lt;='설정'!$C$15))+SUMPRODUCT(ISNUMBER('설정'!$F$6:$F$8)*(ABS((G91+H91)-'설정'!$F$6:$F$8)&lt;='설정'!$C$15))+SUMPRODUCT(ISNUMBER('설정'!$E$6:$E$8)*(ABS(G91-'설정'!$E$6:$E$8)&lt;='설정'!$C$15))+SUMPRODUCT(ISNUMBER('설정'!$E$6:$E$8)*(ABS(H91-'설정'!$E$6:$E$8)&lt;='설정'!$C$15))&gt;0,"경계",""))</f>
        <v/>
      </c>
      <c r="M91" s="7" t="n"/>
      <c r="N91" s="7" t="n"/>
      <c r="O91" s="27">
        <f>IF(M91&lt;&gt;"",M91,K91)</f>
        <v/>
      </c>
      <c r="P91" s="30">
        <f>IF(I91="","",IF(G91="","공수1 미응시",IF(H91="","공수2 미응시","")))</f>
        <v/>
      </c>
      <c r="Q91" s="10">
        <f>IF(J91="","",J91+ROW()/100000)</f>
        <v/>
      </c>
    </row>
    <row r="92">
      <c r="A92" s="5" t="n">
        <v>86</v>
      </c>
      <c r="B92" s="10">
        <f>IF('학생명단'!B92="","",'학생명단'!B92)</f>
        <v/>
      </c>
      <c r="C92" s="10">
        <f>IF('학생명단'!C92="","",'학생명단'!C92)</f>
        <v/>
      </c>
      <c r="D92" s="10">
        <f>IF('학생명단'!D92="","",'학생명단'!D92)</f>
        <v/>
      </c>
      <c r="E92" s="10">
        <f>IF('학생명단'!E92="","",'학생명단'!E92)</f>
        <v/>
      </c>
      <c r="F92" s="11">
        <f>IF('학생명단'!F92="","",'학생명단'!F92)</f>
        <v/>
      </c>
      <c r="G92" s="10">
        <f>'공수1'!Y92</f>
        <v/>
      </c>
      <c r="H92" s="10">
        <f>'공수2'!Y92</f>
        <v/>
      </c>
      <c r="I92" s="28">
        <f>IF(AND(G92="",H92=""),"",N(G92)*'설정'!$C$13+N(H92)*'설정'!$C$14)</f>
        <v/>
      </c>
      <c r="J92" s="10">
        <f>IF(I92="","",COUNTIF($I$7:$I$156,"&gt;"&amp;I92)+1)</f>
        <v/>
      </c>
      <c r="K92" s="27">
        <f>IF(I92="","",IF(IF(COUNT('설정'!$C$6:$F$6)=0,AND(G92&lt;&gt;"",H92&lt;&gt;""),OR(AND('설정'!$C$6&lt;&gt;"",G92&lt;&gt;"",N(G92)&gt;='설정'!$C$6),AND('설정'!$D$6&lt;&gt;"",AND(G92&lt;&gt;"",H92&lt;&gt;""),(N(G92)+N(H92))&gt;='설정'!$D$6),AND('설정'!$E$6&lt;&gt;"",OR(AND(G92&lt;&gt;"",N(G92)&lt;='설정'!$E$6),AND(H92&lt;&gt;"",N(H92)&lt;='설정'!$E$6))),AND('설정'!$F$6&lt;&gt;"",AND(G92&lt;&gt;"",H92&lt;&gt;""),(N(G92)+N(H92))&lt;='설정'!$F$6))),'설정'!$B$6,IF(IF(COUNT('설정'!$C$7:$F$7)=0,AND(G92&lt;&gt;"",H92&lt;&gt;""),OR(AND('설정'!$C$7&lt;&gt;"",G92&lt;&gt;"",N(G92)&gt;='설정'!$C$7),AND('설정'!$D$7&lt;&gt;"",AND(G92&lt;&gt;"",H92&lt;&gt;""),(N(G92)+N(H92))&gt;='설정'!$D$7),AND('설정'!$E$7&lt;&gt;"",OR(AND(G92&lt;&gt;"",N(G92)&lt;='설정'!$E$7),AND(H92&lt;&gt;"",N(H92)&lt;='설정'!$E$7))),AND('설정'!$F$7&lt;&gt;"",AND(G92&lt;&gt;"",H92&lt;&gt;""),(N(G92)+N(H92))&lt;='설정'!$F$7))),'설정'!$B$7,IF(IF(COUNT('설정'!$C$8:$F$8)=0,AND(G92&lt;&gt;"",H92&lt;&gt;""),OR(AND('설정'!$C$8&lt;&gt;"",G92&lt;&gt;"",N(G92)&gt;='설정'!$C$8),AND('설정'!$D$8&lt;&gt;"",AND(G92&lt;&gt;"",H92&lt;&gt;""),(N(G92)+N(H92))&gt;='설정'!$D$8),AND('설정'!$E$8&lt;&gt;"",OR(AND(G92&lt;&gt;"",N(G92)&lt;='설정'!$E$8),AND(H92&lt;&gt;"",N(H92)&lt;='설정'!$E$8))),AND('설정'!$F$8&lt;&gt;"",AND(G92&lt;&gt;"",H92&lt;&gt;""),(N(G92)+N(H92))&lt;='설정'!$F$8))),'설정'!$B$8,'설정'!$B$9))))</f>
        <v/>
      </c>
      <c r="L92" s="29">
        <f>IF(OR(G92="",H92=""),"",IF(SUMPRODUCT(ISNUMBER('설정'!$C$6:$C$8)*(ABS(G92-'설정'!$C$6:$C$8)&lt;='설정'!$C$15))+SUMPRODUCT(ISNUMBER('설정'!$D$6:$D$8)*(ABS((G92+H92)-'설정'!$D$6:$D$8)&lt;='설정'!$C$15))+SUMPRODUCT(ISNUMBER('설정'!$F$6:$F$8)*(ABS((G92+H92)-'설정'!$F$6:$F$8)&lt;='설정'!$C$15))+SUMPRODUCT(ISNUMBER('설정'!$E$6:$E$8)*(ABS(G92-'설정'!$E$6:$E$8)&lt;='설정'!$C$15))+SUMPRODUCT(ISNUMBER('설정'!$E$6:$E$8)*(ABS(H92-'설정'!$E$6:$E$8)&lt;='설정'!$C$15))&gt;0,"경계",""))</f>
        <v/>
      </c>
      <c r="M92" s="7" t="n"/>
      <c r="N92" s="7" t="n"/>
      <c r="O92" s="27">
        <f>IF(M92&lt;&gt;"",M92,K92)</f>
        <v/>
      </c>
      <c r="P92" s="30">
        <f>IF(I92="","",IF(G92="","공수1 미응시",IF(H92="","공수2 미응시","")))</f>
        <v/>
      </c>
      <c r="Q92" s="10">
        <f>IF(J92="","",J92+ROW()/100000)</f>
        <v/>
      </c>
    </row>
    <row r="93">
      <c r="A93" s="5" t="n">
        <v>87</v>
      </c>
      <c r="B93" s="10">
        <f>IF('학생명단'!B93="","",'학생명단'!B93)</f>
        <v/>
      </c>
      <c r="C93" s="10">
        <f>IF('학생명단'!C93="","",'학생명단'!C93)</f>
        <v/>
      </c>
      <c r="D93" s="10">
        <f>IF('학생명단'!D93="","",'학생명단'!D93)</f>
        <v/>
      </c>
      <c r="E93" s="10">
        <f>IF('학생명단'!E93="","",'학생명단'!E93)</f>
        <v/>
      </c>
      <c r="F93" s="11">
        <f>IF('학생명단'!F93="","",'학생명단'!F93)</f>
        <v/>
      </c>
      <c r="G93" s="10">
        <f>'공수1'!Y93</f>
        <v/>
      </c>
      <c r="H93" s="10">
        <f>'공수2'!Y93</f>
        <v/>
      </c>
      <c r="I93" s="28">
        <f>IF(AND(G93="",H93=""),"",N(G93)*'설정'!$C$13+N(H93)*'설정'!$C$14)</f>
        <v/>
      </c>
      <c r="J93" s="10">
        <f>IF(I93="","",COUNTIF($I$7:$I$156,"&gt;"&amp;I93)+1)</f>
        <v/>
      </c>
      <c r="K93" s="27">
        <f>IF(I93="","",IF(IF(COUNT('설정'!$C$6:$F$6)=0,AND(G93&lt;&gt;"",H93&lt;&gt;""),OR(AND('설정'!$C$6&lt;&gt;"",G93&lt;&gt;"",N(G93)&gt;='설정'!$C$6),AND('설정'!$D$6&lt;&gt;"",AND(G93&lt;&gt;"",H93&lt;&gt;""),(N(G93)+N(H93))&gt;='설정'!$D$6),AND('설정'!$E$6&lt;&gt;"",OR(AND(G93&lt;&gt;"",N(G93)&lt;='설정'!$E$6),AND(H93&lt;&gt;"",N(H93)&lt;='설정'!$E$6))),AND('설정'!$F$6&lt;&gt;"",AND(G93&lt;&gt;"",H93&lt;&gt;""),(N(G93)+N(H93))&lt;='설정'!$F$6))),'설정'!$B$6,IF(IF(COUNT('설정'!$C$7:$F$7)=0,AND(G93&lt;&gt;"",H93&lt;&gt;""),OR(AND('설정'!$C$7&lt;&gt;"",G93&lt;&gt;"",N(G93)&gt;='설정'!$C$7),AND('설정'!$D$7&lt;&gt;"",AND(G93&lt;&gt;"",H93&lt;&gt;""),(N(G93)+N(H93))&gt;='설정'!$D$7),AND('설정'!$E$7&lt;&gt;"",OR(AND(G93&lt;&gt;"",N(G93)&lt;='설정'!$E$7),AND(H93&lt;&gt;"",N(H93)&lt;='설정'!$E$7))),AND('설정'!$F$7&lt;&gt;"",AND(G93&lt;&gt;"",H93&lt;&gt;""),(N(G93)+N(H93))&lt;='설정'!$F$7))),'설정'!$B$7,IF(IF(COUNT('설정'!$C$8:$F$8)=0,AND(G93&lt;&gt;"",H93&lt;&gt;""),OR(AND('설정'!$C$8&lt;&gt;"",G93&lt;&gt;"",N(G93)&gt;='설정'!$C$8),AND('설정'!$D$8&lt;&gt;"",AND(G93&lt;&gt;"",H93&lt;&gt;""),(N(G93)+N(H93))&gt;='설정'!$D$8),AND('설정'!$E$8&lt;&gt;"",OR(AND(G93&lt;&gt;"",N(G93)&lt;='설정'!$E$8),AND(H93&lt;&gt;"",N(H93)&lt;='설정'!$E$8))),AND('설정'!$F$8&lt;&gt;"",AND(G93&lt;&gt;"",H93&lt;&gt;""),(N(G93)+N(H93))&lt;='설정'!$F$8))),'설정'!$B$8,'설정'!$B$9))))</f>
        <v/>
      </c>
      <c r="L93" s="29">
        <f>IF(OR(G93="",H93=""),"",IF(SUMPRODUCT(ISNUMBER('설정'!$C$6:$C$8)*(ABS(G93-'설정'!$C$6:$C$8)&lt;='설정'!$C$15))+SUMPRODUCT(ISNUMBER('설정'!$D$6:$D$8)*(ABS((G93+H93)-'설정'!$D$6:$D$8)&lt;='설정'!$C$15))+SUMPRODUCT(ISNUMBER('설정'!$F$6:$F$8)*(ABS((G93+H93)-'설정'!$F$6:$F$8)&lt;='설정'!$C$15))+SUMPRODUCT(ISNUMBER('설정'!$E$6:$E$8)*(ABS(G93-'설정'!$E$6:$E$8)&lt;='설정'!$C$15))+SUMPRODUCT(ISNUMBER('설정'!$E$6:$E$8)*(ABS(H93-'설정'!$E$6:$E$8)&lt;='설정'!$C$15))&gt;0,"경계",""))</f>
        <v/>
      </c>
      <c r="M93" s="7" t="n"/>
      <c r="N93" s="7" t="n"/>
      <c r="O93" s="27">
        <f>IF(M93&lt;&gt;"",M93,K93)</f>
        <v/>
      </c>
      <c r="P93" s="30">
        <f>IF(I93="","",IF(G93="","공수1 미응시",IF(H93="","공수2 미응시","")))</f>
        <v/>
      </c>
      <c r="Q93" s="10">
        <f>IF(J93="","",J93+ROW()/100000)</f>
        <v/>
      </c>
    </row>
    <row r="94">
      <c r="A94" s="5" t="n">
        <v>88</v>
      </c>
      <c r="B94" s="10">
        <f>IF('학생명단'!B94="","",'학생명단'!B94)</f>
        <v/>
      </c>
      <c r="C94" s="10">
        <f>IF('학생명단'!C94="","",'학생명단'!C94)</f>
        <v/>
      </c>
      <c r="D94" s="10">
        <f>IF('학생명단'!D94="","",'학생명단'!D94)</f>
        <v/>
      </c>
      <c r="E94" s="10">
        <f>IF('학생명단'!E94="","",'학생명단'!E94)</f>
        <v/>
      </c>
      <c r="F94" s="11">
        <f>IF('학생명단'!F94="","",'학생명단'!F94)</f>
        <v/>
      </c>
      <c r="G94" s="10">
        <f>'공수1'!Y94</f>
        <v/>
      </c>
      <c r="H94" s="10">
        <f>'공수2'!Y94</f>
        <v/>
      </c>
      <c r="I94" s="28">
        <f>IF(AND(G94="",H94=""),"",N(G94)*'설정'!$C$13+N(H94)*'설정'!$C$14)</f>
        <v/>
      </c>
      <c r="J94" s="10">
        <f>IF(I94="","",COUNTIF($I$7:$I$156,"&gt;"&amp;I94)+1)</f>
        <v/>
      </c>
      <c r="K94" s="27">
        <f>IF(I94="","",IF(IF(COUNT('설정'!$C$6:$F$6)=0,AND(G94&lt;&gt;"",H94&lt;&gt;""),OR(AND('설정'!$C$6&lt;&gt;"",G94&lt;&gt;"",N(G94)&gt;='설정'!$C$6),AND('설정'!$D$6&lt;&gt;"",AND(G94&lt;&gt;"",H94&lt;&gt;""),(N(G94)+N(H94))&gt;='설정'!$D$6),AND('설정'!$E$6&lt;&gt;"",OR(AND(G94&lt;&gt;"",N(G94)&lt;='설정'!$E$6),AND(H94&lt;&gt;"",N(H94)&lt;='설정'!$E$6))),AND('설정'!$F$6&lt;&gt;"",AND(G94&lt;&gt;"",H94&lt;&gt;""),(N(G94)+N(H94))&lt;='설정'!$F$6))),'설정'!$B$6,IF(IF(COUNT('설정'!$C$7:$F$7)=0,AND(G94&lt;&gt;"",H94&lt;&gt;""),OR(AND('설정'!$C$7&lt;&gt;"",G94&lt;&gt;"",N(G94)&gt;='설정'!$C$7),AND('설정'!$D$7&lt;&gt;"",AND(G94&lt;&gt;"",H94&lt;&gt;""),(N(G94)+N(H94))&gt;='설정'!$D$7),AND('설정'!$E$7&lt;&gt;"",OR(AND(G94&lt;&gt;"",N(G94)&lt;='설정'!$E$7),AND(H94&lt;&gt;"",N(H94)&lt;='설정'!$E$7))),AND('설정'!$F$7&lt;&gt;"",AND(G94&lt;&gt;"",H94&lt;&gt;""),(N(G94)+N(H94))&lt;='설정'!$F$7))),'설정'!$B$7,IF(IF(COUNT('설정'!$C$8:$F$8)=0,AND(G94&lt;&gt;"",H94&lt;&gt;""),OR(AND('설정'!$C$8&lt;&gt;"",G94&lt;&gt;"",N(G94)&gt;='설정'!$C$8),AND('설정'!$D$8&lt;&gt;"",AND(G94&lt;&gt;"",H94&lt;&gt;""),(N(G94)+N(H94))&gt;='설정'!$D$8),AND('설정'!$E$8&lt;&gt;"",OR(AND(G94&lt;&gt;"",N(G94)&lt;='설정'!$E$8),AND(H94&lt;&gt;"",N(H94)&lt;='설정'!$E$8))),AND('설정'!$F$8&lt;&gt;"",AND(G94&lt;&gt;"",H94&lt;&gt;""),(N(G94)+N(H94))&lt;='설정'!$F$8))),'설정'!$B$8,'설정'!$B$9))))</f>
        <v/>
      </c>
      <c r="L94" s="29">
        <f>IF(OR(G94="",H94=""),"",IF(SUMPRODUCT(ISNUMBER('설정'!$C$6:$C$8)*(ABS(G94-'설정'!$C$6:$C$8)&lt;='설정'!$C$15))+SUMPRODUCT(ISNUMBER('설정'!$D$6:$D$8)*(ABS((G94+H94)-'설정'!$D$6:$D$8)&lt;='설정'!$C$15))+SUMPRODUCT(ISNUMBER('설정'!$F$6:$F$8)*(ABS((G94+H94)-'설정'!$F$6:$F$8)&lt;='설정'!$C$15))+SUMPRODUCT(ISNUMBER('설정'!$E$6:$E$8)*(ABS(G94-'설정'!$E$6:$E$8)&lt;='설정'!$C$15))+SUMPRODUCT(ISNUMBER('설정'!$E$6:$E$8)*(ABS(H94-'설정'!$E$6:$E$8)&lt;='설정'!$C$15))&gt;0,"경계",""))</f>
        <v/>
      </c>
      <c r="M94" s="7" t="n"/>
      <c r="N94" s="7" t="n"/>
      <c r="O94" s="27">
        <f>IF(M94&lt;&gt;"",M94,K94)</f>
        <v/>
      </c>
      <c r="P94" s="30">
        <f>IF(I94="","",IF(G94="","공수1 미응시",IF(H94="","공수2 미응시","")))</f>
        <v/>
      </c>
      <c r="Q94" s="10">
        <f>IF(J94="","",J94+ROW()/100000)</f>
        <v/>
      </c>
    </row>
    <row r="95">
      <c r="A95" s="5" t="n">
        <v>89</v>
      </c>
      <c r="B95" s="10">
        <f>IF('학생명단'!B95="","",'학생명단'!B95)</f>
        <v/>
      </c>
      <c r="C95" s="10">
        <f>IF('학생명단'!C95="","",'학생명단'!C95)</f>
        <v/>
      </c>
      <c r="D95" s="10">
        <f>IF('학생명단'!D95="","",'학생명단'!D95)</f>
        <v/>
      </c>
      <c r="E95" s="10">
        <f>IF('학생명단'!E95="","",'학생명단'!E95)</f>
        <v/>
      </c>
      <c r="F95" s="11">
        <f>IF('학생명단'!F95="","",'학생명단'!F95)</f>
        <v/>
      </c>
      <c r="G95" s="10">
        <f>'공수1'!Y95</f>
        <v/>
      </c>
      <c r="H95" s="10">
        <f>'공수2'!Y95</f>
        <v/>
      </c>
      <c r="I95" s="28">
        <f>IF(AND(G95="",H95=""),"",N(G95)*'설정'!$C$13+N(H95)*'설정'!$C$14)</f>
        <v/>
      </c>
      <c r="J95" s="10">
        <f>IF(I95="","",COUNTIF($I$7:$I$156,"&gt;"&amp;I95)+1)</f>
        <v/>
      </c>
      <c r="K95" s="27">
        <f>IF(I95="","",IF(IF(COUNT('설정'!$C$6:$F$6)=0,AND(G95&lt;&gt;"",H95&lt;&gt;""),OR(AND('설정'!$C$6&lt;&gt;"",G95&lt;&gt;"",N(G95)&gt;='설정'!$C$6),AND('설정'!$D$6&lt;&gt;"",AND(G95&lt;&gt;"",H95&lt;&gt;""),(N(G95)+N(H95))&gt;='설정'!$D$6),AND('설정'!$E$6&lt;&gt;"",OR(AND(G95&lt;&gt;"",N(G95)&lt;='설정'!$E$6),AND(H95&lt;&gt;"",N(H95)&lt;='설정'!$E$6))),AND('설정'!$F$6&lt;&gt;"",AND(G95&lt;&gt;"",H95&lt;&gt;""),(N(G95)+N(H95))&lt;='설정'!$F$6))),'설정'!$B$6,IF(IF(COUNT('설정'!$C$7:$F$7)=0,AND(G95&lt;&gt;"",H95&lt;&gt;""),OR(AND('설정'!$C$7&lt;&gt;"",G95&lt;&gt;"",N(G95)&gt;='설정'!$C$7),AND('설정'!$D$7&lt;&gt;"",AND(G95&lt;&gt;"",H95&lt;&gt;""),(N(G95)+N(H95))&gt;='설정'!$D$7),AND('설정'!$E$7&lt;&gt;"",OR(AND(G95&lt;&gt;"",N(G95)&lt;='설정'!$E$7),AND(H95&lt;&gt;"",N(H95)&lt;='설정'!$E$7))),AND('설정'!$F$7&lt;&gt;"",AND(G95&lt;&gt;"",H95&lt;&gt;""),(N(G95)+N(H95))&lt;='설정'!$F$7))),'설정'!$B$7,IF(IF(COUNT('설정'!$C$8:$F$8)=0,AND(G95&lt;&gt;"",H95&lt;&gt;""),OR(AND('설정'!$C$8&lt;&gt;"",G95&lt;&gt;"",N(G95)&gt;='설정'!$C$8),AND('설정'!$D$8&lt;&gt;"",AND(G95&lt;&gt;"",H95&lt;&gt;""),(N(G95)+N(H95))&gt;='설정'!$D$8),AND('설정'!$E$8&lt;&gt;"",OR(AND(G95&lt;&gt;"",N(G95)&lt;='설정'!$E$8),AND(H95&lt;&gt;"",N(H95)&lt;='설정'!$E$8))),AND('설정'!$F$8&lt;&gt;"",AND(G95&lt;&gt;"",H95&lt;&gt;""),(N(G95)+N(H95))&lt;='설정'!$F$8))),'설정'!$B$8,'설정'!$B$9))))</f>
        <v/>
      </c>
      <c r="L95" s="29">
        <f>IF(OR(G95="",H95=""),"",IF(SUMPRODUCT(ISNUMBER('설정'!$C$6:$C$8)*(ABS(G95-'설정'!$C$6:$C$8)&lt;='설정'!$C$15))+SUMPRODUCT(ISNUMBER('설정'!$D$6:$D$8)*(ABS((G95+H95)-'설정'!$D$6:$D$8)&lt;='설정'!$C$15))+SUMPRODUCT(ISNUMBER('설정'!$F$6:$F$8)*(ABS((G95+H95)-'설정'!$F$6:$F$8)&lt;='설정'!$C$15))+SUMPRODUCT(ISNUMBER('설정'!$E$6:$E$8)*(ABS(G95-'설정'!$E$6:$E$8)&lt;='설정'!$C$15))+SUMPRODUCT(ISNUMBER('설정'!$E$6:$E$8)*(ABS(H95-'설정'!$E$6:$E$8)&lt;='설정'!$C$15))&gt;0,"경계",""))</f>
        <v/>
      </c>
      <c r="M95" s="7" t="n"/>
      <c r="N95" s="7" t="n"/>
      <c r="O95" s="27">
        <f>IF(M95&lt;&gt;"",M95,K95)</f>
        <v/>
      </c>
      <c r="P95" s="30">
        <f>IF(I95="","",IF(G95="","공수1 미응시",IF(H95="","공수2 미응시","")))</f>
        <v/>
      </c>
      <c r="Q95" s="10">
        <f>IF(J95="","",J95+ROW()/100000)</f>
        <v/>
      </c>
    </row>
    <row r="96">
      <c r="A96" s="5" t="n">
        <v>90</v>
      </c>
      <c r="B96" s="10">
        <f>IF('학생명단'!B96="","",'학생명단'!B96)</f>
        <v/>
      </c>
      <c r="C96" s="10">
        <f>IF('학생명단'!C96="","",'학생명단'!C96)</f>
        <v/>
      </c>
      <c r="D96" s="10">
        <f>IF('학생명단'!D96="","",'학생명단'!D96)</f>
        <v/>
      </c>
      <c r="E96" s="10">
        <f>IF('학생명단'!E96="","",'학생명단'!E96)</f>
        <v/>
      </c>
      <c r="F96" s="11">
        <f>IF('학생명단'!F96="","",'학생명단'!F96)</f>
        <v/>
      </c>
      <c r="G96" s="10">
        <f>'공수1'!Y96</f>
        <v/>
      </c>
      <c r="H96" s="10">
        <f>'공수2'!Y96</f>
        <v/>
      </c>
      <c r="I96" s="28">
        <f>IF(AND(G96="",H96=""),"",N(G96)*'설정'!$C$13+N(H96)*'설정'!$C$14)</f>
        <v/>
      </c>
      <c r="J96" s="10">
        <f>IF(I96="","",COUNTIF($I$7:$I$156,"&gt;"&amp;I96)+1)</f>
        <v/>
      </c>
      <c r="K96" s="27">
        <f>IF(I96="","",IF(IF(COUNT('설정'!$C$6:$F$6)=0,AND(G96&lt;&gt;"",H96&lt;&gt;""),OR(AND('설정'!$C$6&lt;&gt;"",G96&lt;&gt;"",N(G96)&gt;='설정'!$C$6),AND('설정'!$D$6&lt;&gt;"",AND(G96&lt;&gt;"",H96&lt;&gt;""),(N(G96)+N(H96))&gt;='설정'!$D$6),AND('설정'!$E$6&lt;&gt;"",OR(AND(G96&lt;&gt;"",N(G96)&lt;='설정'!$E$6),AND(H96&lt;&gt;"",N(H96)&lt;='설정'!$E$6))),AND('설정'!$F$6&lt;&gt;"",AND(G96&lt;&gt;"",H96&lt;&gt;""),(N(G96)+N(H96))&lt;='설정'!$F$6))),'설정'!$B$6,IF(IF(COUNT('설정'!$C$7:$F$7)=0,AND(G96&lt;&gt;"",H96&lt;&gt;""),OR(AND('설정'!$C$7&lt;&gt;"",G96&lt;&gt;"",N(G96)&gt;='설정'!$C$7),AND('설정'!$D$7&lt;&gt;"",AND(G96&lt;&gt;"",H96&lt;&gt;""),(N(G96)+N(H96))&gt;='설정'!$D$7),AND('설정'!$E$7&lt;&gt;"",OR(AND(G96&lt;&gt;"",N(G96)&lt;='설정'!$E$7),AND(H96&lt;&gt;"",N(H96)&lt;='설정'!$E$7))),AND('설정'!$F$7&lt;&gt;"",AND(G96&lt;&gt;"",H96&lt;&gt;""),(N(G96)+N(H96))&lt;='설정'!$F$7))),'설정'!$B$7,IF(IF(COUNT('설정'!$C$8:$F$8)=0,AND(G96&lt;&gt;"",H96&lt;&gt;""),OR(AND('설정'!$C$8&lt;&gt;"",G96&lt;&gt;"",N(G96)&gt;='설정'!$C$8),AND('설정'!$D$8&lt;&gt;"",AND(G96&lt;&gt;"",H96&lt;&gt;""),(N(G96)+N(H96))&gt;='설정'!$D$8),AND('설정'!$E$8&lt;&gt;"",OR(AND(G96&lt;&gt;"",N(G96)&lt;='설정'!$E$8),AND(H96&lt;&gt;"",N(H96)&lt;='설정'!$E$8))),AND('설정'!$F$8&lt;&gt;"",AND(G96&lt;&gt;"",H96&lt;&gt;""),(N(G96)+N(H96))&lt;='설정'!$F$8))),'설정'!$B$8,'설정'!$B$9))))</f>
        <v/>
      </c>
      <c r="L96" s="29">
        <f>IF(OR(G96="",H96=""),"",IF(SUMPRODUCT(ISNUMBER('설정'!$C$6:$C$8)*(ABS(G96-'설정'!$C$6:$C$8)&lt;='설정'!$C$15))+SUMPRODUCT(ISNUMBER('설정'!$D$6:$D$8)*(ABS((G96+H96)-'설정'!$D$6:$D$8)&lt;='설정'!$C$15))+SUMPRODUCT(ISNUMBER('설정'!$F$6:$F$8)*(ABS((G96+H96)-'설정'!$F$6:$F$8)&lt;='설정'!$C$15))+SUMPRODUCT(ISNUMBER('설정'!$E$6:$E$8)*(ABS(G96-'설정'!$E$6:$E$8)&lt;='설정'!$C$15))+SUMPRODUCT(ISNUMBER('설정'!$E$6:$E$8)*(ABS(H96-'설정'!$E$6:$E$8)&lt;='설정'!$C$15))&gt;0,"경계",""))</f>
        <v/>
      </c>
      <c r="M96" s="7" t="n"/>
      <c r="N96" s="7" t="n"/>
      <c r="O96" s="27">
        <f>IF(M96&lt;&gt;"",M96,K96)</f>
        <v/>
      </c>
      <c r="P96" s="30">
        <f>IF(I96="","",IF(G96="","공수1 미응시",IF(H96="","공수2 미응시","")))</f>
        <v/>
      </c>
      <c r="Q96" s="10">
        <f>IF(J96="","",J96+ROW()/100000)</f>
        <v/>
      </c>
    </row>
    <row r="97">
      <c r="A97" s="5" t="n">
        <v>91</v>
      </c>
      <c r="B97" s="10">
        <f>IF('학생명단'!B97="","",'학생명단'!B97)</f>
        <v/>
      </c>
      <c r="C97" s="10">
        <f>IF('학생명단'!C97="","",'학생명단'!C97)</f>
        <v/>
      </c>
      <c r="D97" s="10">
        <f>IF('학생명단'!D97="","",'학생명단'!D97)</f>
        <v/>
      </c>
      <c r="E97" s="10">
        <f>IF('학생명단'!E97="","",'학생명단'!E97)</f>
        <v/>
      </c>
      <c r="F97" s="11">
        <f>IF('학생명단'!F97="","",'학생명단'!F97)</f>
        <v/>
      </c>
      <c r="G97" s="10">
        <f>'공수1'!Y97</f>
        <v/>
      </c>
      <c r="H97" s="10">
        <f>'공수2'!Y97</f>
        <v/>
      </c>
      <c r="I97" s="28">
        <f>IF(AND(G97="",H97=""),"",N(G97)*'설정'!$C$13+N(H97)*'설정'!$C$14)</f>
        <v/>
      </c>
      <c r="J97" s="10">
        <f>IF(I97="","",COUNTIF($I$7:$I$156,"&gt;"&amp;I97)+1)</f>
        <v/>
      </c>
      <c r="K97" s="27">
        <f>IF(I97="","",IF(IF(COUNT('설정'!$C$6:$F$6)=0,AND(G97&lt;&gt;"",H97&lt;&gt;""),OR(AND('설정'!$C$6&lt;&gt;"",G97&lt;&gt;"",N(G97)&gt;='설정'!$C$6),AND('설정'!$D$6&lt;&gt;"",AND(G97&lt;&gt;"",H97&lt;&gt;""),(N(G97)+N(H97))&gt;='설정'!$D$6),AND('설정'!$E$6&lt;&gt;"",OR(AND(G97&lt;&gt;"",N(G97)&lt;='설정'!$E$6),AND(H97&lt;&gt;"",N(H97)&lt;='설정'!$E$6))),AND('설정'!$F$6&lt;&gt;"",AND(G97&lt;&gt;"",H97&lt;&gt;""),(N(G97)+N(H97))&lt;='설정'!$F$6))),'설정'!$B$6,IF(IF(COUNT('설정'!$C$7:$F$7)=0,AND(G97&lt;&gt;"",H97&lt;&gt;""),OR(AND('설정'!$C$7&lt;&gt;"",G97&lt;&gt;"",N(G97)&gt;='설정'!$C$7),AND('설정'!$D$7&lt;&gt;"",AND(G97&lt;&gt;"",H97&lt;&gt;""),(N(G97)+N(H97))&gt;='설정'!$D$7),AND('설정'!$E$7&lt;&gt;"",OR(AND(G97&lt;&gt;"",N(G97)&lt;='설정'!$E$7),AND(H97&lt;&gt;"",N(H97)&lt;='설정'!$E$7))),AND('설정'!$F$7&lt;&gt;"",AND(G97&lt;&gt;"",H97&lt;&gt;""),(N(G97)+N(H97))&lt;='설정'!$F$7))),'설정'!$B$7,IF(IF(COUNT('설정'!$C$8:$F$8)=0,AND(G97&lt;&gt;"",H97&lt;&gt;""),OR(AND('설정'!$C$8&lt;&gt;"",G97&lt;&gt;"",N(G97)&gt;='설정'!$C$8),AND('설정'!$D$8&lt;&gt;"",AND(G97&lt;&gt;"",H97&lt;&gt;""),(N(G97)+N(H97))&gt;='설정'!$D$8),AND('설정'!$E$8&lt;&gt;"",OR(AND(G97&lt;&gt;"",N(G97)&lt;='설정'!$E$8),AND(H97&lt;&gt;"",N(H97)&lt;='설정'!$E$8))),AND('설정'!$F$8&lt;&gt;"",AND(G97&lt;&gt;"",H97&lt;&gt;""),(N(G97)+N(H97))&lt;='설정'!$F$8))),'설정'!$B$8,'설정'!$B$9))))</f>
        <v/>
      </c>
      <c r="L97" s="29">
        <f>IF(OR(G97="",H97=""),"",IF(SUMPRODUCT(ISNUMBER('설정'!$C$6:$C$8)*(ABS(G97-'설정'!$C$6:$C$8)&lt;='설정'!$C$15))+SUMPRODUCT(ISNUMBER('설정'!$D$6:$D$8)*(ABS((G97+H97)-'설정'!$D$6:$D$8)&lt;='설정'!$C$15))+SUMPRODUCT(ISNUMBER('설정'!$F$6:$F$8)*(ABS((G97+H97)-'설정'!$F$6:$F$8)&lt;='설정'!$C$15))+SUMPRODUCT(ISNUMBER('설정'!$E$6:$E$8)*(ABS(G97-'설정'!$E$6:$E$8)&lt;='설정'!$C$15))+SUMPRODUCT(ISNUMBER('설정'!$E$6:$E$8)*(ABS(H97-'설정'!$E$6:$E$8)&lt;='설정'!$C$15))&gt;0,"경계",""))</f>
        <v/>
      </c>
      <c r="M97" s="7" t="n"/>
      <c r="N97" s="7" t="n"/>
      <c r="O97" s="27">
        <f>IF(M97&lt;&gt;"",M97,K97)</f>
        <v/>
      </c>
      <c r="P97" s="30">
        <f>IF(I97="","",IF(G97="","공수1 미응시",IF(H97="","공수2 미응시","")))</f>
        <v/>
      </c>
      <c r="Q97" s="10">
        <f>IF(J97="","",J97+ROW()/100000)</f>
        <v/>
      </c>
    </row>
    <row r="98">
      <c r="A98" s="5" t="n">
        <v>92</v>
      </c>
      <c r="B98" s="10">
        <f>IF('학생명단'!B98="","",'학생명단'!B98)</f>
        <v/>
      </c>
      <c r="C98" s="10">
        <f>IF('학생명단'!C98="","",'학생명단'!C98)</f>
        <v/>
      </c>
      <c r="D98" s="10">
        <f>IF('학생명단'!D98="","",'학생명단'!D98)</f>
        <v/>
      </c>
      <c r="E98" s="10">
        <f>IF('학생명단'!E98="","",'학생명단'!E98)</f>
        <v/>
      </c>
      <c r="F98" s="11">
        <f>IF('학생명단'!F98="","",'학생명단'!F98)</f>
        <v/>
      </c>
      <c r="G98" s="10">
        <f>'공수1'!Y98</f>
        <v/>
      </c>
      <c r="H98" s="10">
        <f>'공수2'!Y98</f>
        <v/>
      </c>
      <c r="I98" s="28">
        <f>IF(AND(G98="",H98=""),"",N(G98)*'설정'!$C$13+N(H98)*'설정'!$C$14)</f>
        <v/>
      </c>
      <c r="J98" s="10">
        <f>IF(I98="","",COUNTIF($I$7:$I$156,"&gt;"&amp;I98)+1)</f>
        <v/>
      </c>
      <c r="K98" s="27">
        <f>IF(I98="","",IF(IF(COUNT('설정'!$C$6:$F$6)=0,AND(G98&lt;&gt;"",H98&lt;&gt;""),OR(AND('설정'!$C$6&lt;&gt;"",G98&lt;&gt;"",N(G98)&gt;='설정'!$C$6),AND('설정'!$D$6&lt;&gt;"",AND(G98&lt;&gt;"",H98&lt;&gt;""),(N(G98)+N(H98))&gt;='설정'!$D$6),AND('설정'!$E$6&lt;&gt;"",OR(AND(G98&lt;&gt;"",N(G98)&lt;='설정'!$E$6),AND(H98&lt;&gt;"",N(H98)&lt;='설정'!$E$6))),AND('설정'!$F$6&lt;&gt;"",AND(G98&lt;&gt;"",H98&lt;&gt;""),(N(G98)+N(H98))&lt;='설정'!$F$6))),'설정'!$B$6,IF(IF(COUNT('설정'!$C$7:$F$7)=0,AND(G98&lt;&gt;"",H98&lt;&gt;""),OR(AND('설정'!$C$7&lt;&gt;"",G98&lt;&gt;"",N(G98)&gt;='설정'!$C$7),AND('설정'!$D$7&lt;&gt;"",AND(G98&lt;&gt;"",H98&lt;&gt;""),(N(G98)+N(H98))&gt;='설정'!$D$7),AND('설정'!$E$7&lt;&gt;"",OR(AND(G98&lt;&gt;"",N(G98)&lt;='설정'!$E$7),AND(H98&lt;&gt;"",N(H98)&lt;='설정'!$E$7))),AND('설정'!$F$7&lt;&gt;"",AND(G98&lt;&gt;"",H98&lt;&gt;""),(N(G98)+N(H98))&lt;='설정'!$F$7))),'설정'!$B$7,IF(IF(COUNT('설정'!$C$8:$F$8)=0,AND(G98&lt;&gt;"",H98&lt;&gt;""),OR(AND('설정'!$C$8&lt;&gt;"",G98&lt;&gt;"",N(G98)&gt;='설정'!$C$8),AND('설정'!$D$8&lt;&gt;"",AND(G98&lt;&gt;"",H98&lt;&gt;""),(N(G98)+N(H98))&gt;='설정'!$D$8),AND('설정'!$E$8&lt;&gt;"",OR(AND(G98&lt;&gt;"",N(G98)&lt;='설정'!$E$8),AND(H98&lt;&gt;"",N(H98)&lt;='설정'!$E$8))),AND('설정'!$F$8&lt;&gt;"",AND(G98&lt;&gt;"",H98&lt;&gt;""),(N(G98)+N(H98))&lt;='설정'!$F$8))),'설정'!$B$8,'설정'!$B$9))))</f>
        <v/>
      </c>
      <c r="L98" s="29">
        <f>IF(OR(G98="",H98=""),"",IF(SUMPRODUCT(ISNUMBER('설정'!$C$6:$C$8)*(ABS(G98-'설정'!$C$6:$C$8)&lt;='설정'!$C$15))+SUMPRODUCT(ISNUMBER('설정'!$D$6:$D$8)*(ABS((G98+H98)-'설정'!$D$6:$D$8)&lt;='설정'!$C$15))+SUMPRODUCT(ISNUMBER('설정'!$F$6:$F$8)*(ABS((G98+H98)-'설정'!$F$6:$F$8)&lt;='설정'!$C$15))+SUMPRODUCT(ISNUMBER('설정'!$E$6:$E$8)*(ABS(G98-'설정'!$E$6:$E$8)&lt;='설정'!$C$15))+SUMPRODUCT(ISNUMBER('설정'!$E$6:$E$8)*(ABS(H98-'설정'!$E$6:$E$8)&lt;='설정'!$C$15))&gt;0,"경계",""))</f>
        <v/>
      </c>
      <c r="M98" s="7" t="n"/>
      <c r="N98" s="7" t="n"/>
      <c r="O98" s="27">
        <f>IF(M98&lt;&gt;"",M98,K98)</f>
        <v/>
      </c>
      <c r="P98" s="30">
        <f>IF(I98="","",IF(G98="","공수1 미응시",IF(H98="","공수2 미응시","")))</f>
        <v/>
      </c>
      <c r="Q98" s="10">
        <f>IF(J98="","",J98+ROW()/100000)</f>
        <v/>
      </c>
    </row>
    <row r="99">
      <c r="A99" s="5" t="n">
        <v>93</v>
      </c>
      <c r="B99" s="10">
        <f>IF('학생명단'!B99="","",'학생명단'!B99)</f>
        <v/>
      </c>
      <c r="C99" s="10">
        <f>IF('학생명단'!C99="","",'학생명단'!C99)</f>
        <v/>
      </c>
      <c r="D99" s="10">
        <f>IF('학생명단'!D99="","",'학생명단'!D99)</f>
        <v/>
      </c>
      <c r="E99" s="10">
        <f>IF('학생명단'!E99="","",'학생명단'!E99)</f>
        <v/>
      </c>
      <c r="F99" s="11">
        <f>IF('학생명단'!F99="","",'학생명단'!F99)</f>
        <v/>
      </c>
      <c r="G99" s="10">
        <f>'공수1'!Y99</f>
        <v/>
      </c>
      <c r="H99" s="10">
        <f>'공수2'!Y99</f>
        <v/>
      </c>
      <c r="I99" s="28">
        <f>IF(AND(G99="",H99=""),"",N(G99)*'설정'!$C$13+N(H99)*'설정'!$C$14)</f>
        <v/>
      </c>
      <c r="J99" s="10">
        <f>IF(I99="","",COUNTIF($I$7:$I$156,"&gt;"&amp;I99)+1)</f>
        <v/>
      </c>
      <c r="K99" s="27">
        <f>IF(I99="","",IF(IF(COUNT('설정'!$C$6:$F$6)=0,AND(G99&lt;&gt;"",H99&lt;&gt;""),OR(AND('설정'!$C$6&lt;&gt;"",G99&lt;&gt;"",N(G99)&gt;='설정'!$C$6),AND('설정'!$D$6&lt;&gt;"",AND(G99&lt;&gt;"",H99&lt;&gt;""),(N(G99)+N(H99))&gt;='설정'!$D$6),AND('설정'!$E$6&lt;&gt;"",OR(AND(G99&lt;&gt;"",N(G99)&lt;='설정'!$E$6),AND(H99&lt;&gt;"",N(H99)&lt;='설정'!$E$6))),AND('설정'!$F$6&lt;&gt;"",AND(G99&lt;&gt;"",H99&lt;&gt;""),(N(G99)+N(H99))&lt;='설정'!$F$6))),'설정'!$B$6,IF(IF(COUNT('설정'!$C$7:$F$7)=0,AND(G99&lt;&gt;"",H99&lt;&gt;""),OR(AND('설정'!$C$7&lt;&gt;"",G99&lt;&gt;"",N(G99)&gt;='설정'!$C$7),AND('설정'!$D$7&lt;&gt;"",AND(G99&lt;&gt;"",H99&lt;&gt;""),(N(G99)+N(H99))&gt;='설정'!$D$7),AND('설정'!$E$7&lt;&gt;"",OR(AND(G99&lt;&gt;"",N(G99)&lt;='설정'!$E$7),AND(H99&lt;&gt;"",N(H99)&lt;='설정'!$E$7))),AND('설정'!$F$7&lt;&gt;"",AND(G99&lt;&gt;"",H99&lt;&gt;""),(N(G99)+N(H99))&lt;='설정'!$F$7))),'설정'!$B$7,IF(IF(COUNT('설정'!$C$8:$F$8)=0,AND(G99&lt;&gt;"",H99&lt;&gt;""),OR(AND('설정'!$C$8&lt;&gt;"",G99&lt;&gt;"",N(G99)&gt;='설정'!$C$8),AND('설정'!$D$8&lt;&gt;"",AND(G99&lt;&gt;"",H99&lt;&gt;""),(N(G99)+N(H99))&gt;='설정'!$D$8),AND('설정'!$E$8&lt;&gt;"",OR(AND(G99&lt;&gt;"",N(G99)&lt;='설정'!$E$8),AND(H99&lt;&gt;"",N(H99)&lt;='설정'!$E$8))),AND('설정'!$F$8&lt;&gt;"",AND(G99&lt;&gt;"",H99&lt;&gt;""),(N(G99)+N(H99))&lt;='설정'!$F$8))),'설정'!$B$8,'설정'!$B$9))))</f>
        <v/>
      </c>
      <c r="L99" s="29">
        <f>IF(OR(G99="",H99=""),"",IF(SUMPRODUCT(ISNUMBER('설정'!$C$6:$C$8)*(ABS(G99-'설정'!$C$6:$C$8)&lt;='설정'!$C$15))+SUMPRODUCT(ISNUMBER('설정'!$D$6:$D$8)*(ABS((G99+H99)-'설정'!$D$6:$D$8)&lt;='설정'!$C$15))+SUMPRODUCT(ISNUMBER('설정'!$F$6:$F$8)*(ABS((G99+H99)-'설정'!$F$6:$F$8)&lt;='설정'!$C$15))+SUMPRODUCT(ISNUMBER('설정'!$E$6:$E$8)*(ABS(G99-'설정'!$E$6:$E$8)&lt;='설정'!$C$15))+SUMPRODUCT(ISNUMBER('설정'!$E$6:$E$8)*(ABS(H99-'설정'!$E$6:$E$8)&lt;='설정'!$C$15))&gt;0,"경계",""))</f>
        <v/>
      </c>
      <c r="M99" s="7" t="n"/>
      <c r="N99" s="7" t="n"/>
      <c r="O99" s="27">
        <f>IF(M99&lt;&gt;"",M99,K99)</f>
        <v/>
      </c>
      <c r="P99" s="30">
        <f>IF(I99="","",IF(G99="","공수1 미응시",IF(H99="","공수2 미응시","")))</f>
        <v/>
      </c>
      <c r="Q99" s="10">
        <f>IF(J99="","",J99+ROW()/100000)</f>
        <v/>
      </c>
    </row>
    <row r="100">
      <c r="A100" s="5" t="n">
        <v>94</v>
      </c>
      <c r="B100" s="10">
        <f>IF('학생명단'!B100="","",'학생명단'!B100)</f>
        <v/>
      </c>
      <c r="C100" s="10">
        <f>IF('학생명단'!C100="","",'학생명단'!C100)</f>
        <v/>
      </c>
      <c r="D100" s="10">
        <f>IF('학생명단'!D100="","",'학생명단'!D100)</f>
        <v/>
      </c>
      <c r="E100" s="10">
        <f>IF('학생명단'!E100="","",'학생명단'!E100)</f>
        <v/>
      </c>
      <c r="F100" s="11">
        <f>IF('학생명단'!F100="","",'학생명단'!F100)</f>
        <v/>
      </c>
      <c r="G100" s="10">
        <f>'공수1'!Y100</f>
        <v/>
      </c>
      <c r="H100" s="10">
        <f>'공수2'!Y100</f>
        <v/>
      </c>
      <c r="I100" s="28">
        <f>IF(AND(G100="",H100=""),"",N(G100)*'설정'!$C$13+N(H100)*'설정'!$C$14)</f>
        <v/>
      </c>
      <c r="J100" s="10">
        <f>IF(I100="","",COUNTIF($I$7:$I$156,"&gt;"&amp;I100)+1)</f>
        <v/>
      </c>
      <c r="K100" s="27">
        <f>IF(I100="","",IF(IF(COUNT('설정'!$C$6:$F$6)=0,AND(G100&lt;&gt;"",H100&lt;&gt;""),OR(AND('설정'!$C$6&lt;&gt;"",G100&lt;&gt;"",N(G100)&gt;='설정'!$C$6),AND('설정'!$D$6&lt;&gt;"",AND(G100&lt;&gt;"",H100&lt;&gt;""),(N(G100)+N(H100))&gt;='설정'!$D$6),AND('설정'!$E$6&lt;&gt;"",OR(AND(G100&lt;&gt;"",N(G100)&lt;='설정'!$E$6),AND(H100&lt;&gt;"",N(H100)&lt;='설정'!$E$6))),AND('설정'!$F$6&lt;&gt;"",AND(G100&lt;&gt;"",H100&lt;&gt;""),(N(G100)+N(H100))&lt;='설정'!$F$6))),'설정'!$B$6,IF(IF(COUNT('설정'!$C$7:$F$7)=0,AND(G100&lt;&gt;"",H100&lt;&gt;""),OR(AND('설정'!$C$7&lt;&gt;"",G100&lt;&gt;"",N(G100)&gt;='설정'!$C$7),AND('설정'!$D$7&lt;&gt;"",AND(G100&lt;&gt;"",H100&lt;&gt;""),(N(G100)+N(H100))&gt;='설정'!$D$7),AND('설정'!$E$7&lt;&gt;"",OR(AND(G100&lt;&gt;"",N(G100)&lt;='설정'!$E$7),AND(H100&lt;&gt;"",N(H100)&lt;='설정'!$E$7))),AND('설정'!$F$7&lt;&gt;"",AND(G100&lt;&gt;"",H100&lt;&gt;""),(N(G100)+N(H100))&lt;='설정'!$F$7))),'설정'!$B$7,IF(IF(COUNT('설정'!$C$8:$F$8)=0,AND(G100&lt;&gt;"",H100&lt;&gt;""),OR(AND('설정'!$C$8&lt;&gt;"",G100&lt;&gt;"",N(G100)&gt;='설정'!$C$8),AND('설정'!$D$8&lt;&gt;"",AND(G100&lt;&gt;"",H100&lt;&gt;""),(N(G100)+N(H100))&gt;='설정'!$D$8),AND('설정'!$E$8&lt;&gt;"",OR(AND(G100&lt;&gt;"",N(G100)&lt;='설정'!$E$8),AND(H100&lt;&gt;"",N(H100)&lt;='설정'!$E$8))),AND('설정'!$F$8&lt;&gt;"",AND(G100&lt;&gt;"",H100&lt;&gt;""),(N(G100)+N(H100))&lt;='설정'!$F$8))),'설정'!$B$8,'설정'!$B$9))))</f>
        <v/>
      </c>
      <c r="L100" s="29">
        <f>IF(OR(G100="",H100=""),"",IF(SUMPRODUCT(ISNUMBER('설정'!$C$6:$C$8)*(ABS(G100-'설정'!$C$6:$C$8)&lt;='설정'!$C$15))+SUMPRODUCT(ISNUMBER('설정'!$D$6:$D$8)*(ABS((G100+H100)-'설정'!$D$6:$D$8)&lt;='설정'!$C$15))+SUMPRODUCT(ISNUMBER('설정'!$F$6:$F$8)*(ABS((G100+H100)-'설정'!$F$6:$F$8)&lt;='설정'!$C$15))+SUMPRODUCT(ISNUMBER('설정'!$E$6:$E$8)*(ABS(G100-'설정'!$E$6:$E$8)&lt;='설정'!$C$15))+SUMPRODUCT(ISNUMBER('설정'!$E$6:$E$8)*(ABS(H100-'설정'!$E$6:$E$8)&lt;='설정'!$C$15))&gt;0,"경계",""))</f>
        <v/>
      </c>
      <c r="M100" s="7" t="n"/>
      <c r="N100" s="7" t="n"/>
      <c r="O100" s="27">
        <f>IF(M100&lt;&gt;"",M100,K100)</f>
        <v/>
      </c>
      <c r="P100" s="30">
        <f>IF(I100="","",IF(G100="","공수1 미응시",IF(H100="","공수2 미응시","")))</f>
        <v/>
      </c>
      <c r="Q100" s="10">
        <f>IF(J100="","",J100+ROW()/100000)</f>
        <v/>
      </c>
    </row>
    <row r="101">
      <c r="A101" s="5" t="n">
        <v>95</v>
      </c>
      <c r="B101" s="10">
        <f>IF('학생명단'!B101="","",'학생명단'!B101)</f>
        <v/>
      </c>
      <c r="C101" s="10">
        <f>IF('학생명단'!C101="","",'학생명단'!C101)</f>
        <v/>
      </c>
      <c r="D101" s="10">
        <f>IF('학생명단'!D101="","",'학생명단'!D101)</f>
        <v/>
      </c>
      <c r="E101" s="10">
        <f>IF('학생명단'!E101="","",'학생명단'!E101)</f>
        <v/>
      </c>
      <c r="F101" s="11">
        <f>IF('학생명단'!F101="","",'학생명단'!F101)</f>
        <v/>
      </c>
      <c r="G101" s="10">
        <f>'공수1'!Y101</f>
        <v/>
      </c>
      <c r="H101" s="10">
        <f>'공수2'!Y101</f>
        <v/>
      </c>
      <c r="I101" s="28">
        <f>IF(AND(G101="",H101=""),"",N(G101)*'설정'!$C$13+N(H101)*'설정'!$C$14)</f>
        <v/>
      </c>
      <c r="J101" s="10">
        <f>IF(I101="","",COUNTIF($I$7:$I$156,"&gt;"&amp;I101)+1)</f>
        <v/>
      </c>
      <c r="K101" s="27">
        <f>IF(I101="","",IF(IF(COUNT('설정'!$C$6:$F$6)=0,AND(G101&lt;&gt;"",H101&lt;&gt;""),OR(AND('설정'!$C$6&lt;&gt;"",G101&lt;&gt;"",N(G101)&gt;='설정'!$C$6),AND('설정'!$D$6&lt;&gt;"",AND(G101&lt;&gt;"",H101&lt;&gt;""),(N(G101)+N(H101))&gt;='설정'!$D$6),AND('설정'!$E$6&lt;&gt;"",OR(AND(G101&lt;&gt;"",N(G101)&lt;='설정'!$E$6),AND(H101&lt;&gt;"",N(H101)&lt;='설정'!$E$6))),AND('설정'!$F$6&lt;&gt;"",AND(G101&lt;&gt;"",H101&lt;&gt;""),(N(G101)+N(H101))&lt;='설정'!$F$6))),'설정'!$B$6,IF(IF(COUNT('설정'!$C$7:$F$7)=0,AND(G101&lt;&gt;"",H101&lt;&gt;""),OR(AND('설정'!$C$7&lt;&gt;"",G101&lt;&gt;"",N(G101)&gt;='설정'!$C$7),AND('설정'!$D$7&lt;&gt;"",AND(G101&lt;&gt;"",H101&lt;&gt;""),(N(G101)+N(H101))&gt;='설정'!$D$7),AND('설정'!$E$7&lt;&gt;"",OR(AND(G101&lt;&gt;"",N(G101)&lt;='설정'!$E$7),AND(H101&lt;&gt;"",N(H101)&lt;='설정'!$E$7))),AND('설정'!$F$7&lt;&gt;"",AND(G101&lt;&gt;"",H101&lt;&gt;""),(N(G101)+N(H101))&lt;='설정'!$F$7))),'설정'!$B$7,IF(IF(COUNT('설정'!$C$8:$F$8)=0,AND(G101&lt;&gt;"",H101&lt;&gt;""),OR(AND('설정'!$C$8&lt;&gt;"",G101&lt;&gt;"",N(G101)&gt;='설정'!$C$8),AND('설정'!$D$8&lt;&gt;"",AND(G101&lt;&gt;"",H101&lt;&gt;""),(N(G101)+N(H101))&gt;='설정'!$D$8),AND('설정'!$E$8&lt;&gt;"",OR(AND(G101&lt;&gt;"",N(G101)&lt;='설정'!$E$8),AND(H101&lt;&gt;"",N(H101)&lt;='설정'!$E$8))),AND('설정'!$F$8&lt;&gt;"",AND(G101&lt;&gt;"",H101&lt;&gt;""),(N(G101)+N(H101))&lt;='설정'!$F$8))),'설정'!$B$8,'설정'!$B$9))))</f>
        <v/>
      </c>
      <c r="L101" s="29">
        <f>IF(OR(G101="",H101=""),"",IF(SUMPRODUCT(ISNUMBER('설정'!$C$6:$C$8)*(ABS(G101-'설정'!$C$6:$C$8)&lt;='설정'!$C$15))+SUMPRODUCT(ISNUMBER('설정'!$D$6:$D$8)*(ABS((G101+H101)-'설정'!$D$6:$D$8)&lt;='설정'!$C$15))+SUMPRODUCT(ISNUMBER('설정'!$F$6:$F$8)*(ABS((G101+H101)-'설정'!$F$6:$F$8)&lt;='설정'!$C$15))+SUMPRODUCT(ISNUMBER('설정'!$E$6:$E$8)*(ABS(G101-'설정'!$E$6:$E$8)&lt;='설정'!$C$15))+SUMPRODUCT(ISNUMBER('설정'!$E$6:$E$8)*(ABS(H101-'설정'!$E$6:$E$8)&lt;='설정'!$C$15))&gt;0,"경계",""))</f>
        <v/>
      </c>
      <c r="M101" s="7" t="n"/>
      <c r="N101" s="7" t="n"/>
      <c r="O101" s="27">
        <f>IF(M101&lt;&gt;"",M101,K101)</f>
        <v/>
      </c>
      <c r="P101" s="30">
        <f>IF(I101="","",IF(G101="","공수1 미응시",IF(H101="","공수2 미응시","")))</f>
        <v/>
      </c>
      <c r="Q101" s="10">
        <f>IF(J101="","",J101+ROW()/100000)</f>
        <v/>
      </c>
    </row>
    <row r="102">
      <c r="A102" s="5" t="n">
        <v>96</v>
      </c>
      <c r="B102" s="10">
        <f>IF('학생명단'!B102="","",'학생명단'!B102)</f>
        <v/>
      </c>
      <c r="C102" s="10">
        <f>IF('학생명단'!C102="","",'학생명단'!C102)</f>
        <v/>
      </c>
      <c r="D102" s="10">
        <f>IF('학생명단'!D102="","",'학생명단'!D102)</f>
        <v/>
      </c>
      <c r="E102" s="10">
        <f>IF('학생명단'!E102="","",'학생명단'!E102)</f>
        <v/>
      </c>
      <c r="F102" s="11">
        <f>IF('학생명단'!F102="","",'학생명단'!F102)</f>
        <v/>
      </c>
      <c r="G102" s="10">
        <f>'공수1'!Y102</f>
        <v/>
      </c>
      <c r="H102" s="10">
        <f>'공수2'!Y102</f>
        <v/>
      </c>
      <c r="I102" s="28">
        <f>IF(AND(G102="",H102=""),"",N(G102)*'설정'!$C$13+N(H102)*'설정'!$C$14)</f>
        <v/>
      </c>
      <c r="J102" s="10">
        <f>IF(I102="","",COUNTIF($I$7:$I$156,"&gt;"&amp;I102)+1)</f>
        <v/>
      </c>
      <c r="K102" s="27">
        <f>IF(I102="","",IF(IF(COUNT('설정'!$C$6:$F$6)=0,AND(G102&lt;&gt;"",H102&lt;&gt;""),OR(AND('설정'!$C$6&lt;&gt;"",G102&lt;&gt;"",N(G102)&gt;='설정'!$C$6),AND('설정'!$D$6&lt;&gt;"",AND(G102&lt;&gt;"",H102&lt;&gt;""),(N(G102)+N(H102))&gt;='설정'!$D$6),AND('설정'!$E$6&lt;&gt;"",OR(AND(G102&lt;&gt;"",N(G102)&lt;='설정'!$E$6),AND(H102&lt;&gt;"",N(H102)&lt;='설정'!$E$6))),AND('설정'!$F$6&lt;&gt;"",AND(G102&lt;&gt;"",H102&lt;&gt;""),(N(G102)+N(H102))&lt;='설정'!$F$6))),'설정'!$B$6,IF(IF(COUNT('설정'!$C$7:$F$7)=0,AND(G102&lt;&gt;"",H102&lt;&gt;""),OR(AND('설정'!$C$7&lt;&gt;"",G102&lt;&gt;"",N(G102)&gt;='설정'!$C$7),AND('설정'!$D$7&lt;&gt;"",AND(G102&lt;&gt;"",H102&lt;&gt;""),(N(G102)+N(H102))&gt;='설정'!$D$7),AND('설정'!$E$7&lt;&gt;"",OR(AND(G102&lt;&gt;"",N(G102)&lt;='설정'!$E$7),AND(H102&lt;&gt;"",N(H102)&lt;='설정'!$E$7))),AND('설정'!$F$7&lt;&gt;"",AND(G102&lt;&gt;"",H102&lt;&gt;""),(N(G102)+N(H102))&lt;='설정'!$F$7))),'설정'!$B$7,IF(IF(COUNT('설정'!$C$8:$F$8)=0,AND(G102&lt;&gt;"",H102&lt;&gt;""),OR(AND('설정'!$C$8&lt;&gt;"",G102&lt;&gt;"",N(G102)&gt;='설정'!$C$8),AND('설정'!$D$8&lt;&gt;"",AND(G102&lt;&gt;"",H102&lt;&gt;""),(N(G102)+N(H102))&gt;='설정'!$D$8),AND('설정'!$E$8&lt;&gt;"",OR(AND(G102&lt;&gt;"",N(G102)&lt;='설정'!$E$8),AND(H102&lt;&gt;"",N(H102)&lt;='설정'!$E$8))),AND('설정'!$F$8&lt;&gt;"",AND(G102&lt;&gt;"",H102&lt;&gt;""),(N(G102)+N(H102))&lt;='설정'!$F$8))),'설정'!$B$8,'설정'!$B$9))))</f>
        <v/>
      </c>
      <c r="L102" s="29">
        <f>IF(OR(G102="",H102=""),"",IF(SUMPRODUCT(ISNUMBER('설정'!$C$6:$C$8)*(ABS(G102-'설정'!$C$6:$C$8)&lt;='설정'!$C$15))+SUMPRODUCT(ISNUMBER('설정'!$D$6:$D$8)*(ABS((G102+H102)-'설정'!$D$6:$D$8)&lt;='설정'!$C$15))+SUMPRODUCT(ISNUMBER('설정'!$F$6:$F$8)*(ABS((G102+H102)-'설정'!$F$6:$F$8)&lt;='설정'!$C$15))+SUMPRODUCT(ISNUMBER('설정'!$E$6:$E$8)*(ABS(G102-'설정'!$E$6:$E$8)&lt;='설정'!$C$15))+SUMPRODUCT(ISNUMBER('설정'!$E$6:$E$8)*(ABS(H102-'설정'!$E$6:$E$8)&lt;='설정'!$C$15))&gt;0,"경계",""))</f>
        <v/>
      </c>
      <c r="M102" s="7" t="n"/>
      <c r="N102" s="7" t="n"/>
      <c r="O102" s="27">
        <f>IF(M102&lt;&gt;"",M102,K102)</f>
        <v/>
      </c>
      <c r="P102" s="30">
        <f>IF(I102="","",IF(G102="","공수1 미응시",IF(H102="","공수2 미응시","")))</f>
        <v/>
      </c>
      <c r="Q102" s="10">
        <f>IF(J102="","",J102+ROW()/100000)</f>
        <v/>
      </c>
    </row>
    <row r="103">
      <c r="A103" s="5" t="n">
        <v>97</v>
      </c>
      <c r="B103" s="10">
        <f>IF('학생명단'!B103="","",'학생명단'!B103)</f>
        <v/>
      </c>
      <c r="C103" s="10">
        <f>IF('학생명단'!C103="","",'학생명단'!C103)</f>
        <v/>
      </c>
      <c r="D103" s="10">
        <f>IF('학생명단'!D103="","",'학생명단'!D103)</f>
        <v/>
      </c>
      <c r="E103" s="10">
        <f>IF('학생명단'!E103="","",'학생명단'!E103)</f>
        <v/>
      </c>
      <c r="F103" s="11">
        <f>IF('학생명단'!F103="","",'학생명단'!F103)</f>
        <v/>
      </c>
      <c r="G103" s="10">
        <f>'공수1'!Y103</f>
        <v/>
      </c>
      <c r="H103" s="10">
        <f>'공수2'!Y103</f>
        <v/>
      </c>
      <c r="I103" s="28">
        <f>IF(AND(G103="",H103=""),"",N(G103)*'설정'!$C$13+N(H103)*'설정'!$C$14)</f>
        <v/>
      </c>
      <c r="J103" s="10">
        <f>IF(I103="","",COUNTIF($I$7:$I$156,"&gt;"&amp;I103)+1)</f>
        <v/>
      </c>
      <c r="K103" s="27">
        <f>IF(I103="","",IF(IF(COUNT('설정'!$C$6:$F$6)=0,AND(G103&lt;&gt;"",H103&lt;&gt;""),OR(AND('설정'!$C$6&lt;&gt;"",G103&lt;&gt;"",N(G103)&gt;='설정'!$C$6),AND('설정'!$D$6&lt;&gt;"",AND(G103&lt;&gt;"",H103&lt;&gt;""),(N(G103)+N(H103))&gt;='설정'!$D$6),AND('설정'!$E$6&lt;&gt;"",OR(AND(G103&lt;&gt;"",N(G103)&lt;='설정'!$E$6),AND(H103&lt;&gt;"",N(H103)&lt;='설정'!$E$6))),AND('설정'!$F$6&lt;&gt;"",AND(G103&lt;&gt;"",H103&lt;&gt;""),(N(G103)+N(H103))&lt;='설정'!$F$6))),'설정'!$B$6,IF(IF(COUNT('설정'!$C$7:$F$7)=0,AND(G103&lt;&gt;"",H103&lt;&gt;""),OR(AND('설정'!$C$7&lt;&gt;"",G103&lt;&gt;"",N(G103)&gt;='설정'!$C$7),AND('설정'!$D$7&lt;&gt;"",AND(G103&lt;&gt;"",H103&lt;&gt;""),(N(G103)+N(H103))&gt;='설정'!$D$7),AND('설정'!$E$7&lt;&gt;"",OR(AND(G103&lt;&gt;"",N(G103)&lt;='설정'!$E$7),AND(H103&lt;&gt;"",N(H103)&lt;='설정'!$E$7))),AND('설정'!$F$7&lt;&gt;"",AND(G103&lt;&gt;"",H103&lt;&gt;""),(N(G103)+N(H103))&lt;='설정'!$F$7))),'설정'!$B$7,IF(IF(COUNT('설정'!$C$8:$F$8)=0,AND(G103&lt;&gt;"",H103&lt;&gt;""),OR(AND('설정'!$C$8&lt;&gt;"",G103&lt;&gt;"",N(G103)&gt;='설정'!$C$8),AND('설정'!$D$8&lt;&gt;"",AND(G103&lt;&gt;"",H103&lt;&gt;""),(N(G103)+N(H103))&gt;='설정'!$D$8),AND('설정'!$E$8&lt;&gt;"",OR(AND(G103&lt;&gt;"",N(G103)&lt;='설정'!$E$8),AND(H103&lt;&gt;"",N(H103)&lt;='설정'!$E$8))),AND('설정'!$F$8&lt;&gt;"",AND(G103&lt;&gt;"",H103&lt;&gt;""),(N(G103)+N(H103))&lt;='설정'!$F$8))),'설정'!$B$8,'설정'!$B$9))))</f>
        <v/>
      </c>
      <c r="L103" s="29">
        <f>IF(OR(G103="",H103=""),"",IF(SUMPRODUCT(ISNUMBER('설정'!$C$6:$C$8)*(ABS(G103-'설정'!$C$6:$C$8)&lt;='설정'!$C$15))+SUMPRODUCT(ISNUMBER('설정'!$D$6:$D$8)*(ABS((G103+H103)-'설정'!$D$6:$D$8)&lt;='설정'!$C$15))+SUMPRODUCT(ISNUMBER('설정'!$F$6:$F$8)*(ABS((G103+H103)-'설정'!$F$6:$F$8)&lt;='설정'!$C$15))+SUMPRODUCT(ISNUMBER('설정'!$E$6:$E$8)*(ABS(G103-'설정'!$E$6:$E$8)&lt;='설정'!$C$15))+SUMPRODUCT(ISNUMBER('설정'!$E$6:$E$8)*(ABS(H103-'설정'!$E$6:$E$8)&lt;='설정'!$C$15))&gt;0,"경계",""))</f>
        <v/>
      </c>
      <c r="M103" s="7" t="n"/>
      <c r="N103" s="7" t="n"/>
      <c r="O103" s="27">
        <f>IF(M103&lt;&gt;"",M103,K103)</f>
        <v/>
      </c>
      <c r="P103" s="30">
        <f>IF(I103="","",IF(G103="","공수1 미응시",IF(H103="","공수2 미응시","")))</f>
        <v/>
      </c>
      <c r="Q103" s="10">
        <f>IF(J103="","",J103+ROW()/100000)</f>
        <v/>
      </c>
    </row>
    <row r="104">
      <c r="A104" s="5" t="n">
        <v>98</v>
      </c>
      <c r="B104" s="10">
        <f>IF('학생명단'!B104="","",'학생명단'!B104)</f>
        <v/>
      </c>
      <c r="C104" s="10">
        <f>IF('학생명단'!C104="","",'학생명단'!C104)</f>
        <v/>
      </c>
      <c r="D104" s="10">
        <f>IF('학생명단'!D104="","",'학생명단'!D104)</f>
        <v/>
      </c>
      <c r="E104" s="10">
        <f>IF('학생명단'!E104="","",'학생명단'!E104)</f>
        <v/>
      </c>
      <c r="F104" s="11">
        <f>IF('학생명단'!F104="","",'학생명단'!F104)</f>
        <v/>
      </c>
      <c r="G104" s="10">
        <f>'공수1'!Y104</f>
        <v/>
      </c>
      <c r="H104" s="10">
        <f>'공수2'!Y104</f>
        <v/>
      </c>
      <c r="I104" s="28">
        <f>IF(AND(G104="",H104=""),"",N(G104)*'설정'!$C$13+N(H104)*'설정'!$C$14)</f>
        <v/>
      </c>
      <c r="J104" s="10">
        <f>IF(I104="","",COUNTIF($I$7:$I$156,"&gt;"&amp;I104)+1)</f>
        <v/>
      </c>
      <c r="K104" s="27">
        <f>IF(I104="","",IF(IF(COUNT('설정'!$C$6:$F$6)=0,AND(G104&lt;&gt;"",H104&lt;&gt;""),OR(AND('설정'!$C$6&lt;&gt;"",G104&lt;&gt;"",N(G104)&gt;='설정'!$C$6),AND('설정'!$D$6&lt;&gt;"",AND(G104&lt;&gt;"",H104&lt;&gt;""),(N(G104)+N(H104))&gt;='설정'!$D$6),AND('설정'!$E$6&lt;&gt;"",OR(AND(G104&lt;&gt;"",N(G104)&lt;='설정'!$E$6),AND(H104&lt;&gt;"",N(H104)&lt;='설정'!$E$6))),AND('설정'!$F$6&lt;&gt;"",AND(G104&lt;&gt;"",H104&lt;&gt;""),(N(G104)+N(H104))&lt;='설정'!$F$6))),'설정'!$B$6,IF(IF(COUNT('설정'!$C$7:$F$7)=0,AND(G104&lt;&gt;"",H104&lt;&gt;""),OR(AND('설정'!$C$7&lt;&gt;"",G104&lt;&gt;"",N(G104)&gt;='설정'!$C$7),AND('설정'!$D$7&lt;&gt;"",AND(G104&lt;&gt;"",H104&lt;&gt;""),(N(G104)+N(H104))&gt;='설정'!$D$7),AND('설정'!$E$7&lt;&gt;"",OR(AND(G104&lt;&gt;"",N(G104)&lt;='설정'!$E$7),AND(H104&lt;&gt;"",N(H104)&lt;='설정'!$E$7))),AND('설정'!$F$7&lt;&gt;"",AND(G104&lt;&gt;"",H104&lt;&gt;""),(N(G104)+N(H104))&lt;='설정'!$F$7))),'설정'!$B$7,IF(IF(COUNT('설정'!$C$8:$F$8)=0,AND(G104&lt;&gt;"",H104&lt;&gt;""),OR(AND('설정'!$C$8&lt;&gt;"",G104&lt;&gt;"",N(G104)&gt;='설정'!$C$8),AND('설정'!$D$8&lt;&gt;"",AND(G104&lt;&gt;"",H104&lt;&gt;""),(N(G104)+N(H104))&gt;='설정'!$D$8),AND('설정'!$E$8&lt;&gt;"",OR(AND(G104&lt;&gt;"",N(G104)&lt;='설정'!$E$8),AND(H104&lt;&gt;"",N(H104)&lt;='설정'!$E$8))),AND('설정'!$F$8&lt;&gt;"",AND(G104&lt;&gt;"",H104&lt;&gt;""),(N(G104)+N(H104))&lt;='설정'!$F$8))),'설정'!$B$8,'설정'!$B$9))))</f>
        <v/>
      </c>
      <c r="L104" s="29">
        <f>IF(OR(G104="",H104=""),"",IF(SUMPRODUCT(ISNUMBER('설정'!$C$6:$C$8)*(ABS(G104-'설정'!$C$6:$C$8)&lt;='설정'!$C$15))+SUMPRODUCT(ISNUMBER('설정'!$D$6:$D$8)*(ABS((G104+H104)-'설정'!$D$6:$D$8)&lt;='설정'!$C$15))+SUMPRODUCT(ISNUMBER('설정'!$F$6:$F$8)*(ABS((G104+H104)-'설정'!$F$6:$F$8)&lt;='설정'!$C$15))+SUMPRODUCT(ISNUMBER('설정'!$E$6:$E$8)*(ABS(G104-'설정'!$E$6:$E$8)&lt;='설정'!$C$15))+SUMPRODUCT(ISNUMBER('설정'!$E$6:$E$8)*(ABS(H104-'설정'!$E$6:$E$8)&lt;='설정'!$C$15))&gt;0,"경계",""))</f>
        <v/>
      </c>
      <c r="M104" s="7" t="n"/>
      <c r="N104" s="7" t="n"/>
      <c r="O104" s="27">
        <f>IF(M104&lt;&gt;"",M104,K104)</f>
        <v/>
      </c>
      <c r="P104" s="30">
        <f>IF(I104="","",IF(G104="","공수1 미응시",IF(H104="","공수2 미응시","")))</f>
        <v/>
      </c>
      <c r="Q104" s="10">
        <f>IF(J104="","",J104+ROW()/100000)</f>
        <v/>
      </c>
    </row>
    <row r="105">
      <c r="A105" s="5" t="n">
        <v>99</v>
      </c>
      <c r="B105" s="10">
        <f>IF('학생명단'!B105="","",'학생명단'!B105)</f>
        <v/>
      </c>
      <c r="C105" s="10">
        <f>IF('학생명단'!C105="","",'학생명단'!C105)</f>
        <v/>
      </c>
      <c r="D105" s="10">
        <f>IF('학생명단'!D105="","",'학생명단'!D105)</f>
        <v/>
      </c>
      <c r="E105" s="10">
        <f>IF('학생명단'!E105="","",'학생명단'!E105)</f>
        <v/>
      </c>
      <c r="F105" s="11">
        <f>IF('학생명단'!F105="","",'학생명단'!F105)</f>
        <v/>
      </c>
      <c r="G105" s="10">
        <f>'공수1'!Y105</f>
        <v/>
      </c>
      <c r="H105" s="10">
        <f>'공수2'!Y105</f>
        <v/>
      </c>
      <c r="I105" s="28">
        <f>IF(AND(G105="",H105=""),"",N(G105)*'설정'!$C$13+N(H105)*'설정'!$C$14)</f>
        <v/>
      </c>
      <c r="J105" s="10">
        <f>IF(I105="","",COUNTIF($I$7:$I$156,"&gt;"&amp;I105)+1)</f>
        <v/>
      </c>
      <c r="K105" s="27">
        <f>IF(I105="","",IF(IF(COUNT('설정'!$C$6:$F$6)=0,AND(G105&lt;&gt;"",H105&lt;&gt;""),OR(AND('설정'!$C$6&lt;&gt;"",G105&lt;&gt;"",N(G105)&gt;='설정'!$C$6),AND('설정'!$D$6&lt;&gt;"",AND(G105&lt;&gt;"",H105&lt;&gt;""),(N(G105)+N(H105))&gt;='설정'!$D$6),AND('설정'!$E$6&lt;&gt;"",OR(AND(G105&lt;&gt;"",N(G105)&lt;='설정'!$E$6),AND(H105&lt;&gt;"",N(H105)&lt;='설정'!$E$6))),AND('설정'!$F$6&lt;&gt;"",AND(G105&lt;&gt;"",H105&lt;&gt;""),(N(G105)+N(H105))&lt;='설정'!$F$6))),'설정'!$B$6,IF(IF(COUNT('설정'!$C$7:$F$7)=0,AND(G105&lt;&gt;"",H105&lt;&gt;""),OR(AND('설정'!$C$7&lt;&gt;"",G105&lt;&gt;"",N(G105)&gt;='설정'!$C$7),AND('설정'!$D$7&lt;&gt;"",AND(G105&lt;&gt;"",H105&lt;&gt;""),(N(G105)+N(H105))&gt;='설정'!$D$7),AND('설정'!$E$7&lt;&gt;"",OR(AND(G105&lt;&gt;"",N(G105)&lt;='설정'!$E$7),AND(H105&lt;&gt;"",N(H105)&lt;='설정'!$E$7))),AND('설정'!$F$7&lt;&gt;"",AND(G105&lt;&gt;"",H105&lt;&gt;""),(N(G105)+N(H105))&lt;='설정'!$F$7))),'설정'!$B$7,IF(IF(COUNT('설정'!$C$8:$F$8)=0,AND(G105&lt;&gt;"",H105&lt;&gt;""),OR(AND('설정'!$C$8&lt;&gt;"",G105&lt;&gt;"",N(G105)&gt;='설정'!$C$8),AND('설정'!$D$8&lt;&gt;"",AND(G105&lt;&gt;"",H105&lt;&gt;""),(N(G105)+N(H105))&gt;='설정'!$D$8),AND('설정'!$E$8&lt;&gt;"",OR(AND(G105&lt;&gt;"",N(G105)&lt;='설정'!$E$8),AND(H105&lt;&gt;"",N(H105)&lt;='설정'!$E$8))),AND('설정'!$F$8&lt;&gt;"",AND(G105&lt;&gt;"",H105&lt;&gt;""),(N(G105)+N(H105))&lt;='설정'!$F$8))),'설정'!$B$8,'설정'!$B$9))))</f>
        <v/>
      </c>
      <c r="L105" s="29">
        <f>IF(OR(G105="",H105=""),"",IF(SUMPRODUCT(ISNUMBER('설정'!$C$6:$C$8)*(ABS(G105-'설정'!$C$6:$C$8)&lt;='설정'!$C$15))+SUMPRODUCT(ISNUMBER('설정'!$D$6:$D$8)*(ABS((G105+H105)-'설정'!$D$6:$D$8)&lt;='설정'!$C$15))+SUMPRODUCT(ISNUMBER('설정'!$F$6:$F$8)*(ABS((G105+H105)-'설정'!$F$6:$F$8)&lt;='설정'!$C$15))+SUMPRODUCT(ISNUMBER('설정'!$E$6:$E$8)*(ABS(G105-'설정'!$E$6:$E$8)&lt;='설정'!$C$15))+SUMPRODUCT(ISNUMBER('설정'!$E$6:$E$8)*(ABS(H105-'설정'!$E$6:$E$8)&lt;='설정'!$C$15))&gt;0,"경계",""))</f>
        <v/>
      </c>
      <c r="M105" s="7" t="n"/>
      <c r="N105" s="7" t="n"/>
      <c r="O105" s="27">
        <f>IF(M105&lt;&gt;"",M105,K105)</f>
        <v/>
      </c>
      <c r="P105" s="30">
        <f>IF(I105="","",IF(G105="","공수1 미응시",IF(H105="","공수2 미응시","")))</f>
        <v/>
      </c>
      <c r="Q105" s="10">
        <f>IF(J105="","",J105+ROW()/100000)</f>
        <v/>
      </c>
    </row>
    <row r="106">
      <c r="A106" s="5" t="n">
        <v>100</v>
      </c>
      <c r="B106" s="10">
        <f>IF('학생명단'!B106="","",'학생명단'!B106)</f>
        <v/>
      </c>
      <c r="C106" s="10">
        <f>IF('학생명단'!C106="","",'학생명단'!C106)</f>
        <v/>
      </c>
      <c r="D106" s="10">
        <f>IF('학생명단'!D106="","",'학생명단'!D106)</f>
        <v/>
      </c>
      <c r="E106" s="10">
        <f>IF('학생명단'!E106="","",'학생명단'!E106)</f>
        <v/>
      </c>
      <c r="F106" s="11">
        <f>IF('학생명단'!F106="","",'학생명단'!F106)</f>
        <v/>
      </c>
      <c r="G106" s="10">
        <f>'공수1'!Y106</f>
        <v/>
      </c>
      <c r="H106" s="10">
        <f>'공수2'!Y106</f>
        <v/>
      </c>
      <c r="I106" s="28">
        <f>IF(AND(G106="",H106=""),"",N(G106)*'설정'!$C$13+N(H106)*'설정'!$C$14)</f>
        <v/>
      </c>
      <c r="J106" s="10">
        <f>IF(I106="","",COUNTIF($I$7:$I$156,"&gt;"&amp;I106)+1)</f>
        <v/>
      </c>
      <c r="K106" s="27">
        <f>IF(I106="","",IF(IF(COUNT('설정'!$C$6:$F$6)=0,AND(G106&lt;&gt;"",H106&lt;&gt;""),OR(AND('설정'!$C$6&lt;&gt;"",G106&lt;&gt;"",N(G106)&gt;='설정'!$C$6),AND('설정'!$D$6&lt;&gt;"",AND(G106&lt;&gt;"",H106&lt;&gt;""),(N(G106)+N(H106))&gt;='설정'!$D$6),AND('설정'!$E$6&lt;&gt;"",OR(AND(G106&lt;&gt;"",N(G106)&lt;='설정'!$E$6),AND(H106&lt;&gt;"",N(H106)&lt;='설정'!$E$6))),AND('설정'!$F$6&lt;&gt;"",AND(G106&lt;&gt;"",H106&lt;&gt;""),(N(G106)+N(H106))&lt;='설정'!$F$6))),'설정'!$B$6,IF(IF(COUNT('설정'!$C$7:$F$7)=0,AND(G106&lt;&gt;"",H106&lt;&gt;""),OR(AND('설정'!$C$7&lt;&gt;"",G106&lt;&gt;"",N(G106)&gt;='설정'!$C$7),AND('설정'!$D$7&lt;&gt;"",AND(G106&lt;&gt;"",H106&lt;&gt;""),(N(G106)+N(H106))&gt;='설정'!$D$7),AND('설정'!$E$7&lt;&gt;"",OR(AND(G106&lt;&gt;"",N(G106)&lt;='설정'!$E$7),AND(H106&lt;&gt;"",N(H106)&lt;='설정'!$E$7))),AND('설정'!$F$7&lt;&gt;"",AND(G106&lt;&gt;"",H106&lt;&gt;""),(N(G106)+N(H106))&lt;='설정'!$F$7))),'설정'!$B$7,IF(IF(COUNT('설정'!$C$8:$F$8)=0,AND(G106&lt;&gt;"",H106&lt;&gt;""),OR(AND('설정'!$C$8&lt;&gt;"",G106&lt;&gt;"",N(G106)&gt;='설정'!$C$8),AND('설정'!$D$8&lt;&gt;"",AND(G106&lt;&gt;"",H106&lt;&gt;""),(N(G106)+N(H106))&gt;='설정'!$D$8),AND('설정'!$E$8&lt;&gt;"",OR(AND(G106&lt;&gt;"",N(G106)&lt;='설정'!$E$8),AND(H106&lt;&gt;"",N(H106)&lt;='설정'!$E$8))),AND('설정'!$F$8&lt;&gt;"",AND(G106&lt;&gt;"",H106&lt;&gt;""),(N(G106)+N(H106))&lt;='설정'!$F$8))),'설정'!$B$8,'설정'!$B$9))))</f>
        <v/>
      </c>
      <c r="L106" s="29">
        <f>IF(OR(G106="",H106=""),"",IF(SUMPRODUCT(ISNUMBER('설정'!$C$6:$C$8)*(ABS(G106-'설정'!$C$6:$C$8)&lt;='설정'!$C$15))+SUMPRODUCT(ISNUMBER('설정'!$D$6:$D$8)*(ABS((G106+H106)-'설정'!$D$6:$D$8)&lt;='설정'!$C$15))+SUMPRODUCT(ISNUMBER('설정'!$F$6:$F$8)*(ABS((G106+H106)-'설정'!$F$6:$F$8)&lt;='설정'!$C$15))+SUMPRODUCT(ISNUMBER('설정'!$E$6:$E$8)*(ABS(G106-'설정'!$E$6:$E$8)&lt;='설정'!$C$15))+SUMPRODUCT(ISNUMBER('설정'!$E$6:$E$8)*(ABS(H106-'설정'!$E$6:$E$8)&lt;='설정'!$C$15))&gt;0,"경계",""))</f>
        <v/>
      </c>
      <c r="M106" s="7" t="n"/>
      <c r="N106" s="7" t="n"/>
      <c r="O106" s="27">
        <f>IF(M106&lt;&gt;"",M106,K106)</f>
        <v/>
      </c>
      <c r="P106" s="30">
        <f>IF(I106="","",IF(G106="","공수1 미응시",IF(H106="","공수2 미응시","")))</f>
        <v/>
      </c>
      <c r="Q106" s="10">
        <f>IF(J106="","",J106+ROW()/100000)</f>
        <v/>
      </c>
    </row>
    <row r="107">
      <c r="A107" s="5" t="n">
        <v>101</v>
      </c>
      <c r="B107" s="10">
        <f>IF('학생명단'!B107="","",'학생명단'!B107)</f>
        <v/>
      </c>
      <c r="C107" s="10">
        <f>IF('학생명단'!C107="","",'학생명단'!C107)</f>
        <v/>
      </c>
      <c r="D107" s="10">
        <f>IF('학생명단'!D107="","",'학생명단'!D107)</f>
        <v/>
      </c>
      <c r="E107" s="10">
        <f>IF('학생명단'!E107="","",'학생명단'!E107)</f>
        <v/>
      </c>
      <c r="F107" s="11">
        <f>IF('학생명단'!F107="","",'학생명단'!F107)</f>
        <v/>
      </c>
      <c r="G107" s="10">
        <f>'공수1'!Y107</f>
        <v/>
      </c>
      <c r="H107" s="10">
        <f>'공수2'!Y107</f>
        <v/>
      </c>
      <c r="I107" s="28">
        <f>IF(AND(G107="",H107=""),"",N(G107)*'설정'!$C$13+N(H107)*'설정'!$C$14)</f>
        <v/>
      </c>
      <c r="J107" s="10">
        <f>IF(I107="","",COUNTIF($I$7:$I$156,"&gt;"&amp;I107)+1)</f>
        <v/>
      </c>
      <c r="K107" s="27">
        <f>IF(I107="","",IF(IF(COUNT('설정'!$C$6:$F$6)=0,AND(G107&lt;&gt;"",H107&lt;&gt;""),OR(AND('설정'!$C$6&lt;&gt;"",G107&lt;&gt;"",N(G107)&gt;='설정'!$C$6),AND('설정'!$D$6&lt;&gt;"",AND(G107&lt;&gt;"",H107&lt;&gt;""),(N(G107)+N(H107))&gt;='설정'!$D$6),AND('설정'!$E$6&lt;&gt;"",OR(AND(G107&lt;&gt;"",N(G107)&lt;='설정'!$E$6),AND(H107&lt;&gt;"",N(H107)&lt;='설정'!$E$6))),AND('설정'!$F$6&lt;&gt;"",AND(G107&lt;&gt;"",H107&lt;&gt;""),(N(G107)+N(H107))&lt;='설정'!$F$6))),'설정'!$B$6,IF(IF(COUNT('설정'!$C$7:$F$7)=0,AND(G107&lt;&gt;"",H107&lt;&gt;""),OR(AND('설정'!$C$7&lt;&gt;"",G107&lt;&gt;"",N(G107)&gt;='설정'!$C$7),AND('설정'!$D$7&lt;&gt;"",AND(G107&lt;&gt;"",H107&lt;&gt;""),(N(G107)+N(H107))&gt;='설정'!$D$7),AND('설정'!$E$7&lt;&gt;"",OR(AND(G107&lt;&gt;"",N(G107)&lt;='설정'!$E$7),AND(H107&lt;&gt;"",N(H107)&lt;='설정'!$E$7))),AND('설정'!$F$7&lt;&gt;"",AND(G107&lt;&gt;"",H107&lt;&gt;""),(N(G107)+N(H107))&lt;='설정'!$F$7))),'설정'!$B$7,IF(IF(COUNT('설정'!$C$8:$F$8)=0,AND(G107&lt;&gt;"",H107&lt;&gt;""),OR(AND('설정'!$C$8&lt;&gt;"",G107&lt;&gt;"",N(G107)&gt;='설정'!$C$8),AND('설정'!$D$8&lt;&gt;"",AND(G107&lt;&gt;"",H107&lt;&gt;""),(N(G107)+N(H107))&gt;='설정'!$D$8),AND('설정'!$E$8&lt;&gt;"",OR(AND(G107&lt;&gt;"",N(G107)&lt;='설정'!$E$8),AND(H107&lt;&gt;"",N(H107)&lt;='설정'!$E$8))),AND('설정'!$F$8&lt;&gt;"",AND(G107&lt;&gt;"",H107&lt;&gt;""),(N(G107)+N(H107))&lt;='설정'!$F$8))),'설정'!$B$8,'설정'!$B$9))))</f>
        <v/>
      </c>
      <c r="L107" s="29">
        <f>IF(OR(G107="",H107=""),"",IF(SUMPRODUCT(ISNUMBER('설정'!$C$6:$C$8)*(ABS(G107-'설정'!$C$6:$C$8)&lt;='설정'!$C$15))+SUMPRODUCT(ISNUMBER('설정'!$D$6:$D$8)*(ABS((G107+H107)-'설정'!$D$6:$D$8)&lt;='설정'!$C$15))+SUMPRODUCT(ISNUMBER('설정'!$F$6:$F$8)*(ABS((G107+H107)-'설정'!$F$6:$F$8)&lt;='설정'!$C$15))+SUMPRODUCT(ISNUMBER('설정'!$E$6:$E$8)*(ABS(G107-'설정'!$E$6:$E$8)&lt;='설정'!$C$15))+SUMPRODUCT(ISNUMBER('설정'!$E$6:$E$8)*(ABS(H107-'설정'!$E$6:$E$8)&lt;='설정'!$C$15))&gt;0,"경계",""))</f>
        <v/>
      </c>
      <c r="M107" s="7" t="n"/>
      <c r="N107" s="7" t="n"/>
      <c r="O107" s="27">
        <f>IF(M107&lt;&gt;"",M107,K107)</f>
        <v/>
      </c>
      <c r="P107" s="30">
        <f>IF(I107="","",IF(G107="","공수1 미응시",IF(H107="","공수2 미응시","")))</f>
        <v/>
      </c>
      <c r="Q107" s="10">
        <f>IF(J107="","",J107+ROW()/100000)</f>
        <v/>
      </c>
    </row>
    <row r="108">
      <c r="A108" s="5" t="n">
        <v>102</v>
      </c>
      <c r="B108" s="10">
        <f>IF('학생명단'!B108="","",'학생명단'!B108)</f>
        <v/>
      </c>
      <c r="C108" s="10">
        <f>IF('학생명단'!C108="","",'학생명단'!C108)</f>
        <v/>
      </c>
      <c r="D108" s="10">
        <f>IF('학생명단'!D108="","",'학생명단'!D108)</f>
        <v/>
      </c>
      <c r="E108" s="10">
        <f>IF('학생명단'!E108="","",'학생명단'!E108)</f>
        <v/>
      </c>
      <c r="F108" s="11">
        <f>IF('학생명단'!F108="","",'학생명단'!F108)</f>
        <v/>
      </c>
      <c r="G108" s="10">
        <f>'공수1'!Y108</f>
        <v/>
      </c>
      <c r="H108" s="10">
        <f>'공수2'!Y108</f>
        <v/>
      </c>
      <c r="I108" s="28">
        <f>IF(AND(G108="",H108=""),"",N(G108)*'설정'!$C$13+N(H108)*'설정'!$C$14)</f>
        <v/>
      </c>
      <c r="J108" s="10">
        <f>IF(I108="","",COUNTIF($I$7:$I$156,"&gt;"&amp;I108)+1)</f>
        <v/>
      </c>
      <c r="K108" s="27">
        <f>IF(I108="","",IF(IF(COUNT('설정'!$C$6:$F$6)=0,AND(G108&lt;&gt;"",H108&lt;&gt;""),OR(AND('설정'!$C$6&lt;&gt;"",G108&lt;&gt;"",N(G108)&gt;='설정'!$C$6),AND('설정'!$D$6&lt;&gt;"",AND(G108&lt;&gt;"",H108&lt;&gt;""),(N(G108)+N(H108))&gt;='설정'!$D$6),AND('설정'!$E$6&lt;&gt;"",OR(AND(G108&lt;&gt;"",N(G108)&lt;='설정'!$E$6),AND(H108&lt;&gt;"",N(H108)&lt;='설정'!$E$6))),AND('설정'!$F$6&lt;&gt;"",AND(G108&lt;&gt;"",H108&lt;&gt;""),(N(G108)+N(H108))&lt;='설정'!$F$6))),'설정'!$B$6,IF(IF(COUNT('설정'!$C$7:$F$7)=0,AND(G108&lt;&gt;"",H108&lt;&gt;""),OR(AND('설정'!$C$7&lt;&gt;"",G108&lt;&gt;"",N(G108)&gt;='설정'!$C$7),AND('설정'!$D$7&lt;&gt;"",AND(G108&lt;&gt;"",H108&lt;&gt;""),(N(G108)+N(H108))&gt;='설정'!$D$7),AND('설정'!$E$7&lt;&gt;"",OR(AND(G108&lt;&gt;"",N(G108)&lt;='설정'!$E$7),AND(H108&lt;&gt;"",N(H108)&lt;='설정'!$E$7))),AND('설정'!$F$7&lt;&gt;"",AND(G108&lt;&gt;"",H108&lt;&gt;""),(N(G108)+N(H108))&lt;='설정'!$F$7))),'설정'!$B$7,IF(IF(COUNT('설정'!$C$8:$F$8)=0,AND(G108&lt;&gt;"",H108&lt;&gt;""),OR(AND('설정'!$C$8&lt;&gt;"",G108&lt;&gt;"",N(G108)&gt;='설정'!$C$8),AND('설정'!$D$8&lt;&gt;"",AND(G108&lt;&gt;"",H108&lt;&gt;""),(N(G108)+N(H108))&gt;='설정'!$D$8),AND('설정'!$E$8&lt;&gt;"",OR(AND(G108&lt;&gt;"",N(G108)&lt;='설정'!$E$8),AND(H108&lt;&gt;"",N(H108)&lt;='설정'!$E$8))),AND('설정'!$F$8&lt;&gt;"",AND(G108&lt;&gt;"",H108&lt;&gt;""),(N(G108)+N(H108))&lt;='설정'!$F$8))),'설정'!$B$8,'설정'!$B$9))))</f>
        <v/>
      </c>
      <c r="L108" s="29">
        <f>IF(OR(G108="",H108=""),"",IF(SUMPRODUCT(ISNUMBER('설정'!$C$6:$C$8)*(ABS(G108-'설정'!$C$6:$C$8)&lt;='설정'!$C$15))+SUMPRODUCT(ISNUMBER('설정'!$D$6:$D$8)*(ABS((G108+H108)-'설정'!$D$6:$D$8)&lt;='설정'!$C$15))+SUMPRODUCT(ISNUMBER('설정'!$F$6:$F$8)*(ABS((G108+H108)-'설정'!$F$6:$F$8)&lt;='설정'!$C$15))+SUMPRODUCT(ISNUMBER('설정'!$E$6:$E$8)*(ABS(G108-'설정'!$E$6:$E$8)&lt;='설정'!$C$15))+SUMPRODUCT(ISNUMBER('설정'!$E$6:$E$8)*(ABS(H108-'설정'!$E$6:$E$8)&lt;='설정'!$C$15))&gt;0,"경계",""))</f>
        <v/>
      </c>
      <c r="M108" s="7" t="n"/>
      <c r="N108" s="7" t="n"/>
      <c r="O108" s="27">
        <f>IF(M108&lt;&gt;"",M108,K108)</f>
        <v/>
      </c>
      <c r="P108" s="30">
        <f>IF(I108="","",IF(G108="","공수1 미응시",IF(H108="","공수2 미응시","")))</f>
        <v/>
      </c>
      <c r="Q108" s="10">
        <f>IF(J108="","",J108+ROW()/100000)</f>
        <v/>
      </c>
    </row>
    <row r="109">
      <c r="A109" s="5" t="n">
        <v>103</v>
      </c>
      <c r="B109" s="10">
        <f>IF('학생명단'!B109="","",'학생명단'!B109)</f>
        <v/>
      </c>
      <c r="C109" s="10">
        <f>IF('학생명단'!C109="","",'학생명단'!C109)</f>
        <v/>
      </c>
      <c r="D109" s="10">
        <f>IF('학생명단'!D109="","",'학생명단'!D109)</f>
        <v/>
      </c>
      <c r="E109" s="10">
        <f>IF('학생명단'!E109="","",'학생명단'!E109)</f>
        <v/>
      </c>
      <c r="F109" s="11">
        <f>IF('학생명단'!F109="","",'학생명단'!F109)</f>
        <v/>
      </c>
      <c r="G109" s="10">
        <f>'공수1'!Y109</f>
        <v/>
      </c>
      <c r="H109" s="10">
        <f>'공수2'!Y109</f>
        <v/>
      </c>
      <c r="I109" s="28">
        <f>IF(AND(G109="",H109=""),"",N(G109)*'설정'!$C$13+N(H109)*'설정'!$C$14)</f>
        <v/>
      </c>
      <c r="J109" s="10">
        <f>IF(I109="","",COUNTIF($I$7:$I$156,"&gt;"&amp;I109)+1)</f>
        <v/>
      </c>
      <c r="K109" s="27">
        <f>IF(I109="","",IF(IF(COUNT('설정'!$C$6:$F$6)=0,AND(G109&lt;&gt;"",H109&lt;&gt;""),OR(AND('설정'!$C$6&lt;&gt;"",G109&lt;&gt;"",N(G109)&gt;='설정'!$C$6),AND('설정'!$D$6&lt;&gt;"",AND(G109&lt;&gt;"",H109&lt;&gt;""),(N(G109)+N(H109))&gt;='설정'!$D$6),AND('설정'!$E$6&lt;&gt;"",OR(AND(G109&lt;&gt;"",N(G109)&lt;='설정'!$E$6),AND(H109&lt;&gt;"",N(H109)&lt;='설정'!$E$6))),AND('설정'!$F$6&lt;&gt;"",AND(G109&lt;&gt;"",H109&lt;&gt;""),(N(G109)+N(H109))&lt;='설정'!$F$6))),'설정'!$B$6,IF(IF(COUNT('설정'!$C$7:$F$7)=0,AND(G109&lt;&gt;"",H109&lt;&gt;""),OR(AND('설정'!$C$7&lt;&gt;"",G109&lt;&gt;"",N(G109)&gt;='설정'!$C$7),AND('설정'!$D$7&lt;&gt;"",AND(G109&lt;&gt;"",H109&lt;&gt;""),(N(G109)+N(H109))&gt;='설정'!$D$7),AND('설정'!$E$7&lt;&gt;"",OR(AND(G109&lt;&gt;"",N(G109)&lt;='설정'!$E$7),AND(H109&lt;&gt;"",N(H109)&lt;='설정'!$E$7))),AND('설정'!$F$7&lt;&gt;"",AND(G109&lt;&gt;"",H109&lt;&gt;""),(N(G109)+N(H109))&lt;='설정'!$F$7))),'설정'!$B$7,IF(IF(COUNT('설정'!$C$8:$F$8)=0,AND(G109&lt;&gt;"",H109&lt;&gt;""),OR(AND('설정'!$C$8&lt;&gt;"",G109&lt;&gt;"",N(G109)&gt;='설정'!$C$8),AND('설정'!$D$8&lt;&gt;"",AND(G109&lt;&gt;"",H109&lt;&gt;""),(N(G109)+N(H109))&gt;='설정'!$D$8),AND('설정'!$E$8&lt;&gt;"",OR(AND(G109&lt;&gt;"",N(G109)&lt;='설정'!$E$8),AND(H109&lt;&gt;"",N(H109)&lt;='설정'!$E$8))),AND('설정'!$F$8&lt;&gt;"",AND(G109&lt;&gt;"",H109&lt;&gt;""),(N(G109)+N(H109))&lt;='설정'!$F$8))),'설정'!$B$8,'설정'!$B$9))))</f>
        <v/>
      </c>
      <c r="L109" s="29">
        <f>IF(OR(G109="",H109=""),"",IF(SUMPRODUCT(ISNUMBER('설정'!$C$6:$C$8)*(ABS(G109-'설정'!$C$6:$C$8)&lt;='설정'!$C$15))+SUMPRODUCT(ISNUMBER('설정'!$D$6:$D$8)*(ABS((G109+H109)-'설정'!$D$6:$D$8)&lt;='설정'!$C$15))+SUMPRODUCT(ISNUMBER('설정'!$F$6:$F$8)*(ABS((G109+H109)-'설정'!$F$6:$F$8)&lt;='설정'!$C$15))+SUMPRODUCT(ISNUMBER('설정'!$E$6:$E$8)*(ABS(G109-'설정'!$E$6:$E$8)&lt;='설정'!$C$15))+SUMPRODUCT(ISNUMBER('설정'!$E$6:$E$8)*(ABS(H109-'설정'!$E$6:$E$8)&lt;='설정'!$C$15))&gt;0,"경계",""))</f>
        <v/>
      </c>
      <c r="M109" s="7" t="n"/>
      <c r="N109" s="7" t="n"/>
      <c r="O109" s="27">
        <f>IF(M109&lt;&gt;"",M109,K109)</f>
        <v/>
      </c>
      <c r="P109" s="30">
        <f>IF(I109="","",IF(G109="","공수1 미응시",IF(H109="","공수2 미응시","")))</f>
        <v/>
      </c>
      <c r="Q109" s="10">
        <f>IF(J109="","",J109+ROW()/100000)</f>
        <v/>
      </c>
    </row>
    <row r="110">
      <c r="A110" s="5" t="n">
        <v>104</v>
      </c>
      <c r="B110" s="10">
        <f>IF('학생명단'!B110="","",'학생명단'!B110)</f>
        <v/>
      </c>
      <c r="C110" s="10">
        <f>IF('학생명단'!C110="","",'학생명단'!C110)</f>
        <v/>
      </c>
      <c r="D110" s="10">
        <f>IF('학생명단'!D110="","",'학생명단'!D110)</f>
        <v/>
      </c>
      <c r="E110" s="10">
        <f>IF('학생명단'!E110="","",'학생명단'!E110)</f>
        <v/>
      </c>
      <c r="F110" s="11">
        <f>IF('학생명단'!F110="","",'학생명단'!F110)</f>
        <v/>
      </c>
      <c r="G110" s="10">
        <f>'공수1'!Y110</f>
        <v/>
      </c>
      <c r="H110" s="10">
        <f>'공수2'!Y110</f>
        <v/>
      </c>
      <c r="I110" s="28">
        <f>IF(AND(G110="",H110=""),"",N(G110)*'설정'!$C$13+N(H110)*'설정'!$C$14)</f>
        <v/>
      </c>
      <c r="J110" s="10">
        <f>IF(I110="","",COUNTIF($I$7:$I$156,"&gt;"&amp;I110)+1)</f>
        <v/>
      </c>
      <c r="K110" s="27">
        <f>IF(I110="","",IF(IF(COUNT('설정'!$C$6:$F$6)=0,AND(G110&lt;&gt;"",H110&lt;&gt;""),OR(AND('설정'!$C$6&lt;&gt;"",G110&lt;&gt;"",N(G110)&gt;='설정'!$C$6),AND('설정'!$D$6&lt;&gt;"",AND(G110&lt;&gt;"",H110&lt;&gt;""),(N(G110)+N(H110))&gt;='설정'!$D$6),AND('설정'!$E$6&lt;&gt;"",OR(AND(G110&lt;&gt;"",N(G110)&lt;='설정'!$E$6),AND(H110&lt;&gt;"",N(H110)&lt;='설정'!$E$6))),AND('설정'!$F$6&lt;&gt;"",AND(G110&lt;&gt;"",H110&lt;&gt;""),(N(G110)+N(H110))&lt;='설정'!$F$6))),'설정'!$B$6,IF(IF(COUNT('설정'!$C$7:$F$7)=0,AND(G110&lt;&gt;"",H110&lt;&gt;""),OR(AND('설정'!$C$7&lt;&gt;"",G110&lt;&gt;"",N(G110)&gt;='설정'!$C$7),AND('설정'!$D$7&lt;&gt;"",AND(G110&lt;&gt;"",H110&lt;&gt;""),(N(G110)+N(H110))&gt;='설정'!$D$7),AND('설정'!$E$7&lt;&gt;"",OR(AND(G110&lt;&gt;"",N(G110)&lt;='설정'!$E$7),AND(H110&lt;&gt;"",N(H110)&lt;='설정'!$E$7))),AND('설정'!$F$7&lt;&gt;"",AND(G110&lt;&gt;"",H110&lt;&gt;""),(N(G110)+N(H110))&lt;='설정'!$F$7))),'설정'!$B$7,IF(IF(COUNT('설정'!$C$8:$F$8)=0,AND(G110&lt;&gt;"",H110&lt;&gt;""),OR(AND('설정'!$C$8&lt;&gt;"",G110&lt;&gt;"",N(G110)&gt;='설정'!$C$8),AND('설정'!$D$8&lt;&gt;"",AND(G110&lt;&gt;"",H110&lt;&gt;""),(N(G110)+N(H110))&gt;='설정'!$D$8),AND('설정'!$E$8&lt;&gt;"",OR(AND(G110&lt;&gt;"",N(G110)&lt;='설정'!$E$8),AND(H110&lt;&gt;"",N(H110)&lt;='설정'!$E$8))),AND('설정'!$F$8&lt;&gt;"",AND(G110&lt;&gt;"",H110&lt;&gt;""),(N(G110)+N(H110))&lt;='설정'!$F$8))),'설정'!$B$8,'설정'!$B$9))))</f>
        <v/>
      </c>
      <c r="L110" s="29">
        <f>IF(OR(G110="",H110=""),"",IF(SUMPRODUCT(ISNUMBER('설정'!$C$6:$C$8)*(ABS(G110-'설정'!$C$6:$C$8)&lt;='설정'!$C$15))+SUMPRODUCT(ISNUMBER('설정'!$D$6:$D$8)*(ABS((G110+H110)-'설정'!$D$6:$D$8)&lt;='설정'!$C$15))+SUMPRODUCT(ISNUMBER('설정'!$F$6:$F$8)*(ABS((G110+H110)-'설정'!$F$6:$F$8)&lt;='설정'!$C$15))+SUMPRODUCT(ISNUMBER('설정'!$E$6:$E$8)*(ABS(G110-'설정'!$E$6:$E$8)&lt;='설정'!$C$15))+SUMPRODUCT(ISNUMBER('설정'!$E$6:$E$8)*(ABS(H110-'설정'!$E$6:$E$8)&lt;='설정'!$C$15))&gt;0,"경계",""))</f>
        <v/>
      </c>
      <c r="M110" s="7" t="n"/>
      <c r="N110" s="7" t="n"/>
      <c r="O110" s="27">
        <f>IF(M110&lt;&gt;"",M110,K110)</f>
        <v/>
      </c>
      <c r="P110" s="30">
        <f>IF(I110="","",IF(G110="","공수1 미응시",IF(H110="","공수2 미응시","")))</f>
        <v/>
      </c>
      <c r="Q110" s="10">
        <f>IF(J110="","",J110+ROW()/100000)</f>
        <v/>
      </c>
    </row>
    <row r="111">
      <c r="A111" s="5" t="n">
        <v>105</v>
      </c>
      <c r="B111" s="10">
        <f>IF('학생명단'!B111="","",'학생명단'!B111)</f>
        <v/>
      </c>
      <c r="C111" s="10">
        <f>IF('학생명단'!C111="","",'학생명단'!C111)</f>
        <v/>
      </c>
      <c r="D111" s="10">
        <f>IF('학생명단'!D111="","",'학생명단'!D111)</f>
        <v/>
      </c>
      <c r="E111" s="10">
        <f>IF('학생명단'!E111="","",'학생명단'!E111)</f>
        <v/>
      </c>
      <c r="F111" s="11">
        <f>IF('학생명단'!F111="","",'학생명단'!F111)</f>
        <v/>
      </c>
      <c r="G111" s="10">
        <f>'공수1'!Y111</f>
        <v/>
      </c>
      <c r="H111" s="10">
        <f>'공수2'!Y111</f>
        <v/>
      </c>
      <c r="I111" s="28">
        <f>IF(AND(G111="",H111=""),"",N(G111)*'설정'!$C$13+N(H111)*'설정'!$C$14)</f>
        <v/>
      </c>
      <c r="J111" s="10">
        <f>IF(I111="","",COUNTIF($I$7:$I$156,"&gt;"&amp;I111)+1)</f>
        <v/>
      </c>
      <c r="K111" s="27">
        <f>IF(I111="","",IF(IF(COUNT('설정'!$C$6:$F$6)=0,AND(G111&lt;&gt;"",H111&lt;&gt;""),OR(AND('설정'!$C$6&lt;&gt;"",G111&lt;&gt;"",N(G111)&gt;='설정'!$C$6),AND('설정'!$D$6&lt;&gt;"",AND(G111&lt;&gt;"",H111&lt;&gt;""),(N(G111)+N(H111))&gt;='설정'!$D$6),AND('설정'!$E$6&lt;&gt;"",OR(AND(G111&lt;&gt;"",N(G111)&lt;='설정'!$E$6),AND(H111&lt;&gt;"",N(H111)&lt;='설정'!$E$6))),AND('설정'!$F$6&lt;&gt;"",AND(G111&lt;&gt;"",H111&lt;&gt;""),(N(G111)+N(H111))&lt;='설정'!$F$6))),'설정'!$B$6,IF(IF(COUNT('설정'!$C$7:$F$7)=0,AND(G111&lt;&gt;"",H111&lt;&gt;""),OR(AND('설정'!$C$7&lt;&gt;"",G111&lt;&gt;"",N(G111)&gt;='설정'!$C$7),AND('설정'!$D$7&lt;&gt;"",AND(G111&lt;&gt;"",H111&lt;&gt;""),(N(G111)+N(H111))&gt;='설정'!$D$7),AND('설정'!$E$7&lt;&gt;"",OR(AND(G111&lt;&gt;"",N(G111)&lt;='설정'!$E$7),AND(H111&lt;&gt;"",N(H111)&lt;='설정'!$E$7))),AND('설정'!$F$7&lt;&gt;"",AND(G111&lt;&gt;"",H111&lt;&gt;""),(N(G111)+N(H111))&lt;='설정'!$F$7))),'설정'!$B$7,IF(IF(COUNT('설정'!$C$8:$F$8)=0,AND(G111&lt;&gt;"",H111&lt;&gt;""),OR(AND('설정'!$C$8&lt;&gt;"",G111&lt;&gt;"",N(G111)&gt;='설정'!$C$8),AND('설정'!$D$8&lt;&gt;"",AND(G111&lt;&gt;"",H111&lt;&gt;""),(N(G111)+N(H111))&gt;='설정'!$D$8),AND('설정'!$E$8&lt;&gt;"",OR(AND(G111&lt;&gt;"",N(G111)&lt;='설정'!$E$8),AND(H111&lt;&gt;"",N(H111)&lt;='설정'!$E$8))),AND('설정'!$F$8&lt;&gt;"",AND(G111&lt;&gt;"",H111&lt;&gt;""),(N(G111)+N(H111))&lt;='설정'!$F$8))),'설정'!$B$8,'설정'!$B$9))))</f>
        <v/>
      </c>
      <c r="L111" s="29">
        <f>IF(OR(G111="",H111=""),"",IF(SUMPRODUCT(ISNUMBER('설정'!$C$6:$C$8)*(ABS(G111-'설정'!$C$6:$C$8)&lt;='설정'!$C$15))+SUMPRODUCT(ISNUMBER('설정'!$D$6:$D$8)*(ABS((G111+H111)-'설정'!$D$6:$D$8)&lt;='설정'!$C$15))+SUMPRODUCT(ISNUMBER('설정'!$F$6:$F$8)*(ABS((G111+H111)-'설정'!$F$6:$F$8)&lt;='설정'!$C$15))+SUMPRODUCT(ISNUMBER('설정'!$E$6:$E$8)*(ABS(G111-'설정'!$E$6:$E$8)&lt;='설정'!$C$15))+SUMPRODUCT(ISNUMBER('설정'!$E$6:$E$8)*(ABS(H111-'설정'!$E$6:$E$8)&lt;='설정'!$C$15))&gt;0,"경계",""))</f>
        <v/>
      </c>
      <c r="M111" s="7" t="n"/>
      <c r="N111" s="7" t="n"/>
      <c r="O111" s="27">
        <f>IF(M111&lt;&gt;"",M111,K111)</f>
        <v/>
      </c>
      <c r="P111" s="30">
        <f>IF(I111="","",IF(G111="","공수1 미응시",IF(H111="","공수2 미응시","")))</f>
        <v/>
      </c>
      <c r="Q111" s="10">
        <f>IF(J111="","",J111+ROW()/100000)</f>
        <v/>
      </c>
    </row>
    <row r="112">
      <c r="A112" s="5" t="n">
        <v>106</v>
      </c>
      <c r="B112" s="10">
        <f>IF('학생명단'!B112="","",'학생명단'!B112)</f>
        <v/>
      </c>
      <c r="C112" s="10">
        <f>IF('학생명단'!C112="","",'학생명단'!C112)</f>
        <v/>
      </c>
      <c r="D112" s="10">
        <f>IF('학생명단'!D112="","",'학생명단'!D112)</f>
        <v/>
      </c>
      <c r="E112" s="10">
        <f>IF('학생명단'!E112="","",'학생명단'!E112)</f>
        <v/>
      </c>
      <c r="F112" s="11">
        <f>IF('학생명단'!F112="","",'학생명단'!F112)</f>
        <v/>
      </c>
      <c r="G112" s="10">
        <f>'공수1'!Y112</f>
        <v/>
      </c>
      <c r="H112" s="10">
        <f>'공수2'!Y112</f>
        <v/>
      </c>
      <c r="I112" s="28">
        <f>IF(AND(G112="",H112=""),"",N(G112)*'설정'!$C$13+N(H112)*'설정'!$C$14)</f>
        <v/>
      </c>
      <c r="J112" s="10">
        <f>IF(I112="","",COUNTIF($I$7:$I$156,"&gt;"&amp;I112)+1)</f>
        <v/>
      </c>
      <c r="K112" s="27">
        <f>IF(I112="","",IF(IF(COUNT('설정'!$C$6:$F$6)=0,AND(G112&lt;&gt;"",H112&lt;&gt;""),OR(AND('설정'!$C$6&lt;&gt;"",G112&lt;&gt;"",N(G112)&gt;='설정'!$C$6),AND('설정'!$D$6&lt;&gt;"",AND(G112&lt;&gt;"",H112&lt;&gt;""),(N(G112)+N(H112))&gt;='설정'!$D$6),AND('설정'!$E$6&lt;&gt;"",OR(AND(G112&lt;&gt;"",N(G112)&lt;='설정'!$E$6),AND(H112&lt;&gt;"",N(H112)&lt;='설정'!$E$6))),AND('설정'!$F$6&lt;&gt;"",AND(G112&lt;&gt;"",H112&lt;&gt;""),(N(G112)+N(H112))&lt;='설정'!$F$6))),'설정'!$B$6,IF(IF(COUNT('설정'!$C$7:$F$7)=0,AND(G112&lt;&gt;"",H112&lt;&gt;""),OR(AND('설정'!$C$7&lt;&gt;"",G112&lt;&gt;"",N(G112)&gt;='설정'!$C$7),AND('설정'!$D$7&lt;&gt;"",AND(G112&lt;&gt;"",H112&lt;&gt;""),(N(G112)+N(H112))&gt;='설정'!$D$7),AND('설정'!$E$7&lt;&gt;"",OR(AND(G112&lt;&gt;"",N(G112)&lt;='설정'!$E$7),AND(H112&lt;&gt;"",N(H112)&lt;='설정'!$E$7))),AND('설정'!$F$7&lt;&gt;"",AND(G112&lt;&gt;"",H112&lt;&gt;""),(N(G112)+N(H112))&lt;='설정'!$F$7))),'설정'!$B$7,IF(IF(COUNT('설정'!$C$8:$F$8)=0,AND(G112&lt;&gt;"",H112&lt;&gt;""),OR(AND('설정'!$C$8&lt;&gt;"",G112&lt;&gt;"",N(G112)&gt;='설정'!$C$8),AND('설정'!$D$8&lt;&gt;"",AND(G112&lt;&gt;"",H112&lt;&gt;""),(N(G112)+N(H112))&gt;='설정'!$D$8),AND('설정'!$E$8&lt;&gt;"",OR(AND(G112&lt;&gt;"",N(G112)&lt;='설정'!$E$8),AND(H112&lt;&gt;"",N(H112)&lt;='설정'!$E$8))),AND('설정'!$F$8&lt;&gt;"",AND(G112&lt;&gt;"",H112&lt;&gt;""),(N(G112)+N(H112))&lt;='설정'!$F$8))),'설정'!$B$8,'설정'!$B$9))))</f>
        <v/>
      </c>
      <c r="L112" s="29">
        <f>IF(OR(G112="",H112=""),"",IF(SUMPRODUCT(ISNUMBER('설정'!$C$6:$C$8)*(ABS(G112-'설정'!$C$6:$C$8)&lt;='설정'!$C$15))+SUMPRODUCT(ISNUMBER('설정'!$D$6:$D$8)*(ABS((G112+H112)-'설정'!$D$6:$D$8)&lt;='설정'!$C$15))+SUMPRODUCT(ISNUMBER('설정'!$F$6:$F$8)*(ABS((G112+H112)-'설정'!$F$6:$F$8)&lt;='설정'!$C$15))+SUMPRODUCT(ISNUMBER('설정'!$E$6:$E$8)*(ABS(G112-'설정'!$E$6:$E$8)&lt;='설정'!$C$15))+SUMPRODUCT(ISNUMBER('설정'!$E$6:$E$8)*(ABS(H112-'설정'!$E$6:$E$8)&lt;='설정'!$C$15))&gt;0,"경계",""))</f>
        <v/>
      </c>
      <c r="M112" s="7" t="n"/>
      <c r="N112" s="7" t="n"/>
      <c r="O112" s="27">
        <f>IF(M112&lt;&gt;"",M112,K112)</f>
        <v/>
      </c>
      <c r="P112" s="30">
        <f>IF(I112="","",IF(G112="","공수1 미응시",IF(H112="","공수2 미응시","")))</f>
        <v/>
      </c>
      <c r="Q112" s="10">
        <f>IF(J112="","",J112+ROW()/100000)</f>
        <v/>
      </c>
    </row>
    <row r="113">
      <c r="A113" s="5" t="n">
        <v>107</v>
      </c>
      <c r="B113" s="10">
        <f>IF('학생명단'!B113="","",'학생명단'!B113)</f>
        <v/>
      </c>
      <c r="C113" s="10">
        <f>IF('학생명단'!C113="","",'학생명단'!C113)</f>
        <v/>
      </c>
      <c r="D113" s="10">
        <f>IF('학생명단'!D113="","",'학생명단'!D113)</f>
        <v/>
      </c>
      <c r="E113" s="10">
        <f>IF('학생명단'!E113="","",'학생명단'!E113)</f>
        <v/>
      </c>
      <c r="F113" s="11">
        <f>IF('학생명단'!F113="","",'학생명단'!F113)</f>
        <v/>
      </c>
      <c r="G113" s="10">
        <f>'공수1'!Y113</f>
        <v/>
      </c>
      <c r="H113" s="10">
        <f>'공수2'!Y113</f>
        <v/>
      </c>
      <c r="I113" s="28">
        <f>IF(AND(G113="",H113=""),"",N(G113)*'설정'!$C$13+N(H113)*'설정'!$C$14)</f>
        <v/>
      </c>
      <c r="J113" s="10">
        <f>IF(I113="","",COUNTIF($I$7:$I$156,"&gt;"&amp;I113)+1)</f>
        <v/>
      </c>
      <c r="K113" s="27">
        <f>IF(I113="","",IF(IF(COUNT('설정'!$C$6:$F$6)=0,AND(G113&lt;&gt;"",H113&lt;&gt;""),OR(AND('설정'!$C$6&lt;&gt;"",G113&lt;&gt;"",N(G113)&gt;='설정'!$C$6),AND('설정'!$D$6&lt;&gt;"",AND(G113&lt;&gt;"",H113&lt;&gt;""),(N(G113)+N(H113))&gt;='설정'!$D$6),AND('설정'!$E$6&lt;&gt;"",OR(AND(G113&lt;&gt;"",N(G113)&lt;='설정'!$E$6),AND(H113&lt;&gt;"",N(H113)&lt;='설정'!$E$6))),AND('설정'!$F$6&lt;&gt;"",AND(G113&lt;&gt;"",H113&lt;&gt;""),(N(G113)+N(H113))&lt;='설정'!$F$6))),'설정'!$B$6,IF(IF(COUNT('설정'!$C$7:$F$7)=0,AND(G113&lt;&gt;"",H113&lt;&gt;""),OR(AND('설정'!$C$7&lt;&gt;"",G113&lt;&gt;"",N(G113)&gt;='설정'!$C$7),AND('설정'!$D$7&lt;&gt;"",AND(G113&lt;&gt;"",H113&lt;&gt;""),(N(G113)+N(H113))&gt;='설정'!$D$7),AND('설정'!$E$7&lt;&gt;"",OR(AND(G113&lt;&gt;"",N(G113)&lt;='설정'!$E$7),AND(H113&lt;&gt;"",N(H113)&lt;='설정'!$E$7))),AND('설정'!$F$7&lt;&gt;"",AND(G113&lt;&gt;"",H113&lt;&gt;""),(N(G113)+N(H113))&lt;='설정'!$F$7))),'설정'!$B$7,IF(IF(COUNT('설정'!$C$8:$F$8)=0,AND(G113&lt;&gt;"",H113&lt;&gt;""),OR(AND('설정'!$C$8&lt;&gt;"",G113&lt;&gt;"",N(G113)&gt;='설정'!$C$8),AND('설정'!$D$8&lt;&gt;"",AND(G113&lt;&gt;"",H113&lt;&gt;""),(N(G113)+N(H113))&gt;='설정'!$D$8),AND('설정'!$E$8&lt;&gt;"",OR(AND(G113&lt;&gt;"",N(G113)&lt;='설정'!$E$8),AND(H113&lt;&gt;"",N(H113)&lt;='설정'!$E$8))),AND('설정'!$F$8&lt;&gt;"",AND(G113&lt;&gt;"",H113&lt;&gt;""),(N(G113)+N(H113))&lt;='설정'!$F$8))),'설정'!$B$8,'설정'!$B$9))))</f>
        <v/>
      </c>
      <c r="L113" s="29">
        <f>IF(OR(G113="",H113=""),"",IF(SUMPRODUCT(ISNUMBER('설정'!$C$6:$C$8)*(ABS(G113-'설정'!$C$6:$C$8)&lt;='설정'!$C$15))+SUMPRODUCT(ISNUMBER('설정'!$D$6:$D$8)*(ABS((G113+H113)-'설정'!$D$6:$D$8)&lt;='설정'!$C$15))+SUMPRODUCT(ISNUMBER('설정'!$F$6:$F$8)*(ABS((G113+H113)-'설정'!$F$6:$F$8)&lt;='설정'!$C$15))+SUMPRODUCT(ISNUMBER('설정'!$E$6:$E$8)*(ABS(G113-'설정'!$E$6:$E$8)&lt;='설정'!$C$15))+SUMPRODUCT(ISNUMBER('설정'!$E$6:$E$8)*(ABS(H113-'설정'!$E$6:$E$8)&lt;='설정'!$C$15))&gt;0,"경계",""))</f>
        <v/>
      </c>
      <c r="M113" s="7" t="n"/>
      <c r="N113" s="7" t="n"/>
      <c r="O113" s="27">
        <f>IF(M113&lt;&gt;"",M113,K113)</f>
        <v/>
      </c>
      <c r="P113" s="30">
        <f>IF(I113="","",IF(G113="","공수1 미응시",IF(H113="","공수2 미응시","")))</f>
        <v/>
      </c>
      <c r="Q113" s="10">
        <f>IF(J113="","",J113+ROW()/100000)</f>
        <v/>
      </c>
    </row>
    <row r="114">
      <c r="A114" s="5" t="n">
        <v>108</v>
      </c>
      <c r="B114" s="10">
        <f>IF('학생명단'!B114="","",'학생명단'!B114)</f>
        <v/>
      </c>
      <c r="C114" s="10">
        <f>IF('학생명단'!C114="","",'학생명단'!C114)</f>
        <v/>
      </c>
      <c r="D114" s="10">
        <f>IF('학생명단'!D114="","",'학생명단'!D114)</f>
        <v/>
      </c>
      <c r="E114" s="10">
        <f>IF('학생명단'!E114="","",'학생명단'!E114)</f>
        <v/>
      </c>
      <c r="F114" s="11">
        <f>IF('학생명단'!F114="","",'학생명단'!F114)</f>
        <v/>
      </c>
      <c r="G114" s="10">
        <f>'공수1'!Y114</f>
        <v/>
      </c>
      <c r="H114" s="10">
        <f>'공수2'!Y114</f>
        <v/>
      </c>
      <c r="I114" s="28">
        <f>IF(AND(G114="",H114=""),"",N(G114)*'설정'!$C$13+N(H114)*'설정'!$C$14)</f>
        <v/>
      </c>
      <c r="J114" s="10">
        <f>IF(I114="","",COUNTIF($I$7:$I$156,"&gt;"&amp;I114)+1)</f>
        <v/>
      </c>
      <c r="K114" s="27">
        <f>IF(I114="","",IF(IF(COUNT('설정'!$C$6:$F$6)=0,AND(G114&lt;&gt;"",H114&lt;&gt;""),OR(AND('설정'!$C$6&lt;&gt;"",G114&lt;&gt;"",N(G114)&gt;='설정'!$C$6),AND('설정'!$D$6&lt;&gt;"",AND(G114&lt;&gt;"",H114&lt;&gt;""),(N(G114)+N(H114))&gt;='설정'!$D$6),AND('설정'!$E$6&lt;&gt;"",OR(AND(G114&lt;&gt;"",N(G114)&lt;='설정'!$E$6),AND(H114&lt;&gt;"",N(H114)&lt;='설정'!$E$6))),AND('설정'!$F$6&lt;&gt;"",AND(G114&lt;&gt;"",H114&lt;&gt;""),(N(G114)+N(H114))&lt;='설정'!$F$6))),'설정'!$B$6,IF(IF(COUNT('설정'!$C$7:$F$7)=0,AND(G114&lt;&gt;"",H114&lt;&gt;""),OR(AND('설정'!$C$7&lt;&gt;"",G114&lt;&gt;"",N(G114)&gt;='설정'!$C$7),AND('설정'!$D$7&lt;&gt;"",AND(G114&lt;&gt;"",H114&lt;&gt;""),(N(G114)+N(H114))&gt;='설정'!$D$7),AND('설정'!$E$7&lt;&gt;"",OR(AND(G114&lt;&gt;"",N(G114)&lt;='설정'!$E$7),AND(H114&lt;&gt;"",N(H114)&lt;='설정'!$E$7))),AND('설정'!$F$7&lt;&gt;"",AND(G114&lt;&gt;"",H114&lt;&gt;""),(N(G114)+N(H114))&lt;='설정'!$F$7))),'설정'!$B$7,IF(IF(COUNT('설정'!$C$8:$F$8)=0,AND(G114&lt;&gt;"",H114&lt;&gt;""),OR(AND('설정'!$C$8&lt;&gt;"",G114&lt;&gt;"",N(G114)&gt;='설정'!$C$8),AND('설정'!$D$8&lt;&gt;"",AND(G114&lt;&gt;"",H114&lt;&gt;""),(N(G114)+N(H114))&gt;='설정'!$D$8),AND('설정'!$E$8&lt;&gt;"",OR(AND(G114&lt;&gt;"",N(G114)&lt;='설정'!$E$8),AND(H114&lt;&gt;"",N(H114)&lt;='설정'!$E$8))),AND('설정'!$F$8&lt;&gt;"",AND(G114&lt;&gt;"",H114&lt;&gt;""),(N(G114)+N(H114))&lt;='설정'!$F$8))),'설정'!$B$8,'설정'!$B$9))))</f>
        <v/>
      </c>
      <c r="L114" s="29">
        <f>IF(OR(G114="",H114=""),"",IF(SUMPRODUCT(ISNUMBER('설정'!$C$6:$C$8)*(ABS(G114-'설정'!$C$6:$C$8)&lt;='설정'!$C$15))+SUMPRODUCT(ISNUMBER('설정'!$D$6:$D$8)*(ABS((G114+H114)-'설정'!$D$6:$D$8)&lt;='설정'!$C$15))+SUMPRODUCT(ISNUMBER('설정'!$F$6:$F$8)*(ABS((G114+H114)-'설정'!$F$6:$F$8)&lt;='설정'!$C$15))+SUMPRODUCT(ISNUMBER('설정'!$E$6:$E$8)*(ABS(G114-'설정'!$E$6:$E$8)&lt;='설정'!$C$15))+SUMPRODUCT(ISNUMBER('설정'!$E$6:$E$8)*(ABS(H114-'설정'!$E$6:$E$8)&lt;='설정'!$C$15))&gt;0,"경계",""))</f>
        <v/>
      </c>
      <c r="M114" s="7" t="n"/>
      <c r="N114" s="7" t="n"/>
      <c r="O114" s="27">
        <f>IF(M114&lt;&gt;"",M114,K114)</f>
        <v/>
      </c>
      <c r="P114" s="30">
        <f>IF(I114="","",IF(G114="","공수1 미응시",IF(H114="","공수2 미응시","")))</f>
        <v/>
      </c>
      <c r="Q114" s="10">
        <f>IF(J114="","",J114+ROW()/100000)</f>
        <v/>
      </c>
    </row>
    <row r="115">
      <c r="A115" s="5" t="n">
        <v>109</v>
      </c>
      <c r="B115" s="10">
        <f>IF('학생명단'!B115="","",'학생명단'!B115)</f>
        <v/>
      </c>
      <c r="C115" s="10">
        <f>IF('학생명단'!C115="","",'학생명단'!C115)</f>
        <v/>
      </c>
      <c r="D115" s="10">
        <f>IF('학생명단'!D115="","",'학생명단'!D115)</f>
        <v/>
      </c>
      <c r="E115" s="10">
        <f>IF('학생명단'!E115="","",'학생명단'!E115)</f>
        <v/>
      </c>
      <c r="F115" s="11">
        <f>IF('학생명단'!F115="","",'학생명단'!F115)</f>
        <v/>
      </c>
      <c r="G115" s="10">
        <f>'공수1'!Y115</f>
        <v/>
      </c>
      <c r="H115" s="10">
        <f>'공수2'!Y115</f>
        <v/>
      </c>
      <c r="I115" s="28">
        <f>IF(AND(G115="",H115=""),"",N(G115)*'설정'!$C$13+N(H115)*'설정'!$C$14)</f>
        <v/>
      </c>
      <c r="J115" s="10">
        <f>IF(I115="","",COUNTIF($I$7:$I$156,"&gt;"&amp;I115)+1)</f>
        <v/>
      </c>
      <c r="K115" s="27">
        <f>IF(I115="","",IF(IF(COUNT('설정'!$C$6:$F$6)=0,AND(G115&lt;&gt;"",H115&lt;&gt;""),OR(AND('설정'!$C$6&lt;&gt;"",G115&lt;&gt;"",N(G115)&gt;='설정'!$C$6),AND('설정'!$D$6&lt;&gt;"",AND(G115&lt;&gt;"",H115&lt;&gt;""),(N(G115)+N(H115))&gt;='설정'!$D$6),AND('설정'!$E$6&lt;&gt;"",OR(AND(G115&lt;&gt;"",N(G115)&lt;='설정'!$E$6),AND(H115&lt;&gt;"",N(H115)&lt;='설정'!$E$6))),AND('설정'!$F$6&lt;&gt;"",AND(G115&lt;&gt;"",H115&lt;&gt;""),(N(G115)+N(H115))&lt;='설정'!$F$6))),'설정'!$B$6,IF(IF(COUNT('설정'!$C$7:$F$7)=0,AND(G115&lt;&gt;"",H115&lt;&gt;""),OR(AND('설정'!$C$7&lt;&gt;"",G115&lt;&gt;"",N(G115)&gt;='설정'!$C$7),AND('설정'!$D$7&lt;&gt;"",AND(G115&lt;&gt;"",H115&lt;&gt;""),(N(G115)+N(H115))&gt;='설정'!$D$7),AND('설정'!$E$7&lt;&gt;"",OR(AND(G115&lt;&gt;"",N(G115)&lt;='설정'!$E$7),AND(H115&lt;&gt;"",N(H115)&lt;='설정'!$E$7))),AND('설정'!$F$7&lt;&gt;"",AND(G115&lt;&gt;"",H115&lt;&gt;""),(N(G115)+N(H115))&lt;='설정'!$F$7))),'설정'!$B$7,IF(IF(COUNT('설정'!$C$8:$F$8)=0,AND(G115&lt;&gt;"",H115&lt;&gt;""),OR(AND('설정'!$C$8&lt;&gt;"",G115&lt;&gt;"",N(G115)&gt;='설정'!$C$8),AND('설정'!$D$8&lt;&gt;"",AND(G115&lt;&gt;"",H115&lt;&gt;""),(N(G115)+N(H115))&gt;='설정'!$D$8),AND('설정'!$E$8&lt;&gt;"",OR(AND(G115&lt;&gt;"",N(G115)&lt;='설정'!$E$8),AND(H115&lt;&gt;"",N(H115)&lt;='설정'!$E$8))),AND('설정'!$F$8&lt;&gt;"",AND(G115&lt;&gt;"",H115&lt;&gt;""),(N(G115)+N(H115))&lt;='설정'!$F$8))),'설정'!$B$8,'설정'!$B$9))))</f>
        <v/>
      </c>
      <c r="L115" s="29">
        <f>IF(OR(G115="",H115=""),"",IF(SUMPRODUCT(ISNUMBER('설정'!$C$6:$C$8)*(ABS(G115-'설정'!$C$6:$C$8)&lt;='설정'!$C$15))+SUMPRODUCT(ISNUMBER('설정'!$D$6:$D$8)*(ABS((G115+H115)-'설정'!$D$6:$D$8)&lt;='설정'!$C$15))+SUMPRODUCT(ISNUMBER('설정'!$F$6:$F$8)*(ABS((G115+H115)-'설정'!$F$6:$F$8)&lt;='설정'!$C$15))+SUMPRODUCT(ISNUMBER('설정'!$E$6:$E$8)*(ABS(G115-'설정'!$E$6:$E$8)&lt;='설정'!$C$15))+SUMPRODUCT(ISNUMBER('설정'!$E$6:$E$8)*(ABS(H115-'설정'!$E$6:$E$8)&lt;='설정'!$C$15))&gt;0,"경계",""))</f>
        <v/>
      </c>
      <c r="M115" s="7" t="n"/>
      <c r="N115" s="7" t="n"/>
      <c r="O115" s="27">
        <f>IF(M115&lt;&gt;"",M115,K115)</f>
        <v/>
      </c>
      <c r="P115" s="30">
        <f>IF(I115="","",IF(G115="","공수1 미응시",IF(H115="","공수2 미응시","")))</f>
        <v/>
      </c>
      <c r="Q115" s="10">
        <f>IF(J115="","",J115+ROW()/100000)</f>
        <v/>
      </c>
    </row>
    <row r="116">
      <c r="A116" s="5" t="n">
        <v>110</v>
      </c>
      <c r="B116" s="10">
        <f>IF('학생명단'!B116="","",'학생명단'!B116)</f>
        <v/>
      </c>
      <c r="C116" s="10">
        <f>IF('학생명단'!C116="","",'학생명단'!C116)</f>
        <v/>
      </c>
      <c r="D116" s="10">
        <f>IF('학생명단'!D116="","",'학생명단'!D116)</f>
        <v/>
      </c>
      <c r="E116" s="10">
        <f>IF('학생명단'!E116="","",'학생명단'!E116)</f>
        <v/>
      </c>
      <c r="F116" s="11">
        <f>IF('학생명단'!F116="","",'학생명단'!F116)</f>
        <v/>
      </c>
      <c r="G116" s="10">
        <f>'공수1'!Y116</f>
        <v/>
      </c>
      <c r="H116" s="10">
        <f>'공수2'!Y116</f>
        <v/>
      </c>
      <c r="I116" s="28">
        <f>IF(AND(G116="",H116=""),"",N(G116)*'설정'!$C$13+N(H116)*'설정'!$C$14)</f>
        <v/>
      </c>
      <c r="J116" s="10">
        <f>IF(I116="","",COUNTIF($I$7:$I$156,"&gt;"&amp;I116)+1)</f>
        <v/>
      </c>
      <c r="K116" s="27">
        <f>IF(I116="","",IF(IF(COUNT('설정'!$C$6:$F$6)=0,AND(G116&lt;&gt;"",H116&lt;&gt;""),OR(AND('설정'!$C$6&lt;&gt;"",G116&lt;&gt;"",N(G116)&gt;='설정'!$C$6),AND('설정'!$D$6&lt;&gt;"",AND(G116&lt;&gt;"",H116&lt;&gt;""),(N(G116)+N(H116))&gt;='설정'!$D$6),AND('설정'!$E$6&lt;&gt;"",OR(AND(G116&lt;&gt;"",N(G116)&lt;='설정'!$E$6),AND(H116&lt;&gt;"",N(H116)&lt;='설정'!$E$6))),AND('설정'!$F$6&lt;&gt;"",AND(G116&lt;&gt;"",H116&lt;&gt;""),(N(G116)+N(H116))&lt;='설정'!$F$6))),'설정'!$B$6,IF(IF(COUNT('설정'!$C$7:$F$7)=0,AND(G116&lt;&gt;"",H116&lt;&gt;""),OR(AND('설정'!$C$7&lt;&gt;"",G116&lt;&gt;"",N(G116)&gt;='설정'!$C$7),AND('설정'!$D$7&lt;&gt;"",AND(G116&lt;&gt;"",H116&lt;&gt;""),(N(G116)+N(H116))&gt;='설정'!$D$7),AND('설정'!$E$7&lt;&gt;"",OR(AND(G116&lt;&gt;"",N(G116)&lt;='설정'!$E$7),AND(H116&lt;&gt;"",N(H116)&lt;='설정'!$E$7))),AND('설정'!$F$7&lt;&gt;"",AND(G116&lt;&gt;"",H116&lt;&gt;""),(N(G116)+N(H116))&lt;='설정'!$F$7))),'설정'!$B$7,IF(IF(COUNT('설정'!$C$8:$F$8)=0,AND(G116&lt;&gt;"",H116&lt;&gt;""),OR(AND('설정'!$C$8&lt;&gt;"",G116&lt;&gt;"",N(G116)&gt;='설정'!$C$8),AND('설정'!$D$8&lt;&gt;"",AND(G116&lt;&gt;"",H116&lt;&gt;""),(N(G116)+N(H116))&gt;='설정'!$D$8),AND('설정'!$E$8&lt;&gt;"",OR(AND(G116&lt;&gt;"",N(G116)&lt;='설정'!$E$8),AND(H116&lt;&gt;"",N(H116)&lt;='설정'!$E$8))),AND('설정'!$F$8&lt;&gt;"",AND(G116&lt;&gt;"",H116&lt;&gt;""),(N(G116)+N(H116))&lt;='설정'!$F$8))),'설정'!$B$8,'설정'!$B$9))))</f>
        <v/>
      </c>
      <c r="L116" s="29">
        <f>IF(OR(G116="",H116=""),"",IF(SUMPRODUCT(ISNUMBER('설정'!$C$6:$C$8)*(ABS(G116-'설정'!$C$6:$C$8)&lt;='설정'!$C$15))+SUMPRODUCT(ISNUMBER('설정'!$D$6:$D$8)*(ABS((G116+H116)-'설정'!$D$6:$D$8)&lt;='설정'!$C$15))+SUMPRODUCT(ISNUMBER('설정'!$F$6:$F$8)*(ABS((G116+H116)-'설정'!$F$6:$F$8)&lt;='설정'!$C$15))+SUMPRODUCT(ISNUMBER('설정'!$E$6:$E$8)*(ABS(G116-'설정'!$E$6:$E$8)&lt;='설정'!$C$15))+SUMPRODUCT(ISNUMBER('설정'!$E$6:$E$8)*(ABS(H116-'설정'!$E$6:$E$8)&lt;='설정'!$C$15))&gt;0,"경계",""))</f>
        <v/>
      </c>
      <c r="M116" s="7" t="n"/>
      <c r="N116" s="7" t="n"/>
      <c r="O116" s="27">
        <f>IF(M116&lt;&gt;"",M116,K116)</f>
        <v/>
      </c>
      <c r="P116" s="30">
        <f>IF(I116="","",IF(G116="","공수1 미응시",IF(H116="","공수2 미응시","")))</f>
        <v/>
      </c>
      <c r="Q116" s="10">
        <f>IF(J116="","",J116+ROW()/100000)</f>
        <v/>
      </c>
    </row>
    <row r="117">
      <c r="A117" s="5" t="n">
        <v>111</v>
      </c>
      <c r="B117" s="10">
        <f>IF('학생명단'!B117="","",'학생명단'!B117)</f>
        <v/>
      </c>
      <c r="C117" s="10">
        <f>IF('학생명단'!C117="","",'학생명단'!C117)</f>
        <v/>
      </c>
      <c r="D117" s="10">
        <f>IF('학생명단'!D117="","",'학생명단'!D117)</f>
        <v/>
      </c>
      <c r="E117" s="10">
        <f>IF('학생명단'!E117="","",'학생명단'!E117)</f>
        <v/>
      </c>
      <c r="F117" s="11">
        <f>IF('학생명단'!F117="","",'학생명단'!F117)</f>
        <v/>
      </c>
      <c r="G117" s="10">
        <f>'공수1'!Y117</f>
        <v/>
      </c>
      <c r="H117" s="10">
        <f>'공수2'!Y117</f>
        <v/>
      </c>
      <c r="I117" s="28">
        <f>IF(AND(G117="",H117=""),"",N(G117)*'설정'!$C$13+N(H117)*'설정'!$C$14)</f>
        <v/>
      </c>
      <c r="J117" s="10">
        <f>IF(I117="","",COUNTIF($I$7:$I$156,"&gt;"&amp;I117)+1)</f>
        <v/>
      </c>
      <c r="K117" s="27">
        <f>IF(I117="","",IF(IF(COUNT('설정'!$C$6:$F$6)=0,AND(G117&lt;&gt;"",H117&lt;&gt;""),OR(AND('설정'!$C$6&lt;&gt;"",G117&lt;&gt;"",N(G117)&gt;='설정'!$C$6),AND('설정'!$D$6&lt;&gt;"",AND(G117&lt;&gt;"",H117&lt;&gt;""),(N(G117)+N(H117))&gt;='설정'!$D$6),AND('설정'!$E$6&lt;&gt;"",OR(AND(G117&lt;&gt;"",N(G117)&lt;='설정'!$E$6),AND(H117&lt;&gt;"",N(H117)&lt;='설정'!$E$6))),AND('설정'!$F$6&lt;&gt;"",AND(G117&lt;&gt;"",H117&lt;&gt;""),(N(G117)+N(H117))&lt;='설정'!$F$6))),'설정'!$B$6,IF(IF(COUNT('설정'!$C$7:$F$7)=0,AND(G117&lt;&gt;"",H117&lt;&gt;""),OR(AND('설정'!$C$7&lt;&gt;"",G117&lt;&gt;"",N(G117)&gt;='설정'!$C$7),AND('설정'!$D$7&lt;&gt;"",AND(G117&lt;&gt;"",H117&lt;&gt;""),(N(G117)+N(H117))&gt;='설정'!$D$7),AND('설정'!$E$7&lt;&gt;"",OR(AND(G117&lt;&gt;"",N(G117)&lt;='설정'!$E$7),AND(H117&lt;&gt;"",N(H117)&lt;='설정'!$E$7))),AND('설정'!$F$7&lt;&gt;"",AND(G117&lt;&gt;"",H117&lt;&gt;""),(N(G117)+N(H117))&lt;='설정'!$F$7))),'설정'!$B$7,IF(IF(COUNT('설정'!$C$8:$F$8)=0,AND(G117&lt;&gt;"",H117&lt;&gt;""),OR(AND('설정'!$C$8&lt;&gt;"",G117&lt;&gt;"",N(G117)&gt;='설정'!$C$8),AND('설정'!$D$8&lt;&gt;"",AND(G117&lt;&gt;"",H117&lt;&gt;""),(N(G117)+N(H117))&gt;='설정'!$D$8),AND('설정'!$E$8&lt;&gt;"",OR(AND(G117&lt;&gt;"",N(G117)&lt;='설정'!$E$8),AND(H117&lt;&gt;"",N(H117)&lt;='설정'!$E$8))),AND('설정'!$F$8&lt;&gt;"",AND(G117&lt;&gt;"",H117&lt;&gt;""),(N(G117)+N(H117))&lt;='설정'!$F$8))),'설정'!$B$8,'설정'!$B$9))))</f>
        <v/>
      </c>
      <c r="L117" s="29">
        <f>IF(OR(G117="",H117=""),"",IF(SUMPRODUCT(ISNUMBER('설정'!$C$6:$C$8)*(ABS(G117-'설정'!$C$6:$C$8)&lt;='설정'!$C$15))+SUMPRODUCT(ISNUMBER('설정'!$D$6:$D$8)*(ABS((G117+H117)-'설정'!$D$6:$D$8)&lt;='설정'!$C$15))+SUMPRODUCT(ISNUMBER('설정'!$F$6:$F$8)*(ABS((G117+H117)-'설정'!$F$6:$F$8)&lt;='설정'!$C$15))+SUMPRODUCT(ISNUMBER('설정'!$E$6:$E$8)*(ABS(G117-'설정'!$E$6:$E$8)&lt;='설정'!$C$15))+SUMPRODUCT(ISNUMBER('설정'!$E$6:$E$8)*(ABS(H117-'설정'!$E$6:$E$8)&lt;='설정'!$C$15))&gt;0,"경계",""))</f>
        <v/>
      </c>
      <c r="M117" s="7" t="n"/>
      <c r="N117" s="7" t="n"/>
      <c r="O117" s="27">
        <f>IF(M117&lt;&gt;"",M117,K117)</f>
        <v/>
      </c>
      <c r="P117" s="30">
        <f>IF(I117="","",IF(G117="","공수1 미응시",IF(H117="","공수2 미응시","")))</f>
        <v/>
      </c>
      <c r="Q117" s="10">
        <f>IF(J117="","",J117+ROW()/100000)</f>
        <v/>
      </c>
    </row>
    <row r="118">
      <c r="A118" s="5" t="n">
        <v>112</v>
      </c>
      <c r="B118" s="10">
        <f>IF('학생명단'!B118="","",'학생명단'!B118)</f>
        <v/>
      </c>
      <c r="C118" s="10">
        <f>IF('학생명단'!C118="","",'학생명단'!C118)</f>
        <v/>
      </c>
      <c r="D118" s="10">
        <f>IF('학생명단'!D118="","",'학생명단'!D118)</f>
        <v/>
      </c>
      <c r="E118" s="10">
        <f>IF('학생명단'!E118="","",'학생명단'!E118)</f>
        <v/>
      </c>
      <c r="F118" s="11">
        <f>IF('학생명단'!F118="","",'학생명단'!F118)</f>
        <v/>
      </c>
      <c r="G118" s="10">
        <f>'공수1'!Y118</f>
        <v/>
      </c>
      <c r="H118" s="10">
        <f>'공수2'!Y118</f>
        <v/>
      </c>
      <c r="I118" s="28">
        <f>IF(AND(G118="",H118=""),"",N(G118)*'설정'!$C$13+N(H118)*'설정'!$C$14)</f>
        <v/>
      </c>
      <c r="J118" s="10">
        <f>IF(I118="","",COUNTIF($I$7:$I$156,"&gt;"&amp;I118)+1)</f>
        <v/>
      </c>
      <c r="K118" s="27">
        <f>IF(I118="","",IF(IF(COUNT('설정'!$C$6:$F$6)=0,AND(G118&lt;&gt;"",H118&lt;&gt;""),OR(AND('설정'!$C$6&lt;&gt;"",G118&lt;&gt;"",N(G118)&gt;='설정'!$C$6),AND('설정'!$D$6&lt;&gt;"",AND(G118&lt;&gt;"",H118&lt;&gt;""),(N(G118)+N(H118))&gt;='설정'!$D$6),AND('설정'!$E$6&lt;&gt;"",OR(AND(G118&lt;&gt;"",N(G118)&lt;='설정'!$E$6),AND(H118&lt;&gt;"",N(H118)&lt;='설정'!$E$6))),AND('설정'!$F$6&lt;&gt;"",AND(G118&lt;&gt;"",H118&lt;&gt;""),(N(G118)+N(H118))&lt;='설정'!$F$6))),'설정'!$B$6,IF(IF(COUNT('설정'!$C$7:$F$7)=0,AND(G118&lt;&gt;"",H118&lt;&gt;""),OR(AND('설정'!$C$7&lt;&gt;"",G118&lt;&gt;"",N(G118)&gt;='설정'!$C$7),AND('설정'!$D$7&lt;&gt;"",AND(G118&lt;&gt;"",H118&lt;&gt;""),(N(G118)+N(H118))&gt;='설정'!$D$7),AND('설정'!$E$7&lt;&gt;"",OR(AND(G118&lt;&gt;"",N(G118)&lt;='설정'!$E$7),AND(H118&lt;&gt;"",N(H118)&lt;='설정'!$E$7))),AND('설정'!$F$7&lt;&gt;"",AND(G118&lt;&gt;"",H118&lt;&gt;""),(N(G118)+N(H118))&lt;='설정'!$F$7))),'설정'!$B$7,IF(IF(COUNT('설정'!$C$8:$F$8)=0,AND(G118&lt;&gt;"",H118&lt;&gt;""),OR(AND('설정'!$C$8&lt;&gt;"",G118&lt;&gt;"",N(G118)&gt;='설정'!$C$8),AND('설정'!$D$8&lt;&gt;"",AND(G118&lt;&gt;"",H118&lt;&gt;""),(N(G118)+N(H118))&gt;='설정'!$D$8),AND('설정'!$E$8&lt;&gt;"",OR(AND(G118&lt;&gt;"",N(G118)&lt;='설정'!$E$8),AND(H118&lt;&gt;"",N(H118)&lt;='설정'!$E$8))),AND('설정'!$F$8&lt;&gt;"",AND(G118&lt;&gt;"",H118&lt;&gt;""),(N(G118)+N(H118))&lt;='설정'!$F$8))),'설정'!$B$8,'설정'!$B$9))))</f>
        <v/>
      </c>
      <c r="L118" s="29">
        <f>IF(OR(G118="",H118=""),"",IF(SUMPRODUCT(ISNUMBER('설정'!$C$6:$C$8)*(ABS(G118-'설정'!$C$6:$C$8)&lt;='설정'!$C$15))+SUMPRODUCT(ISNUMBER('설정'!$D$6:$D$8)*(ABS((G118+H118)-'설정'!$D$6:$D$8)&lt;='설정'!$C$15))+SUMPRODUCT(ISNUMBER('설정'!$F$6:$F$8)*(ABS((G118+H118)-'설정'!$F$6:$F$8)&lt;='설정'!$C$15))+SUMPRODUCT(ISNUMBER('설정'!$E$6:$E$8)*(ABS(G118-'설정'!$E$6:$E$8)&lt;='설정'!$C$15))+SUMPRODUCT(ISNUMBER('설정'!$E$6:$E$8)*(ABS(H118-'설정'!$E$6:$E$8)&lt;='설정'!$C$15))&gt;0,"경계",""))</f>
        <v/>
      </c>
      <c r="M118" s="7" t="n"/>
      <c r="N118" s="7" t="n"/>
      <c r="O118" s="27">
        <f>IF(M118&lt;&gt;"",M118,K118)</f>
        <v/>
      </c>
      <c r="P118" s="30">
        <f>IF(I118="","",IF(G118="","공수1 미응시",IF(H118="","공수2 미응시","")))</f>
        <v/>
      </c>
      <c r="Q118" s="10">
        <f>IF(J118="","",J118+ROW()/100000)</f>
        <v/>
      </c>
    </row>
    <row r="119">
      <c r="A119" s="5" t="n">
        <v>113</v>
      </c>
      <c r="B119" s="10">
        <f>IF('학생명단'!B119="","",'학생명단'!B119)</f>
        <v/>
      </c>
      <c r="C119" s="10">
        <f>IF('학생명단'!C119="","",'학생명단'!C119)</f>
        <v/>
      </c>
      <c r="D119" s="10">
        <f>IF('학생명단'!D119="","",'학생명단'!D119)</f>
        <v/>
      </c>
      <c r="E119" s="10">
        <f>IF('학생명단'!E119="","",'학생명단'!E119)</f>
        <v/>
      </c>
      <c r="F119" s="11">
        <f>IF('학생명단'!F119="","",'학생명단'!F119)</f>
        <v/>
      </c>
      <c r="G119" s="10">
        <f>'공수1'!Y119</f>
        <v/>
      </c>
      <c r="H119" s="10">
        <f>'공수2'!Y119</f>
        <v/>
      </c>
      <c r="I119" s="28">
        <f>IF(AND(G119="",H119=""),"",N(G119)*'설정'!$C$13+N(H119)*'설정'!$C$14)</f>
        <v/>
      </c>
      <c r="J119" s="10">
        <f>IF(I119="","",COUNTIF($I$7:$I$156,"&gt;"&amp;I119)+1)</f>
        <v/>
      </c>
      <c r="K119" s="27">
        <f>IF(I119="","",IF(IF(COUNT('설정'!$C$6:$F$6)=0,AND(G119&lt;&gt;"",H119&lt;&gt;""),OR(AND('설정'!$C$6&lt;&gt;"",G119&lt;&gt;"",N(G119)&gt;='설정'!$C$6),AND('설정'!$D$6&lt;&gt;"",AND(G119&lt;&gt;"",H119&lt;&gt;""),(N(G119)+N(H119))&gt;='설정'!$D$6),AND('설정'!$E$6&lt;&gt;"",OR(AND(G119&lt;&gt;"",N(G119)&lt;='설정'!$E$6),AND(H119&lt;&gt;"",N(H119)&lt;='설정'!$E$6))),AND('설정'!$F$6&lt;&gt;"",AND(G119&lt;&gt;"",H119&lt;&gt;""),(N(G119)+N(H119))&lt;='설정'!$F$6))),'설정'!$B$6,IF(IF(COUNT('설정'!$C$7:$F$7)=0,AND(G119&lt;&gt;"",H119&lt;&gt;""),OR(AND('설정'!$C$7&lt;&gt;"",G119&lt;&gt;"",N(G119)&gt;='설정'!$C$7),AND('설정'!$D$7&lt;&gt;"",AND(G119&lt;&gt;"",H119&lt;&gt;""),(N(G119)+N(H119))&gt;='설정'!$D$7),AND('설정'!$E$7&lt;&gt;"",OR(AND(G119&lt;&gt;"",N(G119)&lt;='설정'!$E$7),AND(H119&lt;&gt;"",N(H119)&lt;='설정'!$E$7))),AND('설정'!$F$7&lt;&gt;"",AND(G119&lt;&gt;"",H119&lt;&gt;""),(N(G119)+N(H119))&lt;='설정'!$F$7))),'설정'!$B$7,IF(IF(COUNT('설정'!$C$8:$F$8)=0,AND(G119&lt;&gt;"",H119&lt;&gt;""),OR(AND('설정'!$C$8&lt;&gt;"",G119&lt;&gt;"",N(G119)&gt;='설정'!$C$8),AND('설정'!$D$8&lt;&gt;"",AND(G119&lt;&gt;"",H119&lt;&gt;""),(N(G119)+N(H119))&gt;='설정'!$D$8),AND('설정'!$E$8&lt;&gt;"",OR(AND(G119&lt;&gt;"",N(G119)&lt;='설정'!$E$8),AND(H119&lt;&gt;"",N(H119)&lt;='설정'!$E$8))),AND('설정'!$F$8&lt;&gt;"",AND(G119&lt;&gt;"",H119&lt;&gt;""),(N(G119)+N(H119))&lt;='설정'!$F$8))),'설정'!$B$8,'설정'!$B$9))))</f>
        <v/>
      </c>
      <c r="L119" s="29">
        <f>IF(OR(G119="",H119=""),"",IF(SUMPRODUCT(ISNUMBER('설정'!$C$6:$C$8)*(ABS(G119-'설정'!$C$6:$C$8)&lt;='설정'!$C$15))+SUMPRODUCT(ISNUMBER('설정'!$D$6:$D$8)*(ABS((G119+H119)-'설정'!$D$6:$D$8)&lt;='설정'!$C$15))+SUMPRODUCT(ISNUMBER('설정'!$F$6:$F$8)*(ABS((G119+H119)-'설정'!$F$6:$F$8)&lt;='설정'!$C$15))+SUMPRODUCT(ISNUMBER('설정'!$E$6:$E$8)*(ABS(G119-'설정'!$E$6:$E$8)&lt;='설정'!$C$15))+SUMPRODUCT(ISNUMBER('설정'!$E$6:$E$8)*(ABS(H119-'설정'!$E$6:$E$8)&lt;='설정'!$C$15))&gt;0,"경계",""))</f>
        <v/>
      </c>
      <c r="M119" s="7" t="n"/>
      <c r="N119" s="7" t="n"/>
      <c r="O119" s="27">
        <f>IF(M119&lt;&gt;"",M119,K119)</f>
        <v/>
      </c>
      <c r="P119" s="30">
        <f>IF(I119="","",IF(G119="","공수1 미응시",IF(H119="","공수2 미응시","")))</f>
        <v/>
      </c>
      <c r="Q119" s="10">
        <f>IF(J119="","",J119+ROW()/100000)</f>
        <v/>
      </c>
    </row>
    <row r="120">
      <c r="A120" s="5" t="n">
        <v>114</v>
      </c>
      <c r="B120" s="10">
        <f>IF('학생명단'!B120="","",'학생명단'!B120)</f>
        <v/>
      </c>
      <c r="C120" s="10">
        <f>IF('학생명단'!C120="","",'학생명단'!C120)</f>
        <v/>
      </c>
      <c r="D120" s="10">
        <f>IF('학생명단'!D120="","",'학생명단'!D120)</f>
        <v/>
      </c>
      <c r="E120" s="10">
        <f>IF('학생명단'!E120="","",'학생명단'!E120)</f>
        <v/>
      </c>
      <c r="F120" s="11">
        <f>IF('학생명단'!F120="","",'학생명단'!F120)</f>
        <v/>
      </c>
      <c r="G120" s="10">
        <f>'공수1'!Y120</f>
        <v/>
      </c>
      <c r="H120" s="10">
        <f>'공수2'!Y120</f>
        <v/>
      </c>
      <c r="I120" s="28">
        <f>IF(AND(G120="",H120=""),"",N(G120)*'설정'!$C$13+N(H120)*'설정'!$C$14)</f>
        <v/>
      </c>
      <c r="J120" s="10">
        <f>IF(I120="","",COUNTIF($I$7:$I$156,"&gt;"&amp;I120)+1)</f>
        <v/>
      </c>
      <c r="K120" s="27">
        <f>IF(I120="","",IF(IF(COUNT('설정'!$C$6:$F$6)=0,AND(G120&lt;&gt;"",H120&lt;&gt;""),OR(AND('설정'!$C$6&lt;&gt;"",G120&lt;&gt;"",N(G120)&gt;='설정'!$C$6),AND('설정'!$D$6&lt;&gt;"",AND(G120&lt;&gt;"",H120&lt;&gt;""),(N(G120)+N(H120))&gt;='설정'!$D$6),AND('설정'!$E$6&lt;&gt;"",OR(AND(G120&lt;&gt;"",N(G120)&lt;='설정'!$E$6),AND(H120&lt;&gt;"",N(H120)&lt;='설정'!$E$6))),AND('설정'!$F$6&lt;&gt;"",AND(G120&lt;&gt;"",H120&lt;&gt;""),(N(G120)+N(H120))&lt;='설정'!$F$6))),'설정'!$B$6,IF(IF(COUNT('설정'!$C$7:$F$7)=0,AND(G120&lt;&gt;"",H120&lt;&gt;""),OR(AND('설정'!$C$7&lt;&gt;"",G120&lt;&gt;"",N(G120)&gt;='설정'!$C$7),AND('설정'!$D$7&lt;&gt;"",AND(G120&lt;&gt;"",H120&lt;&gt;""),(N(G120)+N(H120))&gt;='설정'!$D$7),AND('설정'!$E$7&lt;&gt;"",OR(AND(G120&lt;&gt;"",N(G120)&lt;='설정'!$E$7),AND(H120&lt;&gt;"",N(H120)&lt;='설정'!$E$7))),AND('설정'!$F$7&lt;&gt;"",AND(G120&lt;&gt;"",H120&lt;&gt;""),(N(G120)+N(H120))&lt;='설정'!$F$7))),'설정'!$B$7,IF(IF(COUNT('설정'!$C$8:$F$8)=0,AND(G120&lt;&gt;"",H120&lt;&gt;""),OR(AND('설정'!$C$8&lt;&gt;"",G120&lt;&gt;"",N(G120)&gt;='설정'!$C$8),AND('설정'!$D$8&lt;&gt;"",AND(G120&lt;&gt;"",H120&lt;&gt;""),(N(G120)+N(H120))&gt;='설정'!$D$8),AND('설정'!$E$8&lt;&gt;"",OR(AND(G120&lt;&gt;"",N(G120)&lt;='설정'!$E$8),AND(H120&lt;&gt;"",N(H120)&lt;='설정'!$E$8))),AND('설정'!$F$8&lt;&gt;"",AND(G120&lt;&gt;"",H120&lt;&gt;""),(N(G120)+N(H120))&lt;='설정'!$F$8))),'설정'!$B$8,'설정'!$B$9))))</f>
        <v/>
      </c>
      <c r="L120" s="29">
        <f>IF(OR(G120="",H120=""),"",IF(SUMPRODUCT(ISNUMBER('설정'!$C$6:$C$8)*(ABS(G120-'설정'!$C$6:$C$8)&lt;='설정'!$C$15))+SUMPRODUCT(ISNUMBER('설정'!$D$6:$D$8)*(ABS((G120+H120)-'설정'!$D$6:$D$8)&lt;='설정'!$C$15))+SUMPRODUCT(ISNUMBER('설정'!$F$6:$F$8)*(ABS((G120+H120)-'설정'!$F$6:$F$8)&lt;='설정'!$C$15))+SUMPRODUCT(ISNUMBER('설정'!$E$6:$E$8)*(ABS(G120-'설정'!$E$6:$E$8)&lt;='설정'!$C$15))+SUMPRODUCT(ISNUMBER('설정'!$E$6:$E$8)*(ABS(H120-'설정'!$E$6:$E$8)&lt;='설정'!$C$15))&gt;0,"경계",""))</f>
        <v/>
      </c>
      <c r="M120" s="7" t="n"/>
      <c r="N120" s="7" t="n"/>
      <c r="O120" s="27">
        <f>IF(M120&lt;&gt;"",M120,K120)</f>
        <v/>
      </c>
      <c r="P120" s="30">
        <f>IF(I120="","",IF(G120="","공수1 미응시",IF(H120="","공수2 미응시","")))</f>
        <v/>
      </c>
      <c r="Q120" s="10">
        <f>IF(J120="","",J120+ROW()/100000)</f>
        <v/>
      </c>
    </row>
    <row r="121">
      <c r="A121" s="5" t="n">
        <v>115</v>
      </c>
      <c r="B121" s="10">
        <f>IF('학생명단'!B121="","",'학생명단'!B121)</f>
        <v/>
      </c>
      <c r="C121" s="10">
        <f>IF('학생명단'!C121="","",'학생명단'!C121)</f>
        <v/>
      </c>
      <c r="D121" s="10">
        <f>IF('학생명단'!D121="","",'학생명단'!D121)</f>
        <v/>
      </c>
      <c r="E121" s="10">
        <f>IF('학생명단'!E121="","",'학생명단'!E121)</f>
        <v/>
      </c>
      <c r="F121" s="11">
        <f>IF('학생명단'!F121="","",'학생명단'!F121)</f>
        <v/>
      </c>
      <c r="G121" s="10">
        <f>'공수1'!Y121</f>
        <v/>
      </c>
      <c r="H121" s="10">
        <f>'공수2'!Y121</f>
        <v/>
      </c>
      <c r="I121" s="28">
        <f>IF(AND(G121="",H121=""),"",N(G121)*'설정'!$C$13+N(H121)*'설정'!$C$14)</f>
        <v/>
      </c>
      <c r="J121" s="10">
        <f>IF(I121="","",COUNTIF($I$7:$I$156,"&gt;"&amp;I121)+1)</f>
        <v/>
      </c>
      <c r="K121" s="27">
        <f>IF(I121="","",IF(IF(COUNT('설정'!$C$6:$F$6)=0,AND(G121&lt;&gt;"",H121&lt;&gt;""),OR(AND('설정'!$C$6&lt;&gt;"",G121&lt;&gt;"",N(G121)&gt;='설정'!$C$6),AND('설정'!$D$6&lt;&gt;"",AND(G121&lt;&gt;"",H121&lt;&gt;""),(N(G121)+N(H121))&gt;='설정'!$D$6),AND('설정'!$E$6&lt;&gt;"",OR(AND(G121&lt;&gt;"",N(G121)&lt;='설정'!$E$6),AND(H121&lt;&gt;"",N(H121)&lt;='설정'!$E$6))),AND('설정'!$F$6&lt;&gt;"",AND(G121&lt;&gt;"",H121&lt;&gt;""),(N(G121)+N(H121))&lt;='설정'!$F$6))),'설정'!$B$6,IF(IF(COUNT('설정'!$C$7:$F$7)=0,AND(G121&lt;&gt;"",H121&lt;&gt;""),OR(AND('설정'!$C$7&lt;&gt;"",G121&lt;&gt;"",N(G121)&gt;='설정'!$C$7),AND('설정'!$D$7&lt;&gt;"",AND(G121&lt;&gt;"",H121&lt;&gt;""),(N(G121)+N(H121))&gt;='설정'!$D$7),AND('설정'!$E$7&lt;&gt;"",OR(AND(G121&lt;&gt;"",N(G121)&lt;='설정'!$E$7),AND(H121&lt;&gt;"",N(H121)&lt;='설정'!$E$7))),AND('설정'!$F$7&lt;&gt;"",AND(G121&lt;&gt;"",H121&lt;&gt;""),(N(G121)+N(H121))&lt;='설정'!$F$7))),'설정'!$B$7,IF(IF(COUNT('설정'!$C$8:$F$8)=0,AND(G121&lt;&gt;"",H121&lt;&gt;""),OR(AND('설정'!$C$8&lt;&gt;"",G121&lt;&gt;"",N(G121)&gt;='설정'!$C$8),AND('설정'!$D$8&lt;&gt;"",AND(G121&lt;&gt;"",H121&lt;&gt;""),(N(G121)+N(H121))&gt;='설정'!$D$8),AND('설정'!$E$8&lt;&gt;"",OR(AND(G121&lt;&gt;"",N(G121)&lt;='설정'!$E$8),AND(H121&lt;&gt;"",N(H121)&lt;='설정'!$E$8))),AND('설정'!$F$8&lt;&gt;"",AND(G121&lt;&gt;"",H121&lt;&gt;""),(N(G121)+N(H121))&lt;='설정'!$F$8))),'설정'!$B$8,'설정'!$B$9))))</f>
        <v/>
      </c>
      <c r="L121" s="29">
        <f>IF(OR(G121="",H121=""),"",IF(SUMPRODUCT(ISNUMBER('설정'!$C$6:$C$8)*(ABS(G121-'설정'!$C$6:$C$8)&lt;='설정'!$C$15))+SUMPRODUCT(ISNUMBER('설정'!$D$6:$D$8)*(ABS((G121+H121)-'설정'!$D$6:$D$8)&lt;='설정'!$C$15))+SUMPRODUCT(ISNUMBER('설정'!$F$6:$F$8)*(ABS((G121+H121)-'설정'!$F$6:$F$8)&lt;='설정'!$C$15))+SUMPRODUCT(ISNUMBER('설정'!$E$6:$E$8)*(ABS(G121-'설정'!$E$6:$E$8)&lt;='설정'!$C$15))+SUMPRODUCT(ISNUMBER('설정'!$E$6:$E$8)*(ABS(H121-'설정'!$E$6:$E$8)&lt;='설정'!$C$15))&gt;0,"경계",""))</f>
        <v/>
      </c>
      <c r="M121" s="7" t="n"/>
      <c r="N121" s="7" t="n"/>
      <c r="O121" s="27">
        <f>IF(M121&lt;&gt;"",M121,K121)</f>
        <v/>
      </c>
      <c r="P121" s="30">
        <f>IF(I121="","",IF(G121="","공수1 미응시",IF(H121="","공수2 미응시","")))</f>
        <v/>
      </c>
      <c r="Q121" s="10">
        <f>IF(J121="","",J121+ROW()/100000)</f>
        <v/>
      </c>
    </row>
    <row r="122">
      <c r="A122" s="5" t="n">
        <v>116</v>
      </c>
      <c r="B122" s="10">
        <f>IF('학생명단'!B122="","",'학생명단'!B122)</f>
        <v/>
      </c>
      <c r="C122" s="10">
        <f>IF('학생명단'!C122="","",'학생명단'!C122)</f>
        <v/>
      </c>
      <c r="D122" s="10">
        <f>IF('학생명단'!D122="","",'학생명단'!D122)</f>
        <v/>
      </c>
      <c r="E122" s="10">
        <f>IF('학생명단'!E122="","",'학생명단'!E122)</f>
        <v/>
      </c>
      <c r="F122" s="11">
        <f>IF('학생명단'!F122="","",'학생명단'!F122)</f>
        <v/>
      </c>
      <c r="G122" s="10">
        <f>'공수1'!Y122</f>
        <v/>
      </c>
      <c r="H122" s="10">
        <f>'공수2'!Y122</f>
        <v/>
      </c>
      <c r="I122" s="28">
        <f>IF(AND(G122="",H122=""),"",N(G122)*'설정'!$C$13+N(H122)*'설정'!$C$14)</f>
        <v/>
      </c>
      <c r="J122" s="10">
        <f>IF(I122="","",COUNTIF($I$7:$I$156,"&gt;"&amp;I122)+1)</f>
        <v/>
      </c>
      <c r="K122" s="27">
        <f>IF(I122="","",IF(IF(COUNT('설정'!$C$6:$F$6)=0,AND(G122&lt;&gt;"",H122&lt;&gt;""),OR(AND('설정'!$C$6&lt;&gt;"",G122&lt;&gt;"",N(G122)&gt;='설정'!$C$6),AND('설정'!$D$6&lt;&gt;"",AND(G122&lt;&gt;"",H122&lt;&gt;""),(N(G122)+N(H122))&gt;='설정'!$D$6),AND('설정'!$E$6&lt;&gt;"",OR(AND(G122&lt;&gt;"",N(G122)&lt;='설정'!$E$6),AND(H122&lt;&gt;"",N(H122)&lt;='설정'!$E$6))),AND('설정'!$F$6&lt;&gt;"",AND(G122&lt;&gt;"",H122&lt;&gt;""),(N(G122)+N(H122))&lt;='설정'!$F$6))),'설정'!$B$6,IF(IF(COUNT('설정'!$C$7:$F$7)=0,AND(G122&lt;&gt;"",H122&lt;&gt;""),OR(AND('설정'!$C$7&lt;&gt;"",G122&lt;&gt;"",N(G122)&gt;='설정'!$C$7),AND('설정'!$D$7&lt;&gt;"",AND(G122&lt;&gt;"",H122&lt;&gt;""),(N(G122)+N(H122))&gt;='설정'!$D$7),AND('설정'!$E$7&lt;&gt;"",OR(AND(G122&lt;&gt;"",N(G122)&lt;='설정'!$E$7),AND(H122&lt;&gt;"",N(H122)&lt;='설정'!$E$7))),AND('설정'!$F$7&lt;&gt;"",AND(G122&lt;&gt;"",H122&lt;&gt;""),(N(G122)+N(H122))&lt;='설정'!$F$7))),'설정'!$B$7,IF(IF(COUNT('설정'!$C$8:$F$8)=0,AND(G122&lt;&gt;"",H122&lt;&gt;""),OR(AND('설정'!$C$8&lt;&gt;"",G122&lt;&gt;"",N(G122)&gt;='설정'!$C$8),AND('설정'!$D$8&lt;&gt;"",AND(G122&lt;&gt;"",H122&lt;&gt;""),(N(G122)+N(H122))&gt;='설정'!$D$8),AND('설정'!$E$8&lt;&gt;"",OR(AND(G122&lt;&gt;"",N(G122)&lt;='설정'!$E$8),AND(H122&lt;&gt;"",N(H122)&lt;='설정'!$E$8))),AND('설정'!$F$8&lt;&gt;"",AND(G122&lt;&gt;"",H122&lt;&gt;""),(N(G122)+N(H122))&lt;='설정'!$F$8))),'설정'!$B$8,'설정'!$B$9))))</f>
        <v/>
      </c>
      <c r="L122" s="29">
        <f>IF(OR(G122="",H122=""),"",IF(SUMPRODUCT(ISNUMBER('설정'!$C$6:$C$8)*(ABS(G122-'설정'!$C$6:$C$8)&lt;='설정'!$C$15))+SUMPRODUCT(ISNUMBER('설정'!$D$6:$D$8)*(ABS((G122+H122)-'설정'!$D$6:$D$8)&lt;='설정'!$C$15))+SUMPRODUCT(ISNUMBER('설정'!$F$6:$F$8)*(ABS((G122+H122)-'설정'!$F$6:$F$8)&lt;='설정'!$C$15))+SUMPRODUCT(ISNUMBER('설정'!$E$6:$E$8)*(ABS(G122-'설정'!$E$6:$E$8)&lt;='설정'!$C$15))+SUMPRODUCT(ISNUMBER('설정'!$E$6:$E$8)*(ABS(H122-'설정'!$E$6:$E$8)&lt;='설정'!$C$15))&gt;0,"경계",""))</f>
        <v/>
      </c>
      <c r="M122" s="7" t="n"/>
      <c r="N122" s="7" t="n"/>
      <c r="O122" s="27">
        <f>IF(M122&lt;&gt;"",M122,K122)</f>
        <v/>
      </c>
      <c r="P122" s="30">
        <f>IF(I122="","",IF(G122="","공수1 미응시",IF(H122="","공수2 미응시","")))</f>
        <v/>
      </c>
      <c r="Q122" s="10">
        <f>IF(J122="","",J122+ROW()/100000)</f>
        <v/>
      </c>
    </row>
    <row r="123">
      <c r="A123" s="5" t="n">
        <v>117</v>
      </c>
      <c r="B123" s="10">
        <f>IF('학생명단'!B123="","",'학생명단'!B123)</f>
        <v/>
      </c>
      <c r="C123" s="10">
        <f>IF('학생명단'!C123="","",'학생명단'!C123)</f>
        <v/>
      </c>
      <c r="D123" s="10">
        <f>IF('학생명단'!D123="","",'학생명단'!D123)</f>
        <v/>
      </c>
      <c r="E123" s="10">
        <f>IF('학생명단'!E123="","",'학생명단'!E123)</f>
        <v/>
      </c>
      <c r="F123" s="11">
        <f>IF('학생명단'!F123="","",'학생명단'!F123)</f>
        <v/>
      </c>
      <c r="G123" s="10">
        <f>'공수1'!Y123</f>
        <v/>
      </c>
      <c r="H123" s="10">
        <f>'공수2'!Y123</f>
        <v/>
      </c>
      <c r="I123" s="28">
        <f>IF(AND(G123="",H123=""),"",N(G123)*'설정'!$C$13+N(H123)*'설정'!$C$14)</f>
        <v/>
      </c>
      <c r="J123" s="10">
        <f>IF(I123="","",COUNTIF($I$7:$I$156,"&gt;"&amp;I123)+1)</f>
        <v/>
      </c>
      <c r="K123" s="27">
        <f>IF(I123="","",IF(IF(COUNT('설정'!$C$6:$F$6)=0,AND(G123&lt;&gt;"",H123&lt;&gt;""),OR(AND('설정'!$C$6&lt;&gt;"",G123&lt;&gt;"",N(G123)&gt;='설정'!$C$6),AND('설정'!$D$6&lt;&gt;"",AND(G123&lt;&gt;"",H123&lt;&gt;""),(N(G123)+N(H123))&gt;='설정'!$D$6),AND('설정'!$E$6&lt;&gt;"",OR(AND(G123&lt;&gt;"",N(G123)&lt;='설정'!$E$6),AND(H123&lt;&gt;"",N(H123)&lt;='설정'!$E$6))),AND('설정'!$F$6&lt;&gt;"",AND(G123&lt;&gt;"",H123&lt;&gt;""),(N(G123)+N(H123))&lt;='설정'!$F$6))),'설정'!$B$6,IF(IF(COUNT('설정'!$C$7:$F$7)=0,AND(G123&lt;&gt;"",H123&lt;&gt;""),OR(AND('설정'!$C$7&lt;&gt;"",G123&lt;&gt;"",N(G123)&gt;='설정'!$C$7),AND('설정'!$D$7&lt;&gt;"",AND(G123&lt;&gt;"",H123&lt;&gt;""),(N(G123)+N(H123))&gt;='설정'!$D$7),AND('설정'!$E$7&lt;&gt;"",OR(AND(G123&lt;&gt;"",N(G123)&lt;='설정'!$E$7),AND(H123&lt;&gt;"",N(H123)&lt;='설정'!$E$7))),AND('설정'!$F$7&lt;&gt;"",AND(G123&lt;&gt;"",H123&lt;&gt;""),(N(G123)+N(H123))&lt;='설정'!$F$7))),'설정'!$B$7,IF(IF(COUNT('설정'!$C$8:$F$8)=0,AND(G123&lt;&gt;"",H123&lt;&gt;""),OR(AND('설정'!$C$8&lt;&gt;"",G123&lt;&gt;"",N(G123)&gt;='설정'!$C$8),AND('설정'!$D$8&lt;&gt;"",AND(G123&lt;&gt;"",H123&lt;&gt;""),(N(G123)+N(H123))&gt;='설정'!$D$8),AND('설정'!$E$8&lt;&gt;"",OR(AND(G123&lt;&gt;"",N(G123)&lt;='설정'!$E$8),AND(H123&lt;&gt;"",N(H123)&lt;='설정'!$E$8))),AND('설정'!$F$8&lt;&gt;"",AND(G123&lt;&gt;"",H123&lt;&gt;""),(N(G123)+N(H123))&lt;='설정'!$F$8))),'설정'!$B$8,'설정'!$B$9))))</f>
        <v/>
      </c>
      <c r="L123" s="29">
        <f>IF(OR(G123="",H123=""),"",IF(SUMPRODUCT(ISNUMBER('설정'!$C$6:$C$8)*(ABS(G123-'설정'!$C$6:$C$8)&lt;='설정'!$C$15))+SUMPRODUCT(ISNUMBER('설정'!$D$6:$D$8)*(ABS((G123+H123)-'설정'!$D$6:$D$8)&lt;='설정'!$C$15))+SUMPRODUCT(ISNUMBER('설정'!$F$6:$F$8)*(ABS((G123+H123)-'설정'!$F$6:$F$8)&lt;='설정'!$C$15))+SUMPRODUCT(ISNUMBER('설정'!$E$6:$E$8)*(ABS(G123-'설정'!$E$6:$E$8)&lt;='설정'!$C$15))+SUMPRODUCT(ISNUMBER('설정'!$E$6:$E$8)*(ABS(H123-'설정'!$E$6:$E$8)&lt;='설정'!$C$15))&gt;0,"경계",""))</f>
        <v/>
      </c>
      <c r="M123" s="7" t="n"/>
      <c r="N123" s="7" t="n"/>
      <c r="O123" s="27">
        <f>IF(M123&lt;&gt;"",M123,K123)</f>
        <v/>
      </c>
      <c r="P123" s="30">
        <f>IF(I123="","",IF(G123="","공수1 미응시",IF(H123="","공수2 미응시","")))</f>
        <v/>
      </c>
      <c r="Q123" s="10">
        <f>IF(J123="","",J123+ROW()/100000)</f>
        <v/>
      </c>
    </row>
    <row r="124">
      <c r="A124" s="5" t="n">
        <v>118</v>
      </c>
      <c r="B124" s="10">
        <f>IF('학생명단'!B124="","",'학생명단'!B124)</f>
        <v/>
      </c>
      <c r="C124" s="10">
        <f>IF('학생명단'!C124="","",'학생명단'!C124)</f>
        <v/>
      </c>
      <c r="D124" s="10">
        <f>IF('학생명단'!D124="","",'학생명단'!D124)</f>
        <v/>
      </c>
      <c r="E124" s="10">
        <f>IF('학생명단'!E124="","",'학생명단'!E124)</f>
        <v/>
      </c>
      <c r="F124" s="11">
        <f>IF('학생명단'!F124="","",'학생명단'!F124)</f>
        <v/>
      </c>
      <c r="G124" s="10">
        <f>'공수1'!Y124</f>
        <v/>
      </c>
      <c r="H124" s="10">
        <f>'공수2'!Y124</f>
        <v/>
      </c>
      <c r="I124" s="28">
        <f>IF(AND(G124="",H124=""),"",N(G124)*'설정'!$C$13+N(H124)*'설정'!$C$14)</f>
        <v/>
      </c>
      <c r="J124" s="10">
        <f>IF(I124="","",COUNTIF($I$7:$I$156,"&gt;"&amp;I124)+1)</f>
        <v/>
      </c>
      <c r="K124" s="27">
        <f>IF(I124="","",IF(IF(COUNT('설정'!$C$6:$F$6)=0,AND(G124&lt;&gt;"",H124&lt;&gt;""),OR(AND('설정'!$C$6&lt;&gt;"",G124&lt;&gt;"",N(G124)&gt;='설정'!$C$6),AND('설정'!$D$6&lt;&gt;"",AND(G124&lt;&gt;"",H124&lt;&gt;""),(N(G124)+N(H124))&gt;='설정'!$D$6),AND('설정'!$E$6&lt;&gt;"",OR(AND(G124&lt;&gt;"",N(G124)&lt;='설정'!$E$6),AND(H124&lt;&gt;"",N(H124)&lt;='설정'!$E$6))),AND('설정'!$F$6&lt;&gt;"",AND(G124&lt;&gt;"",H124&lt;&gt;""),(N(G124)+N(H124))&lt;='설정'!$F$6))),'설정'!$B$6,IF(IF(COUNT('설정'!$C$7:$F$7)=0,AND(G124&lt;&gt;"",H124&lt;&gt;""),OR(AND('설정'!$C$7&lt;&gt;"",G124&lt;&gt;"",N(G124)&gt;='설정'!$C$7),AND('설정'!$D$7&lt;&gt;"",AND(G124&lt;&gt;"",H124&lt;&gt;""),(N(G124)+N(H124))&gt;='설정'!$D$7),AND('설정'!$E$7&lt;&gt;"",OR(AND(G124&lt;&gt;"",N(G124)&lt;='설정'!$E$7),AND(H124&lt;&gt;"",N(H124)&lt;='설정'!$E$7))),AND('설정'!$F$7&lt;&gt;"",AND(G124&lt;&gt;"",H124&lt;&gt;""),(N(G124)+N(H124))&lt;='설정'!$F$7))),'설정'!$B$7,IF(IF(COUNT('설정'!$C$8:$F$8)=0,AND(G124&lt;&gt;"",H124&lt;&gt;""),OR(AND('설정'!$C$8&lt;&gt;"",G124&lt;&gt;"",N(G124)&gt;='설정'!$C$8),AND('설정'!$D$8&lt;&gt;"",AND(G124&lt;&gt;"",H124&lt;&gt;""),(N(G124)+N(H124))&gt;='설정'!$D$8),AND('설정'!$E$8&lt;&gt;"",OR(AND(G124&lt;&gt;"",N(G124)&lt;='설정'!$E$8),AND(H124&lt;&gt;"",N(H124)&lt;='설정'!$E$8))),AND('설정'!$F$8&lt;&gt;"",AND(G124&lt;&gt;"",H124&lt;&gt;""),(N(G124)+N(H124))&lt;='설정'!$F$8))),'설정'!$B$8,'설정'!$B$9))))</f>
        <v/>
      </c>
      <c r="L124" s="29">
        <f>IF(OR(G124="",H124=""),"",IF(SUMPRODUCT(ISNUMBER('설정'!$C$6:$C$8)*(ABS(G124-'설정'!$C$6:$C$8)&lt;='설정'!$C$15))+SUMPRODUCT(ISNUMBER('설정'!$D$6:$D$8)*(ABS((G124+H124)-'설정'!$D$6:$D$8)&lt;='설정'!$C$15))+SUMPRODUCT(ISNUMBER('설정'!$F$6:$F$8)*(ABS((G124+H124)-'설정'!$F$6:$F$8)&lt;='설정'!$C$15))+SUMPRODUCT(ISNUMBER('설정'!$E$6:$E$8)*(ABS(G124-'설정'!$E$6:$E$8)&lt;='설정'!$C$15))+SUMPRODUCT(ISNUMBER('설정'!$E$6:$E$8)*(ABS(H124-'설정'!$E$6:$E$8)&lt;='설정'!$C$15))&gt;0,"경계",""))</f>
        <v/>
      </c>
      <c r="M124" s="7" t="n"/>
      <c r="N124" s="7" t="n"/>
      <c r="O124" s="27">
        <f>IF(M124&lt;&gt;"",M124,K124)</f>
        <v/>
      </c>
      <c r="P124" s="30">
        <f>IF(I124="","",IF(G124="","공수1 미응시",IF(H124="","공수2 미응시","")))</f>
        <v/>
      </c>
      <c r="Q124" s="10">
        <f>IF(J124="","",J124+ROW()/100000)</f>
        <v/>
      </c>
    </row>
    <row r="125">
      <c r="A125" s="5" t="n">
        <v>119</v>
      </c>
      <c r="B125" s="10">
        <f>IF('학생명단'!B125="","",'학생명단'!B125)</f>
        <v/>
      </c>
      <c r="C125" s="10">
        <f>IF('학생명단'!C125="","",'학생명단'!C125)</f>
        <v/>
      </c>
      <c r="D125" s="10">
        <f>IF('학생명단'!D125="","",'학생명단'!D125)</f>
        <v/>
      </c>
      <c r="E125" s="10">
        <f>IF('학생명단'!E125="","",'학생명단'!E125)</f>
        <v/>
      </c>
      <c r="F125" s="11">
        <f>IF('학생명단'!F125="","",'학생명단'!F125)</f>
        <v/>
      </c>
      <c r="G125" s="10">
        <f>'공수1'!Y125</f>
        <v/>
      </c>
      <c r="H125" s="10">
        <f>'공수2'!Y125</f>
        <v/>
      </c>
      <c r="I125" s="28">
        <f>IF(AND(G125="",H125=""),"",N(G125)*'설정'!$C$13+N(H125)*'설정'!$C$14)</f>
        <v/>
      </c>
      <c r="J125" s="10">
        <f>IF(I125="","",COUNTIF($I$7:$I$156,"&gt;"&amp;I125)+1)</f>
        <v/>
      </c>
      <c r="K125" s="27">
        <f>IF(I125="","",IF(IF(COUNT('설정'!$C$6:$F$6)=0,AND(G125&lt;&gt;"",H125&lt;&gt;""),OR(AND('설정'!$C$6&lt;&gt;"",G125&lt;&gt;"",N(G125)&gt;='설정'!$C$6),AND('설정'!$D$6&lt;&gt;"",AND(G125&lt;&gt;"",H125&lt;&gt;""),(N(G125)+N(H125))&gt;='설정'!$D$6),AND('설정'!$E$6&lt;&gt;"",OR(AND(G125&lt;&gt;"",N(G125)&lt;='설정'!$E$6),AND(H125&lt;&gt;"",N(H125)&lt;='설정'!$E$6))),AND('설정'!$F$6&lt;&gt;"",AND(G125&lt;&gt;"",H125&lt;&gt;""),(N(G125)+N(H125))&lt;='설정'!$F$6))),'설정'!$B$6,IF(IF(COUNT('설정'!$C$7:$F$7)=0,AND(G125&lt;&gt;"",H125&lt;&gt;""),OR(AND('설정'!$C$7&lt;&gt;"",G125&lt;&gt;"",N(G125)&gt;='설정'!$C$7),AND('설정'!$D$7&lt;&gt;"",AND(G125&lt;&gt;"",H125&lt;&gt;""),(N(G125)+N(H125))&gt;='설정'!$D$7),AND('설정'!$E$7&lt;&gt;"",OR(AND(G125&lt;&gt;"",N(G125)&lt;='설정'!$E$7),AND(H125&lt;&gt;"",N(H125)&lt;='설정'!$E$7))),AND('설정'!$F$7&lt;&gt;"",AND(G125&lt;&gt;"",H125&lt;&gt;""),(N(G125)+N(H125))&lt;='설정'!$F$7))),'설정'!$B$7,IF(IF(COUNT('설정'!$C$8:$F$8)=0,AND(G125&lt;&gt;"",H125&lt;&gt;""),OR(AND('설정'!$C$8&lt;&gt;"",G125&lt;&gt;"",N(G125)&gt;='설정'!$C$8),AND('설정'!$D$8&lt;&gt;"",AND(G125&lt;&gt;"",H125&lt;&gt;""),(N(G125)+N(H125))&gt;='설정'!$D$8),AND('설정'!$E$8&lt;&gt;"",OR(AND(G125&lt;&gt;"",N(G125)&lt;='설정'!$E$8),AND(H125&lt;&gt;"",N(H125)&lt;='설정'!$E$8))),AND('설정'!$F$8&lt;&gt;"",AND(G125&lt;&gt;"",H125&lt;&gt;""),(N(G125)+N(H125))&lt;='설정'!$F$8))),'설정'!$B$8,'설정'!$B$9))))</f>
        <v/>
      </c>
      <c r="L125" s="29">
        <f>IF(OR(G125="",H125=""),"",IF(SUMPRODUCT(ISNUMBER('설정'!$C$6:$C$8)*(ABS(G125-'설정'!$C$6:$C$8)&lt;='설정'!$C$15))+SUMPRODUCT(ISNUMBER('설정'!$D$6:$D$8)*(ABS((G125+H125)-'설정'!$D$6:$D$8)&lt;='설정'!$C$15))+SUMPRODUCT(ISNUMBER('설정'!$F$6:$F$8)*(ABS((G125+H125)-'설정'!$F$6:$F$8)&lt;='설정'!$C$15))+SUMPRODUCT(ISNUMBER('설정'!$E$6:$E$8)*(ABS(G125-'설정'!$E$6:$E$8)&lt;='설정'!$C$15))+SUMPRODUCT(ISNUMBER('설정'!$E$6:$E$8)*(ABS(H125-'설정'!$E$6:$E$8)&lt;='설정'!$C$15))&gt;0,"경계",""))</f>
        <v/>
      </c>
      <c r="M125" s="7" t="n"/>
      <c r="N125" s="7" t="n"/>
      <c r="O125" s="27">
        <f>IF(M125&lt;&gt;"",M125,K125)</f>
        <v/>
      </c>
      <c r="P125" s="30">
        <f>IF(I125="","",IF(G125="","공수1 미응시",IF(H125="","공수2 미응시","")))</f>
        <v/>
      </c>
      <c r="Q125" s="10">
        <f>IF(J125="","",J125+ROW()/100000)</f>
        <v/>
      </c>
    </row>
    <row r="126">
      <c r="A126" s="5" t="n">
        <v>120</v>
      </c>
      <c r="B126" s="10">
        <f>IF('학생명단'!B126="","",'학생명단'!B126)</f>
        <v/>
      </c>
      <c r="C126" s="10">
        <f>IF('학생명단'!C126="","",'학생명단'!C126)</f>
        <v/>
      </c>
      <c r="D126" s="10">
        <f>IF('학생명단'!D126="","",'학생명단'!D126)</f>
        <v/>
      </c>
      <c r="E126" s="10">
        <f>IF('학생명단'!E126="","",'학생명단'!E126)</f>
        <v/>
      </c>
      <c r="F126" s="11">
        <f>IF('학생명단'!F126="","",'학생명단'!F126)</f>
        <v/>
      </c>
      <c r="G126" s="10">
        <f>'공수1'!Y126</f>
        <v/>
      </c>
      <c r="H126" s="10">
        <f>'공수2'!Y126</f>
        <v/>
      </c>
      <c r="I126" s="28">
        <f>IF(AND(G126="",H126=""),"",N(G126)*'설정'!$C$13+N(H126)*'설정'!$C$14)</f>
        <v/>
      </c>
      <c r="J126" s="10">
        <f>IF(I126="","",COUNTIF($I$7:$I$156,"&gt;"&amp;I126)+1)</f>
        <v/>
      </c>
      <c r="K126" s="27">
        <f>IF(I126="","",IF(IF(COUNT('설정'!$C$6:$F$6)=0,AND(G126&lt;&gt;"",H126&lt;&gt;""),OR(AND('설정'!$C$6&lt;&gt;"",G126&lt;&gt;"",N(G126)&gt;='설정'!$C$6),AND('설정'!$D$6&lt;&gt;"",AND(G126&lt;&gt;"",H126&lt;&gt;""),(N(G126)+N(H126))&gt;='설정'!$D$6),AND('설정'!$E$6&lt;&gt;"",OR(AND(G126&lt;&gt;"",N(G126)&lt;='설정'!$E$6),AND(H126&lt;&gt;"",N(H126)&lt;='설정'!$E$6))),AND('설정'!$F$6&lt;&gt;"",AND(G126&lt;&gt;"",H126&lt;&gt;""),(N(G126)+N(H126))&lt;='설정'!$F$6))),'설정'!$B$6,IF(IF(COUNT('설정'!$C$7:$F$7)=0,AND(G126&lt;&gt;"",H126&lt;&gt;""),OR(AND('설정'!$C$7&lt;&gt;"",G126&lt;&gt;"",N(G126)&gt;='설정'!$C$7),AND('설정'!$D$7&lt;&gt;"",AND(G126&lt;&gt;"",H126&lt;&gt;""),(N(G126)+N(H126))&gt;='설정'!$D$7),AND('설정'!$E$7&lt;&gt;"",OR(AND(G126&lt;&gt;"",N(G126)&lt;='설정'!$E$7),AND(H126&lt;&gt;"",N(H126)&lt;='설정'!$E$7))),AND('설정'!$F$7&lt;&gt;"",AND(G126&lt;&gt;"",H126&lt;&gt;""),(N(G126)+N(H126))&lt;='설정'!$F$7))),'설정'!$B$7,IF(IF(COUNT('설정'!$C$8:$F$8)=0,AND(G126&lt;&gt;"",H126&lt;&gt;""),OR(AND('설정'!$C$8&lt;&gt;"",G126&lt;&gt;"",N(G126)&gt;='설정'!$C$8),AND('설정'!$D$8&lt;&gt;"",AND(G126&lt;&gt;"",H126&lt;&gt;""),(N(G126)+N(H126))&gt;='설정'!$D$8),AND('설정'!$E$8&lt;&gt;"",OR(AND(G126&lt;&gt;"",N(G126)&lt;='설정'!$E$8),AND(H126&lt;&gt;"",N(H126)&lt;='설정'!$E$8))),AND('설정'!$F$8&lt;&gt;"",AND(G126&lt;&gt;"",H126&lt;&gt;""),(N(G126)+N(H126))&lt;='설정'!$F$8))),'설정'!$B$8,'설정'!$B$9))))</f>
        <v/>
      </c>
      <c r="L126" s="29">
        <f>IF(OR(G126="",H126=""),"",IF(SUMPRODUCT(ISNUMBER('설정'!$C$6:$C$8)*(ABS(G126-'설정'!$C$6:$C$8)&lt;='설정'!$C$15))+SUMPRODUCT(ISNUMBER('설정'!$D$6:$D$8)*(ABS((G126+H126)-'설정'!$D$6:$D$8)&lt;='설정'!$C$15))+SUMPRODUCT(ISNUMBER('설정'!$F$6:$F$8)*(ABS((G126+H126)-'설정'!$F$6:$F$8)&lt;='설정'!$C$15))+SUMPRODUCT(ISNUMBER('설정'!$E$6:$E$8)*(ABS(G126-'설정'!$E$6:$E$8)&lt;='설정'!$C$15))+SUMPRODUCT(ISNUMBER('설정'!$E$6:$E$8)*(ABS(H126-'설정'!$E$6:$E$8)&lt;='설정'!$C$15))&gt;0,"경계",""))</f>
        <v/>
      </c>
      <c r="M126" s="7" t="n"/>
      <c r="N126" s="7" t="n"/>
      <c r="O126" s="27">
        <f>IF(M126&lt;&gt;"",M126,K126)</f>
        <v/>
      </c>
      <c r="P126" s="30">
        <f>IF(I126="","",IF(G126="","공수1 미응시",IF(H126="","공수2 미응시","")))</f>
        <v/>
      </c>
      <c r="Q126" s="10">
        <f>IF(J126="","",J126+ROW()/100000)</f>
        <v/>
      </c>
    </row>
    <row r="127">
      <c r="A127" s="5" t="n">
        <v>121</v>
      </c>
      <c r="B127" s="10">
        <f>IF('학생명단'!B127="","",'학생명단'!B127)</f>
        <v/>
      </c>
      <c r="C127" s="10">
        <f>IF('학생명단'!C127="","",'학생명단'!C127)</f>
        <v/>
      </c>
      <c r="D127" s="10">
        <f>IF('학생명단'!D127="","",'학생명단'!D127)</f>
        <v/>
      </c>
      <c r="E127" s="10">
        <f>IF('학생명단'!E127="","",'학생명단'!E127)</f>
        <v/>
      </c>
      <c r="F127" s="11">
        <f>IF('학생명단'!F127="","",'학생명단'!F127)</f>
        <v/>
      </c>
      <c r="G127" s="10">
        <f>'공수1'!Y127</f>
        <v/>
      </c>
      <c r="H127" s="10">
        <f>'공수2'!Y127</f>
        <v/>
      </c>
      <c r="I127" s="28">
        <f>IF(AND(G127="",H127=""),"",N(G127)*'설정'!$C$13+N(H127)*'설정'!$C$14)</f>
        <v/>
      </c>
      <c r="J127" s="10">
        <f>IF(I127="","",COUNTIF($I$7:$I$156,"&gt;"&amp;I127)+1)</f>
        <v/>
      </c>
      <c r="K127" s="27">
        <f>IF(I127="","",IF(IF(COUNT('설정'!$C$6:$F$6)=0,AND(G127&lt;&gt;"",H127&lt;&gt;""),OR(AND('설정'!$C$6&lt;&gt;"",G127&lt;&gt;"",N(G127)&gt;='설정'!$C$6),AND('설정'!$D$6&lt;&gt;"",AND(G127&lt;&gt;"",H127&lt;&gt;""),(N(G127)+N(H127))&gt;='설정'!$D$6),AND('설정'!$E$6&lt;&gt;"",OR(AND(G127&lt;&gt;"",N(G127)&lt;='설정'!$E$6),AND(H127&lt;&gt;"",N(H127)&lt;='설정'!$E$6))),AND('설정'!$F$6&lt;&gt;"",AND(G127&lt;&gt;"",H127&lt;&gt;""),(N(G127)+N(H127))&lt;='설정'!$F$6))),'설정'!$B$6,IF(IF(COUNT('설정'!$C$7:$F$7)=0,AND(G127&lt;&gt;"",H127&lt;&gt;""),OR(AND('설정'!$C$7&lt;&gt;"",G127&lt;&gt;"",N(G127)&gt;='설정'!$C$7),AND('설정'!$D$7&lt;&gt;"",AND(G127&lt;&gt;"",H127&lt;&gt;""),(N(G127)+N(H127))&gt;='설정'!$D$7),AND('설정'!$E$7&lt;&gt;"",OR(AND(G127&lt;&gt;"",N(G127)&lt;='설정'!$E$7),AND(H127&lt;&gt;"",N(H127)&lt;='설정'!$E$7))),AND('설정'!$F$7&lt;&gt;"",AND(G127&lt;&gt;"",H127&lt;&gt;""),(N(G127)+N(H127))&lt;='설정'!$F$7))),'설정'!$B$7,IF(IF(COUNT('설정'!$C$8:$F$8)=0,AND(G127&lt;&gt;"",H127&lt;&gt;""),OR(AND('설정'!$C$8&lt;&gt;"",G127&lt;&gt;"",N(G127)&gt;='설정'!$C$8),AND('설정'!$D$8&lt;&gt;"",AND(G127&lt;&gt;"",H127&lt;&gt;""),(N(G127)+N(H127))&gt;='설정'!$D$8),AND('설정'!$E$8&lt;&gt;"",OR(AND(G127&lt;&gt;"",N(G127)&lt;='설정'!$E$8),AND(H127&lt;&gt;"",N(H127)&lt;='설정'!$E$8))),AND('설정'!$F$8&lt;&gt;"",AND(G127&lt;&gt;"",H127&lt;&gt;""),(N(G127)+N(H127))&lt;='설정'!$F$8))),'설정'!$B$8,'설정'!$B$9))))</f>
        <v/>
      </c>
      <c r="L127" s="29">
        <f>IF(OR(G127="",H127=""),"",IF(SUMPRODUCT(ISNUMBER('설정'!$C$6:$C$8)*(ABS(G127-'설정'!$C$6:$C$8)&lt;='설정'!$C$15))+SUMPRODUCT(ISNUMBER('설정'!$D$6:$D$8)*(ABS((G127+H127)-'설정'!$D$6:$D$8)&lt;='설정'!$C$15))+SUMPRODUCT(ISNUMBER('설정'!$F$6:$F$8)*(ABS((G127+H127)-'설정'!$F$6:$F$8)&lt;='설정'!$C$15))+SUMPRODUCT(ISNUMBER('설정'!$E$6:$E$8)*(ABS(G127-'설정'!$E$6:$E$8)&lt;='설정'!$C$15))+SUMPRODUCT(ISNUMBER('설정'!$E$6:$E$8)*(ABS(H127-'설정'!$E$6:$E$8)&lt;='설정'!$C$15))&gt;0,"경계",""))</f>
        <v/>
      </c>
      <c r="M127" s="7" t="n"/>
      <c r="N127" s="7" t="n"/>
      <c r="O127" s="27">
        <f>IF(M127&lt;&gt;"",M127,K127)</f>
        <v/>
      </c>
      <c r="P127" s="30">
        <f>IF(I127="","",IF(G127="","공수1 미응시",IF(H127="","공수2 미응시","")))</f>
        <v/>
      </c>
      <c r="Q127" s="10">
        <f>IF(J127="","",J127+ROW()/100000)</f>
        <v/>
      </c>
    </row>
    <row r="128">
      <c r="A128" s="5" t="n">
        <v>122</v>
      </c>
      <c r="B128" s="10">
        <f>IF('학생명단'!B128="","",'학생명단'!B128)</f>
        <v/>
      </c>
      <c r="C128" s="10">
        <f>IF('학생명단'!C128="","",'학생명단'!C128)</f>
        <v/>
      </c>
      <c r="D128" s="10">
        <f>IF('학생명단'!D128="","",'학생명단'!D128)</f>
        <v/>
      </c>
      <c r="E128" s="10">
        <f>IF('학생명단'!E128="","",'학생명단'!E128)</f>
        <v/>
      </c>
      <c r="F128" s="11">
        <f>IF('학생명단'!F128="","",'학생명단'!F128)</f>
        <v/>
      </c>
      <c r="G128" s="10">
        <f>'공수1'!Y128</f>
        <v/>
      </c>
      <c r="H128" s="10">
        <f>'공수2'!Y128</f>
        <v/>
      </c>
      <c r="I128" s="28">
        <f>IF(AND(G128="",H128=""),"",N(G128)*'설정'!$C$13+N(H128)*'설정'!$C$14)</f>
        <v/>
      </c>
      <c r="J128" s="10">
        <f>IF(I128="","",COUNTIF($I$7:$I$156,"&gt;"&amp;I128)+1)</f>
        <v/>
      </c>
      <c r="K128" s="27">
        <f>IF(I128="","",IF(IF(COUNT('설정'!$C$6:$F$6)=0,AND(G128&lt;&gt;"",H128&lt;&gt;""),OR(AND('설정'!$C$6&lt;&gt;"",G128&lt;&gt;"",N(G128)&gt;='설정'!$C$6),AND('설정'!$D$6&lt;&gt;"",AND(G128&lt;&gt;"",H128&lt;&gt;""),(N(G128)+N(H128))&gt;='설정'!$D$6),AND('설정'!$E$6&lt;&gt;"",OR(AND(G128&lt;&gt;"",N(G128)&lt;='설정'!$E$6),AND(H128&lt;&gt;"",N(H128)&lt;='설정'!$E$6))),AND('설정'!$F$6&lt;&gt;"",AND(G128&lt;&gt;"",H128&lt;&gt;""),(N(G128)+N(H128))&lt;='설정'!$F$6))),'설정'!$B$6,IF(IF(COUNT('설정'!$C$7:$F$7)=0,AND(G128&lt;&gt;"",H128&lt;&gt;""),OR(AND('설정'!$C$7&lt;&gt;"",G128&lt;&gt;"",N(G128)&gt;='설정'!$C$7),AND('설정'!$D$7&lt;&gt;"",AND(G128&lt;&gt;"",H128&lt;&gt;""),(N(G128)+N(H128))&gt;='설정'!$D$7),AND('설정'!$E$7&lt;&gt;"",OR(AND(G128&lt;&gt;"",N(G128)&lt;='설정'!$E$7),AND(H128&lt;&gt;"",N(H128)&lt;='설정'!$E$7))),AND('설정'!$F$7&lt;&gt;"",AND(G128&lt;&gt;"",H128&lt;&gt;""),(N(G128)+N(H128))&lt;='설정'!$F$7))),'설정'!$B$7,IF(IF(COUNT('설정'!$C$8:$F$8)=0,AND(G128&lt;&gt;"",H128&lt;&gt;""),OR(AND('설정'!$C$8&lt;&gt;"",G128&lt;&gt;"",N(G128)&gt;='설정'!$C$8),AND('설정'!$D$8&lt;&gt;"",AND(G128&lt;&gt;"",H128&lt;&gt;""),(N(G128)+N(H128))&gt;='설정'!$D$8),AND('설정'!$E$8&lt;&gt;"",OR(AND(G128&lt;&gt;"",N(G128)&lt;='설정'!$E$8),AND(H128&lt;&gt;"",N(H128)&lt;='설정'!$E$8))),AND('설정'!$F$8&lt;&gt;"",AND(G128&lt;&gt;"",H128&lt;&gt;""),(N(G128)+N(H128))&lt;='설정'!$F$8))),'설정'!$B$8,'설정'!$B$9))))</f>
        <v/>
      </c>
      <c r="L128" s="29">
        <f>IF(OR(G128="",H128=""),"",IF(SUMPRODUCT(ISNUMBER('설정'!$C$6:$C$8)*(ABS(G128-'설정'!$C$6:$C$8)&lt;='설정'!$C$15))+SUMPRODUCT(ISNUMBER('설정'!$D$6:$D$8)*(ABS((G128+H128)-'설정'!$D$6:$D$8)&lt;='설정'!$C$15))+SUMPRODUCT(ISNUMBER('설정'!$F$6:$F$8)*(ABS((G128+H128)-'설정'!$F$6:$F$8)&lt;='설정'!$C$15))+SUMPRODUCT(ISNUMBER('설정'!$E$6:$E$8)*(ABS(G128-'설정'!$E$6:$E$8)&lt;='설정'!$C$15))+SUMPRODUCT(ISNUMBER('설정'!$E$6:$E$8)*(ABS(H128-'설정'!$E$6:$E$8)&lt;='설정'!$C$15))&gt;0,"경계",""))</f>
        <v/>
      </c>
      <c r="M128" s="7" t="n"/>
      <c r="N128" s="7" t="n"/>
      <c r="O128" s="27">
        <f>IF(M128&lt;&gt;"",M128,K128)</f>
        <v/>
      </c>
      <c r="P128" s="30">
        <f>IF(I128="","",IF(G128="","공수1 미응시",IF(H128="","공수2 미응시","")))</f>
        <v/>
      </c>
      <c r="Q128" s="10">
        <f>IF(J128="","",J128+ROW()/100000)</f>
        <v/>
      </c>
    </row>
    <row r="129">
      <c r="A129" s="5" t="n">
        <v>123</v>
      </c>
      <c r="B129" s="10">
        <f>IF('학생명단'!B129="","",'학생명단'!B129)</f>
        <v/>
      </c>
      <c r="C129" s="10">
        <f>IF('학생명단'!C129="","",'학생명단'!C129)</f>
        <v/>
      </c>
      <c r="D129" s="10">
        <f>IF('학생명단'!D129="","",'학생명단'!D129)</f>
        <v/>
      </c>
      <c r="E129" s="10">
        <f>IF('학생명단'!E129="","",'학생명단'!E129)</f>
        <v/>
      </c>
      <c r="F129" s="11">
        <f>IF('학생명단'!F129="","",'학생명단'!F129)</f>
        <v/>
      </c>
      <c r="G129" s="10">
        <f>'공수1'!Y129</f>
        <v/>
      </c>
      <c r="H129" s="10">
        <f>'공수2'!Y129</f>
        <v/>
      </c>
      <c r="I129" s="28">
        <f>IF(AND(G129="",H129=""),"",N(G129)*'설정'!$C$13+N(H129)*'설정'!$C$14)</f>
        <v/>
      </c>
      <c r="J129" s="10">
        <f>IF(I129="","",COUNTIF($I$7:$I$156,"&gt;"&amp;I129)+1)</f>
        <v/>
      </c>
      <c r="K129" s="27">
        <f>IF(I129="","",IF(IF(COUNT('설정'!$C$6:$F$6)=0,AND(G129&lt;&gt;"",H129&lt;&gt;""),OR(AND('설정'!$C$6&lt;&gt;"",G129&lt;&gt;"",N(G129)&gt;='설정'!$C$6),AND('설정'!$D$6&lt;&gt;"",AND(G129&lt;&gt;"",H129&lt;&gt;""),(N(G129)+N(H129))&gt;='설정'!$D$6),AND('설정'!$E$6&lt;&gt;"",OR(AND(G129&lt;&gt;"",N(G129)&lt;='설정'!$E$6),AND(H129&lt;&gt;"",N(H129)&lt;='설정'!$E$6))),AND('설정'!$F$6&lt;&gt;"",AND(G129&lt;&gt;"",H129&lt;&gt;""),(N(G129)+N(H129))&lt;='설정'!$F$6))),'설정'!$B$6,IF(IF(COUNT('설정'!$C$7:$F$7)=0,AND(G129&lt;&gt;"",H129&lt;&gt;""),OR(AND('설정'!$C$7&lt;&gt;"",G129&lt;&gt;"",N(G129)&gt;='설정'!$C$7),AND('설정'!$D$7&lt;&gt;"",AND(G129&lt;&gt;"",H129&lt;&gt;""),(N(G129)+N(H129))&gt;='설정'!$D$7),AND('설정'!$E$7&lt;&gt;"",OR(AND(G129&lt;&gt;"",N(G129)&lt;='설정'!$E$7),AND(H129&lt;&gt;"",N(H129)&lt;='설정'!$E$7))),AND('설정'!$F$7&lt;&gt;"",AND(G129&lt;&gt;"",H129&lt;&gt;""),(N(G129)+N(H129))&lt;='설정'!$F$7))),'설정'!$B$7,IF(IF(COUNT('설정'!$C$8:$F$8)=0,AND(G129&lt;&gt;"",H129&lt;&gt;""),OR(AND('설정'!$C$8&lt;&gt;"",G129&lt;&gt;"",N(G129)&gt;='설정'!$C$8),AND('설정'!$D$8&lt;&gt;"",AND(G129&lt;&gt;"",H129&lt;&gt;""),(N(G129)+N(H129))&gt;='설정'!$D$8),AND('설정'!$E$8&lt;&gt;"",OR(AND(G129&lt;&gt;"",N(G129)&lt;='설정'!$E$8),AND(H129&lt;&gt;"",N(H129)&lt;='설정'!$E$8))),AND('설정'!$F$8&lt;&gt;"",AND(G129&lt;&gt;"",H129&lt;&gt;""),(N(G129)+N(H129))&lt;='설정'!$F$8))),'설정'!$B$8,'설정'!$B$9))))</f>
        <v/>
      </c>
      <c r="L129" s="29">
        <f>IF(OR(G129="",H129=""),"",IF(SUMPRODUCT(ISNUMBER('설정'!$C$6:$C$8)*(ABS(G129-'설정'!$C$6:$C$8)&lt;='설정'!$C$15))+SUMPRODUCT(ISNUMBER('설정'!$D$6:$D$8)*(ABS((G129+H129)-'설정'!$D$6:$D$8)&lt;='설정'!$C$15))+SUMPRODUCT(ISNUMBER('설정'!$F$6:$F$8)*(ABS((G129+H129)-'설정'!$F$6:$F$8)&lt;='설정'!$C$15))+SUMPRODUCT(ISNUMBER('설정'!$E$6:$E$8)*(ABS(G129-'설정'!$E$6:$E$8)&lt;='설정'!$C$15))+SUMPRODUCT(ISNUMBER('설정'!$E$6:$E$8)*(ABS(H129-'설정'!$E$6:$E$8)&lt;='설정'!$C$15))&gt;0,"경계",""))</f>
        <v/>
      </c>
      <c r="M129" s="7" t="n"/>
      <c r="N129" s="7" t="n"/>
      <c r="O129" s="27">
        <f>IF(M129&lt;&gt;"",M129,K129)</f>
        <v/>
      </c>
      <c r="P129" s="30">
        <f>IF(I129="","",IF(G129="","공수1 미응시",IF(H129="","공수2 미응시","")))</f>
        <v/>
      </c>
      <c r="Q129" s="10">
        <f>IF(J129="","",J129+ROW()/100000)</f>
        <v/>
      </c>
    </row>
    <row r="130">
      <c r="A130" s="5" t="n">
        <v>124</v>
      </c>
      <c r="B130" s="10">
        <f>IF('학생명단'!B130="","",'학생명단'!B130)</f>
        <v/>
      </c>
      <c r="C130" s="10">
        <f>IF('학생명단'!C130="","",'학생명단'!C130)</f>
        <v/>
      </c>
      <c r="D130" s="10">
        <f>IF('학생명단'!D130="","",'학생명단'!D130)</f>
        <v/>
      </c>
      <c r="E130" s="10">
        <f>IF('학생명단'!E130="","",'학생명단'!E130)</f>
        <v/>
      </c>
      <c r="F130" s="11">
        <f>IF('학생명단'!F130="","",'학생명단'!F130)</f>
        <v/>
      </c>
      <c r="G130" s="10">
        <f>'공수1'!Y130</f>
        <v/>
      </c>
      <c r="H130" s="10">
        <f>'공수2'!Y130</f>
        <v/>
      </c>
      <c r="I130" s="28">
        <f>IF(AND(G130="",H130=""),"",N(G130)*'설정'!$C$13+N(H130)*'설정'!$C$14)</f>
        <v/>
      </c>
      <c r="J130" s="10">
        <f>IF(I130="","",COUNTIF($I$7:$I$156,"&gt;"&amp;I130)+1)</f>
        <v/>
      </c>
      <c r="K130" s="27">
        <f>IF(I130="","",IF(IF(COUNT('설정'!$C$6:$F$6)=0,AND(G130&lt;&gt;"",H130&lt;&gt;""),OR(AND('설정'!$C$6&lt;&gt;"",G130&lt;&gt;"",N(G130)&gt;='설정'!$C$6),AND('설정'!$D$6&lt;&gt;"",AND(G130&lt;&gt;"",H130&lt;&gt;""),(N(G130)+N(H130))&gt;='설정'!$D$6),AND('설정'!$E$6&lt;&gt;"",OR(AND(G130&lt;&gt;"",N(G130)&lt;='설정'!$E$6),AND(H130&lt;&gt;"",N(H130)&lt;='설정'!$E$6))),AND('설정'!$F$6&lt;&gt;"",AND(G130&lt;&gt;"",H130&lt;&gt;""),(N(G130)+N(H130))&lt;='설정'!$F$6))),'설정'!$B$6,IF(IF(COUNT('설정'!$C$7:$F$7)=0,AND(G130&lt;&gt;"",H130&lt;&gt;""),OR(AND('설정'!$C$7&lt;&gt;"",G130&lt;&gt;"",N(G130)&gt;='설정'!$C$7),AND('설정'!$D$7&lt;&gt;"",AND(G130&lt;&gt;"",H130&lt;&gt;""),(N(G130)+N(H130))&gt;='설정'!$D$7),AND('설정'!$E$7&lt;&gt;"",OR(AND(G130&lt;&gt;"",N(G130)&lt;='설정'!$E$7),AND(H130&lt;&gt;"",N(H130)&lt;='설정'!$E$7))),AND('설정'!$F$7&lt;&gt;"",AND(G130&lt;&gt;"",H130&lt;&gt;""),(N(G130)+N(H130))&lt;='설정'!$F$7))),'설정'!$B$7,IF(IF(COUNT('설정'!$C$8:$F$8)=0,AND(G130&lt;&gt;"",H130&lt;&gt;""),OR(AND('설정'!$C$8&lt;&gt;"",G130&lt;&gt;"",N(G130)&gt;='설정'!$C$8),AND('설정'!$D$8&lt;&gt;"",AND(G130&lt;&gt;"",H130&lt;&gt;""),(N(G130)+N(H130))&gt;='설정'!$D$8),AND('설정'!$E$8&lt;&gt;"",OR(AND(G130&lt;&gt;"",N(G130)&lt;='설정'!$E$8),AND(H130&lt;&gt;"",N(H130)&lt;='설정'!$E$8))),AND('설정'!$F$8&lt;&gt;"",AND(G130&lt;&gt;"",H130&lt;&gt;""),(N(G130)+N(H130))&lt;='설정'!$F$8))),'설정'!$B$8,'설정'!$B$9))))</f>
        <v/>
      </c>
      <c r="L130" s="29">
        <f>IF(OR(G130="",H130=""),"",IF(SUMPRODUCT(ISNUMBER('설정'!$C$6:$C$8)*(ABS(G130-'설정'!$C$6:$C$8)&lt;='설정'!$C$15))+SUMPRODUCT(ISNUMBER('설정'!$D$6:$D$8)*(ABS((G130+H130)-'설정'!$D$6:$D$8)&lt;='설정'!$C$15))+SUMPRODUCT(ISNUMBER('설정'!$F$6:$F$8)*(ABS((G130+H130)-'설정'!$F$6:$F$8)&lt;='설정'!$C$15))+SUMPRODUCT(ISNUMBER('설정'!$E$6:$E$8)*(ABS(G130-'설정'!$E$6:$E$8)&lt;='설정'!$C$15))+SUMPRODUCT(ISNUMBER('설정'!$E$6:$E$8)*(ABS(H130-'설정'!$E$6:$E$8)&lt;='설정'!$C$15))&gt;0,"경계",""))</f>
        <v/>
      </c>
      <c r="M130" s="7" t="n"/>
      <c r="N130" s="7" t="n"/>
      <c r="O130" s="27">
        <f>IF(M130&lt;&gt;"",M130,K130)</f>
        <v/>
      </c>
      <c r="P130" s="30">
        <f>IF(I130="","",IF(G130="","공수1 미응시",IF(H130="","공수2 미응시","")))</f>
        <v/>
      </c>
      <c r="Q130" s="10">
        <f>IF(J130="","",J130+ROW()/100000)</f>
        <v/>
      </c>
    </row>
    <row r="131">
      <c r="A131" s="5" t="n">
        <v>125</v>
      </c>
      <c r="B131" s="10">
        <f>IF('학생명단'!B131="","",'학생명단'!B131)</f>
        <v/>
      </c>
      <c r="C131" s="10">
        <f>IF('학생명단'!C131="","",'학생명단'!C131)</f>
        <v/>
      </c>
      <c r="D131" s="10">
        <f>IF('학생명단'!D131="","",'학생명단'!D131)</f>
        <v/>
      </c>
      <c r="E131" s="10">
        <f>IF('학생명단'!E131="","",'학생명단'!E131)</f>
        <v/>
      </c>
      <c r="F131" s="11">
        <f>IF('학생명단'!F131="","",'학생명단'!F131)</f>
        <v/>
      </c>
      <c r="G131" s="10">
        <f>'공수1'!Y131</f>
        <v/>
      </c>
      <c r="H131" s="10">
        <f>'공수2'!Y131</f>
        <v/>
      </c>
      <c r="I131" s="28">
        <f>IF(AND(G131="",H131=""),"",N(G131)*'설정'!$C$13+N(H131)*'설정'!$C$14)</f>
        <v/>
      </c>
      <c r="J131" s="10">
        <f>IF(I131="","",COUNTIF($I$7:$I$156,"&gt;"&amp;I131)+1)</f>
        <v/>
      </c>
      <c r="K131" s="27">
        <f>IF(I131="","",IF(IF(COUNT('설정'!$C$6:$F$6)=0,AND(G131&lt;&gt;"",H131&lt;&gt;""),OR(AND('설정'!$C$6&lt;&gt;"",G131&lt;&gt;"",N(G131)&gt;='설정'!$C$6),AND('설정'!$D$6&lt;&gt;"",AND(G131&lt;&gt;"",H131&lt;&gt;""),(N(G131)+N(H131))&gt;='설정'!$D$6),AND('설정'!$E$6&lt;&gt;"",OR(AND(G131&lt;&gt;"",N(G131)&lt;='설정'!$E$6),AND(H131&lt;&gt;"",N(H131)&lt;='설정'!$E$6))),AND('설정'!$F$6&lt;&gt;"",AND(G131&lt;&gt;"",H131&lt;&gt;""),(N(G131)+N(H131))&lt;='설정'!$F$6))),'설정'!$B$6,IF(IF(COUNT('설정'!$C$7:$F$7)=0,AND(G131&lt;&gt;"",H131&lt;&gt;""),OR(AND('설정'!$C$7&lt;&gt;"",G131&lt;&gt;"",N(G131)&gt;='설정'!$C$7),AND('설정'!$D$7&lt;&gt;"",AND(G131&lt;&gt;"",H131&lt;&gt;""),(N(G131)+N(H131))&gt;='설정'!$D$7),AND('설정'!$E$7&lt;&gt;"",OR(AND(G131&lt;&gt;"",N(G131)&lt;='설정'!$E$7),AND(H131&lt;&gt;"",N(H131)&lt;='설정'!$E$7))),AND('설정'!$F$7&lt;&gt;"",AND(G131&lt;&gt;"",H131&lt;&gt;""),(N(G131)+N(H131))&lt;='설정'!$F$7))),'설정'!$B$7,IF(IF(COUNT('설정'!$C$8:$F$8)=0,AND(G131&lt;&gt;"",H131&lt;&gt;""),OR(AND('설정'!$C$8&lt;&gt;"",G131&lt;&gt;"",N(G131)&gt;='설정'!$C$8),AND('설정'!$D$8&lt;&gt;"",AND(G131&lt;&gt;"",H131&lt;&gt;""),(N(G131)+N(H131))&gt;='설정'!$D$8),AND('설정'!$E$8&lt;&gt;"",OR(AND(G131&lt;&gt;"",N(G131)&lt;='설정'!$E$8),AND(H131&lt;&gt;"",N(H131)&lt;='설정'!$E$8))),AND('설정'!$F$8&lt;&gt;"",AND(G131&lt;&gt;"",H131&lt;&gt;""),(N(G131)+N(H131))&lt;='설정'!$F$8))),'설정'!$B$8,'설정'!$B$9))))</f>
        <v/>
      </c>
      <c r="L131" s="29">
        <f>IF(OR(G131="",H131=""),"",IF(SUMPRODUCT(ISNUMBER('설정'!$C$6:$C$8)*(ABS(G131-'설정'!$C$6:$C$8)&lt;='설정'!$C$15))+SUMPRODUCT(ISNUMBER('설정'!$D$6:$D$8)*(ABS((G131+H131)-'설정'!$D$6:$D$8)&lt;='설정'!$C$15))+SUMPRODUCT(ISNUMBER('설정'!$F$6:$F$8)*(ABS((G131+H131)-'설정'!$F$6:$F$8)&lt;='설정'!$C$15))+SUMPRODUCT(ISNUMBER('설정'!$E$6:$E$8)*(ABS(G131-'설정'!$E$6:$E$8)&lt;='설정'!$C$15))+SUMPRODUCT(ISNUMBER('설정'!$E$6:$E$8)*(ABS(H131-'설정'!$E$6:$E$8)&lt;='설정'!$C$15))&gt;0,"경계",""))</f>
        <v/>
      </c>
      <c r="M131" s="7" t="n"/>
      <c r="N131" s="7" t="n"/>
      <c r="O131" s="27">
        <f>IF(M131&lt;&gt;"",M131,K131)</f>
        <v/>
      </c>
      <c r="P131" s="30">
        <f>IF(I131="","",IF(G131="","공수1 미응시",IF(H131="","공수2 미응시","")))</f>
        <v/>
      </c>
      <c r="Q131" s="10">
        <f>IF(J131="","",J131+ROW()/100000)</f>
        <v/>
      </c>
    </row>
    <row r="132">
      <c r="A132" s="5" t="n">
        <v>126</v>
      </c>
      <c r="B132" s="10">
        <f>IF('학생명단'!B132="","",'학생명단'!B132)</f>
        <v/>
      </c>
      <c r="C132" s="10">
        <f>IF('학생명단'!C132="","",'학생명단'!C132)</f>
        <v/>
      </c>
      <c r="D132" s="10">
        <f>IF('학생명단'!D132="","",'학생명단'!D132)</f>
        <v/>
      </c>
      <c r="E132" s="10">
        <f>IF('학생명단'!E132="","",'학생명단'!E132)</f>
        <v/>
      </c>
      <c r="F132" s="11">
        <f>IF('학생명단'!F132="","",'학생명단'!F132)</f>
        <v/>
      </c>
      <c r="G132" s="10">
        <f>'공수1'!Y132</f>
        <v/>
      </c>
      <c r="H132" s="10">
        <f>'공수2'!Y132</f>
        <v/>
      </c>
      <c r="I132" s="28">
        <f>IF(AND(G132="",H132=""),"",N(G132)*'설정'!$C$13+N(H132)*'설정'!$C$14)</f>
        <v/>
      </c>
      <c r="J132" s="10">
        <f>IF(I132="","",COUNTIF($I$7:$I$156,"&gt;"&amp;I132)+1)</f>
        <v/>
      </c>
      <c r="K132" s="27">
        <f>IF(I132="","",IF(IF(COUNT('설정'!$C$6:$F$6)=0,AND(G132&lt;&gt;"",H132&lt;&gt;""),OR(AND('설정'!$C$6&lt;&gt;"",G132&lt;&gt;"",N(G132)&gt;='설정'!$C$6),AND('설정'!$D$6&lt;&gt;"",AND(G132&lt;&gt;"",H132&lt;&gt;""),(N(G132)+N(H132))&gt;='설정'!$D$6),AND('설정'!$E$6&lt;&gt;"",OR(AND(G132&lt;&gt;"",N(G132)&lt;='설정'!$E$6),AND(H132&lt;&gt;"",N(H132)&lt;='설정'!$E$6))),AND('설정'!$F$6&lt;&gt;"",AND(G132&lt;&gt;"",H132&lt;&gt;""),(N(G132)+N(H132))&lt;='설정'!$F$6))),'설정'!$B$6,IF(IF(COUNT('설정'!$C$7:$F$7)=0,AND(G132&lt;&gt;"",H132&lt;&gt;""),OR(AND('설정'!$C$7&lt;&gt;"",G132&lt;&gt;"",N(G132)&gt;='설정'!$C$7),AND('설정'!$D$7&lt;&gt;"",AND(G132&lt;&gt;"",H132&lt;&gt;""),(N(G132)+N(H132))&gt;='설정'!$D$7),AND('설정'!$E$7&lt;&gt;"",OR(AND(G132&lt;&gt;"",N(G132)&lt;='설정'!$E$7),AND(H132&lt;&gt;"",N(H132)&lt;='설정'!$E$7))),AND('설정'!$F$7&lt;&gt;"",AND(G132&lt;&gt;"",H132&lt;&gt;""),(N(G132)+N(H132))&lt;='설정'!$F$7))),'설정'!$B$7,IF(IF(COUNT('설정'!$C$8:$F$8)=0,AND(G132&lt;&gt;"",H132&lt;&gt;""),OR(AND('설정'!$C$8&lt;&gt;"",G132&lt;&gt;"",N(G132)&gt;='설정'!$C$8),AND('설정'!$D$8&lt;&gt;"",AND(G132&lt;&gt;"",H132&lt;&gt;""),(N(G132)+N(H132))&gt;='설정'!$D$8),AND('설정'!$E$8&lt;&gt;"",OR(AND(G132&lt;&gt;"",N(G132)&lt;='설정'!$E$8),AND(H132&lt;&gt;"",N(H132)&lt;='설정'!$E$8))),AND('설정'!$F$8&lt;&gt;"",AND(G132&lt;&gt;"",H132&lt;&gt;""),(N(G132)+N(H132))&lt;='설정'!$F$8))),'설정'!$B$8,'설정'!$B$9))))</f>
        <v/>
      </c>
      <c r="L132" s="29">
        <f>IF(OR(G132="",H132=""),"",IF(SUMPRODUCT(ISNUMBER('설정'!$C$6:$C$8)*(ABS(G132-'설정'!$C$6:$C$8)&lt;='설정'!$C$15))+SUMPRODUCT(ISNUMBER('설정'!$D$6:$D$8)*(ABS((G132+H132)-'설정'!$D$6:$D$8)&lt;='설정'!$C$15))+SUMPRODUCT(ISNUMBER('설정'!$F$6:$F$8)*(ABS((G132+H132)-'설정'!$F$6:$F$8)&lt;='설정'!$C$15))+SUMPRODUCT(ISNUMBER('설정'!$E$6:$E$8)*(ABS(G132-'설정'!$E$6:$E$8)&lt;='설정'!$C$15))+SUMPRODUCT(ISNUMBER('설정'!$E$6:$E$8)*(ABS(H132-'설정'!$E$6:$E$8)&lt;='설정'!$C$15))&gt;0,"경계",""))</f>
        <v/>
      </c>
      <c r="M132" s="7" t="n"/>
      <c r="N132" s="7" t="n"/>
      <c r="O132" s="27">
        <f>IF(M132&lt;&gt;"",M132,K132)</f>
        <v/>
      </c>
      <c r="P132" s="30">
        <f>IF(I132="","",IF(G132="","공수1 미응시",IF(H132="","공수2 미응시","")))</f>
        <v/>
      </c>
      <c r="Q132" s="10">
        <f>IF(J132="","",J132+ROW()/100000)</f>
        <v/>
      </c>
    </row>
    <row r="133">
      <c r="A133" s="5" t="n">
        <v>127</v>
      </c>
      <c r="B133" s="10">
        <f>IF('학생명단'!B133="","",'학생명단'!B133)</f>
        <v/>
      </c>
      <c r="C133" s="10">
        <f>IF('학생명단'!C133="","",'학생명단'!C133)</f>
        <v/>
      </c>
      <c r="D133" s="10">
        <f>IF('학생명단'!D133="","",'학생명단'!D133)</f>
        <v/>
      </c>
      <c r="E133" s="10">
        <f>IF('학생명단'!E133="","",'학생명단'!E133)</f>
        <v/>
      </c>
      <c r="F133" s="11">
        <f>IF('학생명단'!F133="","",'학생명단'!F133)</f>
        <v/>
      </c>
      <c r="G133" s="10">
        <f>'공수1'!Y133</f>
        <v/>
      </c>
      <c r="H133" s="10">
        <f>'공수2'!Y133</f>
        <v/>
      </c>
      <c r="I133" s="28">
        <f>IF(AND(G133="",H133=""),"",N(G133)*'설정'!$C$13+N(H133)*'설정'!$C$14)</f>
        <v/>
      </c>
      <c r="J133" s="10">
        <f>IF(I133="","",COUNTIF($I$7:$I$156,"&gt;"&amp;I133)+1)</f>
        <v/>
      </c>
      <c r="K133" s="27">
        <f>IF(I133="","",IF(IF(COUNT('설정'!$C$6:$F$6)=0,AND(G133&lt;&gt;"",H133&lt;&gt;""),OR(AND('설정'!$C$6&lt;&gt;"",G133&lt;&gt;"",N(G133)&gt;='설정'!$C$6),AND('설정'!$D$6&lt;&gt;"",AND(G133&lt;&gt;"",H133&lt;&gt;""),(N(G133)+N(H133))&gt;='설정'!$D$6),AND('설정'!$E$6&lt;&gt;"",OR(AND(G133&lt;&gt;"",N(G133)&lt;='설정'!$E$6),AND(H133&lt;&gt;"",N(H133)&lt;='설정'!$E$6))),AND('설정'!$F$6&lt;&gt;"",AND(G133&lt;&gt;"",H133&lt;&gt;""),(N(G133)+N(H133))&lt;='설정'!$F$6))),'설정'!$B$6,IF(IF(COUNT('설정'!$C$7:$F$7)=0,AND(G133&lt;&gt;"",H133&lt;&gt;""),OR(AND('설정'!$C$7&lt;&gt;"",G133&lt;&gt;"",N(G133)&gt;='설정'!$C$7),AND('설정'!$D$7&lt;&gt;"",AND(G133&lt;&gt;"",H133&lt;&gt;""),(N(G133)+N(H133))&gt;='설정'!$D$7),AND('설정'!$E$7&lt;&gt;"",OR(AND(G133&lt;&gt;"",N(G133)&lt;='설정'!$E$7),AND(H133&lt;&gt;"",N(H133)&lt;='설정'!$E$7))),AND('설정'!$F$7&lt;&gt;"",AND(G133&lt;&gt;"",H133&lt;&gt;""),(N(G133)+N(H133))&lt;='설정'!$F$7))),'설정'!$B$7,IF(IF(COUNT('설정'!$C$8:$F$8)=0,AND(G133&lt;&gt;"",H133&lt;&gt;""),OR(AND('설정'!$C$8&lt;&gt;"",G133&lt;&gt;"",N(G133)&gt;='설정'!$C$8),AND('설정'!$D$8&lt;&gt;"",AND(G133&lt;&gt;"",H133&lt;&gt;""),(N(G133)+N(H133))&gt;='설정'!$D$8),AND('설정'!$E$8&lt;&gt;"",OR(AND(G133&lt;&gt;"",N(G133)&lt;='설정'!$E$8),AND(H133&lt;&gt;"",N(H133)&lt;='설정'!$E$8))),AND('설정'!$F$8&lt;&gt;"",AND(G133&lt;&gt;"",H133&lt;&gt;""),(N(G133)+N(H133))&lt;='설정'!$F$8))),'설정'!$B$8,'설정'!$B$9))))</f>
        <v/>
      </c>
      <c r="L133" s="29">
        <f>IF(OR(G133="",H133=""),"",IF(SUMPRODUCT(ISNUMBER('설정'!$C$6:$C$8)*(ABS(G133-'설정'!$C$6:$C$8)&lt;='설정'!$C$15))+SUMPRODUCT(ISNUMBER('설정'!$D$6:$D$8)*(ABS((G133+H133)-'설정'!$D$6:$D$8)&lt;='설정'!$C$15))+SUMPRODUCT(ISNUMBER('설정'!$F$6:$F$8)*(ABS((G133+H133)-'설정'!$F$6:$F$8)&lt;='설정'!$C$15))+SUMPRODUCT(ISNUMBER('설정'!$E$6:$E$8)*(ABS(G133-'설정'!$E$6:$E$8)&lt;='설정'!$C$15))+SUMPRODUCT(ISNUMBER('설정'!$E$6:$E$8)*(ABS(H133-'설정'!$E$6:$E$8)&lt;='설정'!$C$15))&gt;0,"경계",""))</f>
        <v/>
      </c>
      <c r="M133" s="7" t="n"/>
      <c r="N133" s="7" t="n"/>
      <c r="O133" s="27">
        <f>IF(M133&lt;&gt;"",M133,K133)</f>
        <v/>
      </c>
      <c r="P133" s="30">
        <f>IF(I133="","",IF(G133="","공수1 미응시",IF(H133="","공수2 미응시","")))</f>
        <v/>
      </c>
      <c r="Q133" s="10">
        <f>IF(J133="","",J133+ROW()/100000)</f>
        <v/>
      </c>
    </row>
    <row r="134">
      <c r="A134" s="5" t="n">
        <v>128</v>
      </c>
      <c r="B134" s="10">
        <f>IF('학생명단'!B134="","",'학생명단'!B134)</f>
        <v/>
      </c>
      <c r="C134" s="10">
        <f>IF('학생명단'!C134="","",'학생명단'!C134)</f>
        <v/>
      </c>
      <c r="D134" s="10">
        <f>IF('학생명단'!D134="","",'학생명단'!D134)</f>
        <v/>
      </c>
      <c r="E134" s="10">
        <f>IF('학생명단'!E134="","",'학생명단'!E134)</f>
        <v/>
      </c>
      <c r="F134" s="11">
        <f>IF('학생명단'!F134="","",'학생명단'!F134)</f>
        <v/>
      </c>
      <c r="G134" s="10">
        <f>'공수1'!Y134</f>
        <v/>
      </c>
      <c r="H134" s="10">
        <f>'공수2'!Y134</f>
        <v/>
      </c>
      <c r="I134" s="28">
        <f>IF(AND(G134="",H134=""),"",N(G134)*'설정'!$C$13+N(H134)*'설정'!$C$14)</f>
        <v/>
      </c>
      <c r="J134" s="10">
        <f>IF(I134="","",COUNTIF($I$7:$I$156,"&gt;"&amp;I134)+1)</f>
        <v/>
      </c>
      <c r="K134" s="27">
        <f>IF(I134="","",IF(IF(COUNT('설정'!$C$6:$F$6)=0,AND(G134&lt;&gt;"",H134&lt;&gt;""),OR(AND('설정'!$C$6&lt;&gt;"",G134&lt;&gt;"",N(G134)&gt;='설정'!$C$6),AND('설정'!$D$6&lt;&gt;"",AND(G134&lt;&gt;"",H134&lt;&gt;""),(N(G134)+N(H134))&gt;='설정'!$D$6),AND('설정'!$E$6&lt;&gt;"",OR(AND(G134&lt;&gt;"",N(G134)&lt;='설정'!$E$6),AND(H134&lt;&gt;"",N(H134)&lt;='설정'!$E$6))),AND('설정'!$F$6&lt;&gt;"",AND(G134&lt;&gt;"",H134&lt;&gt;""),(N(G134)+N(H134))&lt;='설정'!$F$6))),'설정'!$B$6,IF(IF(COUNT('설정'!$C$7:$F$7)=0,AND(G134&lt;&gt;"",H134&lt;&gt;""),OR(AND('설정'!$C$7&lt;&gt;"",G134&lt;&gt;"",N(G134)&gt;='설정'!$C$7),AND('설정'!$D$7&lt;&gt;"",AND(G134&lt;&gt;"",H134&lt;&gt;""),(N(G134)+N(H134))&gt;='설정'!$D$7),AND('설정'!$E$7&lt;&gt;"",OR(AND(G134&lt;&gt;"",N(G134)&lt;='설정'!$E$7),AND(H134&lt;&gt;"",N(H134)&lt;='설정'!$E$7))),AND('설정'!$F$7&lt;&gt;"",AND(G134&lt;&gt;"",H134&lt;&gt;""),(N(G134)+N(H134))&lt;='설정'!$F$7))),'설정'!$B$7,IF(IF(COUNT('설정'!$C$8:$F$8)=0,AND(G134&lt;&gt;"",H134&lt;&gt;""),OR(AND('설정'!$C$8&lt;&gt;"",G134&lt;&gt;"",N(G134)&gt;='설정'!$C$8),AND('설정'!$D$8&lt;&gt;"",AND(G134&lt;&gt;"",H134&lt;&gt;""),(N(G134)+N(H134))&gt;='설정'!$D$8),AND('설정'!$E$8&lt;&gt;"",OR(AND(G134&lt;&gt;"",N(G134)&lt;='설정'!$E$8),AND(H134&lt;&gt;"",N(H134)&lt;='설정'!$E$8))),AND('설정'!$F$8&lt;&gt;"",AND(G134&lt;&gt;"",H134&lt;&gt;""),(N(G134)+N(H134))&lt;='설정'!$F$8))),'설정'!$B$8,'설정'!$B$9))))</f>
        <v/>
      </c>
      <c r="L134" s="29">
        <f>IF(OR(G134="",H134=""),"",IF(SUMPRODUCT(ISNUMBER('설정'!$C$6:$C$8)*(ABS(G134-'설정'!$C$6:$C$8)&lt;='설정'!$C$15))+SUMPRODUCT(ISNUMBER('설정'!$D$6:$D$8)*(ABS((G134+H134)-'설정'!$D$6:$D$8)&lt;='설정'!$C$15))+SUMPRODUCT(ISNUMBER('설정'!$F$6:$F$8)*(ABS((G134+H134)-'설정'!$F$6:$F$8)&lt;='설정'!$C$15))+SUMPRODUCT(ISNUMBER('설정'!$E$6:$E$8)*(ABS(G134-'설정'!$E$6:$E$8)&lt;='설정'!$C$15))+SUMPRODUCT(ISNUMBER('설정'!$E$6:$E$8)*(ABS(H134-'설정'!$E$6:$E$8)&lt;='설정'!$C$15))&gt;0,"경계",""))</f>
        <v/>
      </c>
      <c r="M134" s="7" t="n"/>
      <c r="N134" s="7" t="n"/>
      <c r="O134" s="27">
        <f>IF(M134&lt;&gt;"",M134,K134)</f>
        <v/>
      </c>
      <c r="P134" s="30">
        <f>IF(I134="","",IF(G134="","공수1 미응시",IF(H134="","공수2 미응시","")))</f>
        <v/>
      </c>
      <c r="Q134" s="10">
        <f>IF(J134="","",J134+ROW()/100000)</f>
        <v/>
      </c>
    </row>
    <row r="135">
      <c r="A135" s="5" t="n">
        <v>129</v>
      </c>
      <c r="B135" s="10">
        <f>IF('학생명단'!B135="","",'학생명단'!B135)</f>
        <v/>
      </c>
      <c r="C135" s="10">
        <f>IF('학생명단'!C135="","",'학생명단'!C135)</f>
        <v/>
      </c>
      <c r="D135" s="10">
        <f>IF('학생명단'!D135="","",'학생명단'!D135)</f>
        <v/>
      </c>
      <c r="E135" s="10">
        <f>IF('학생명단'!E135="","",'학생명단'!E135)</f>
        <v/>
      </c>
      <c r="F135" s="11">
        <f>IF('학생명단'!F135="","",'학생명단'!F135)</f>
        <v/>
      </c>
      <c r="G135" s="10">
        <f>'공수1'!Y135</f>
        <v/>
      </c>
      <c r="H135" s="10">
        <f>'공수2'!Y135</f>
        <v/>
      </c>
      <c r="I135" s="28">
        <f>IF(AND(G135="",H135=""),"",N(G135)*'설정'!$C$13+N(H135)*'설정'!$C$14)</f>
        <v/>
      </c>
      <c r="J135" s="10">
        <f>IF(I135="","",COUNTIF($I$7:$I$156,"&gt;"&amp;I135)+1)</f>
        <v/>
      </c>
      <c r="K135" s="27">
        <f>IF(I135="","",IF(IF(COUNT('설정'!$C$6:$F$6)=0,AND(G135&lt;&gt;"",H135&lt;&gt;""),OR(AND('설정'!$C$6&lt;&gt;"",G135&lt;&gt;"",N(G135)&gt;='설정'!$C$6),AND('설정'!$D$6&lt;&gt;"",AND(G135&lt;&gt;"",H135&lt;&gt;""),(N(G135)+N(H135))&gt;='설정'!$D$6),AND('설정'!$E$6&lt;&gt;"",OR(AND(G135&lt;&gt;"",N(G135)&lt;='설정'!$E$6),AND(H135&lt;&gt;"",N(H135)&lt;='설정'!$E$6))),AND('설정'!$F$6&lt;&gt;"",AND(G135&lt;&gt;"",H135&lt;&gt;""),(N(G135)+N(H135))&lt;='설정'!$F$6))),'설정'!$B$6,IF(IF(COUNT('설정'!$C$7:$F$7)=0,AND(G135&lt;&gt;"",H135&lt;&gt;""),OR(AND('설정'!$C$7&lt;&gt;"",G135&lt;&gt;"",N(G135)&gt;='설정'!$C$7),AND('설정'!$D$7&lt;&gt;"",AND(G135&lt;&gt;"",H135&lt;&gt;""),(N(G135)+N(H135))&gt;='설정'!$D$7),AND('설정'!$E$7&lt;&gt;"",OR(AND(G135&lt;&gt;"",N(G135)&lt;='설정'!$E$7),AND(H135&lt;&gt;"",N(H135)&lt;='설정'!$E$7))),AND('설정'!$F$7&lt;&gt;"",AND(G135&lt;&gt;"",H135&lt;&gt;""),(N(G135)+N(H135))&lt;='설정'!$F$7))),'설정'!$B$7,IF(IF(COUNT('설정'!$C$8:$F$8)=0,AND(G135&lt;&gt;"",H135&lt;&gt;""),OR(AND('설정'!$C$8&lt;&gt;"",G135&lt;&gt;"",N(G135)&gt;='설정'!$C$8),AND('설정'!$D$8&lt;&gt;"",AND(G135&lt;&gt;"",H135&lt;&gt;""),(N(G135)+N(H135))&gt;='설정'!$D$8),AND('설정'!$E$8&lt;&gt;"",OR(AND(G135&lt;&gt;"",N(G135)&lt;='설정'!$E$8),AND(H135&lt;&gt;"",N(H135)&lt;='설정'!$E$8))),AND('설정'!$F$8&lt;&gt;"",AND(G135&lt;&gt;"",H135&lt;&gt;""),(N(G135)+N(H135))&lt;='설정'!$F$8))),'설정'!$B$8,'설정'!$B$9))))</f>
        <v/>
      </c>
      <c r="L135" s="29">
        <f>IF(OR(G135="",H135=""),"",IF(SUMPRODUCT(ISNUMBER('설정'!$C$6:$C$8)*(ABS(G135-'설정'!$C$6:$C$8)&lt;='설정'!$C$15))+SUMPRODUCT(ISNUMBER('설정'!$D$6:$D$8)*(ABS((G135+H135)-'설정'!$D$6:$D$8)&lt;='설정'!$C$15))+SUMPRODUCT(ISNUMBER('설정'!$F$6:$F$8)*(ABS((G135+H135)-'설정'!$F$6:$F$8)&lt;='설정'!$C$15))+SUMPRODUCT(ISNUMBER('설정'!$E$6:$E$8)*(ABS(G135-'설정'!$E$6:$E$8)&lt;='설정'!$C$15))+SUMPRODUCT(ISNUMBER('설정'!$E$6:$E$8)*(ABS(H135-'설정'!$E$6:$E$8)&lt;='설정'!$C$15))&gt;0,"경계",""))</f>
        <v/>
      </c>
      <c r="M135" s="7" t="n"/>
      <c r="N135" s="7" t="n"/>
      <c r="O135" s="27">
        <f>IF(M135&lt;&gt;"",M135,K135)</f>
        <v/>
      </c>
      <c r="P135" s="30">
        <f>IF(I135="","",IF(G135="","공수1 미응시",IF(H135="","공수2 미응시","")))</f>
        <v/>
      </c>
      <c r="Q135" s="10">
        <f>IF(J135="","",J135+ROW()/100000)</f>
        <v/>
      </c>
    </row>
    <row r="136">
      <c r="A136" s="5" t="n">
        <v>130</v>
      </c>
      <c r="B136" s="10">
        <f>IF('학생명단'!B136="","",'학생명단'!B136)</f>
        <v/>
      </c>
      <c r="C136" s="10">
        <f>IF('학생명단'!C136="","",'학생명단'!C136)</f>
        <v/>
      </c>
      <c r="D136" s="10">
        <f>IF('학생명단'!D136="","",'학생명단'!D136)</f>
        <v/>
      </c>
      <c r="E136" s="10">
        <f>IF('학생명단'!E136="","",'학생명단'!E136)</f>
        <v/>
      </c>
      <c r="F136" s="11">
        <f>IF('학생명단'!F136="","",'학생명단'!F136)</f>
        <v/>
      </c>
      <c r="G136" s="10">
        <f>'공수1'!Y136</f>
        <v/>
      </c>
      <c r="H136" s="10">
        <f>'공수2'!Y136</f>
        <v/>
      </c>
      <c r="I136" s="28">
        <f>IF(AND(G136="",H136=""),"",N(G136)*'설정'!$C$13+N(H136)*'설정'!$C$14)</f>
        <v/>
      </c>
      <c r="J136" s="10">
        <f>IF(I136="","",COUNTIF($I$7:$I$156,"&gt;"&amp;I136)+1)</f>
        <v/>
      </c>
      <c r="K136" s="27">
        <f>IF(I136="","",IF(IF(COUNT('설정'!$C$6:$F$6)=0,AND(G136&lt;&gt;"",H136&lt;&gt;""),OR(AND('설정'!$C$6&lt;&gt;"",G136&lt;&gt;"",N(G136)&gt;='설정'!$C$6),AND('설정'!$D$6&lt;&gt;"",AND(G136&lt;&gt;"",H136&lt;&gt;""),(N(G136)+N(H136))&gt;='설정'!$D$6),AND('설정'!$E$6&lt;&gt;"",OR(AND(G136&lt;&gt;"",N(G136)&lt;='설정'!$E$6),AND(H136&lt;&gt;"",N(H136)&lt;='설정'!$E$6))),AND('설정'!$F$6&lt;&gt;"",AND(G136&lt;&gt;"",H136&lt;&gt;""),(N(G136)+N(H136))&lt;='설정'!$F$6))),'설정'!$B$6,IF(IF(COUNT('설정'!$C$7:$F$7)=0,AND(G136&lt;&gt;"",H136&lt;&gt;""),OR(AND('설정'!$C$7&lt;&gt;"",G136&lt;&gt;"",N(G136)&gt;='설정'!$C$7),AND('설정'!$D$7&lt;&gt;"",AND(G136&lt;&gt;"",H136&lt;&gt;""),(N(G136)+N(H136))&gt;='설정'!$D$7),AND('설정'!$E$7&lt;&gt;"",OR(AND(G136&lt;&gt;"",N(G136)&lt;='설정'!$E$7),AND(H136&lt;&gt;"",N(H136)&lt;='설정'!$E$7))),AND('설정'!$F$7&lt;&gt;"",AND(G136&lt;&gt;"",H136&lt;&gt;""),(N(G136)+N(H136))&lt;='설정'!$F$7))),'설정'!$B$7,IF(IF(COUNT('설정'!$C$8:$F$8)=0,AND(G136&lt;&gt;"",H136&lt;&gt;""),OR(AND('설정'!$C$8&lt;&gt;"",G136&lt;&gt;"",N(G136)&gt;='설정'!$C$8),AND('설정'!$D$8&lt;&gt;"",AND(G136&lt;&gt;"",H136&lt;&gt;""),(N(G136)+N(H136))&gt;='설정'!$D$8),AND('설정'!$E$8&lt;&gt;"",OR(AND(G136&lt;&gt;"",N(G136)&lt;='설정'!$E$8),AND(H136&lt;&gt;"",N(H136)&lt;='설정'!$E$8))),AND('설정'!$F$8&lt;&gt;"",AND(G136&lt;&gt;"",H136&lt;&gt;""),(N(G136)+N(H136))&lt;='설정'!$F$8))),'설정'!$B$8,'설정'!$B$9))))</f>
        <v/>
      </c>
      <c r="L136" s="29">
        <f>IF(OR(G136="",H136=""),"",IF(SUMPRODUCT(ISNUMBER('설정'!$C$6:$C$8)*(ABS(G136-'설정'!$C$6:$C$8)&lt;='설정'!$C$15))+SUMPRODUCT(ISNUMBER('설정'!$D$6:$D$8)*(ABS((G136+H136)-'설정'!$D$6:$D$8)&lt;='설정'!$C$15))+SUMPRODUCT(ISNUMBER('설정'!$F$6:$F$8)*(ABS((G136+H136)-'설정'!$F$6:$F$8)&lt;='설정'!$C$15))+SUMPRODUCT(ISNUMBER('설정'!$E$6:$E$8)*(ABS(G136-'설정'!$E$6:$E$8)&lt;='설정'!$C$15))+SUMPRODUCT(ISNUMBER('설정'!$E$6:$E$8)*(ABS(H136-'설정'!$E$6:$E$8)&lt;='설정'!$C$15))&gt;0,"경계",""))</f>
        <v/>
      </c>
      <c r="M136" s="7" t="n"/>
      <c r="N136" s="7" t="n"/>
      <c r="O136" s="27">
        <f>IF(M136&lt;&gt;"",M136,K136)</f>
        <v/>
      </c>
      <c r="P136" s="30">
        <f>IF(I136="","",IF(G136="","공수1 미응시",IF(H136="","공수2 미응시","")))</f>
        <v/>
      </c>
      <c r="Q136" s="10">
        <f>IF(J136="","",J136+ROW()/100000)</f>
        <v/>
      </c>
    </row>
    <row r="137">
      <c r="A137" s="5" t="n">
        <v>131</v>
      </c>
      <c r="B137" s="10">
        <f>IF('학생명단'!B137="","",'학생명단'!B137)</f>
        <v/>
      </c>
      <c r="C137" s="10">
        <f>IF('학생명단'!C137="","",'학생명단'!C137)</f>
        <v/>
      </c>
      <c r="D137" s="10">
        <f>IF('학생명단'!D137="","",'학생명단'!D137)</f>
        <v/>
      </c>
      <c r="E137" s="10">
        <f>IF('학생명단'!E137="","",'학생명단'!E137)</f>
        <v/>
      </c>
      <c r="F137" s="11">
        <f>IF('학생명단'!F137="","",'학생명단'!F137)</f>
        <v/>
      </c>
      <c r="G137" s="10">
        <f>'공수1'!Y137</f>
        <v/>
      </c>
      <c r="H137" s="10">
        <f>'공수2'!Y137</f>
        <v/>
      </c>
      <c r="I137" s="28">
        <f>IF(AND(G137="",H137=""),"",N(G137)*'설정'!$C$13+N(H137)*'설정'!$C$14)</f>
        <v/>
      </c>
      <c r="J137" s="10">
        <f>IF(I137="","",COUNTIF($I$7:$I$156,"&gt;"&amp;I137)+1)</f>
        <v/>
      </c>
      <c r="K137" s="27">
        <f>IF(I137="","",IF(IF(COUNT('설정'!$C$6:$F$6)=0,AND(G137&lt;&gt;"",H137&lt;&gt;""),OR(AND('설정'!$C$6&lt;&gt;"",G137&lt;&gt;"",N(G137)&gt;='설정'!$C$6),AND('설정'!$D$6&lt;&gt;"",AND(G137&lt;&gt;"",H137&lt;&gt;""),(N(G137)+N(H137))&gt;='설정'!$D$6),AND('설정'!$E$6&lt;&gt;"",OR(AND(G137&lt;&gt;"",N(G137)&lt;='설정'!$E$6),AND(H137&lt;&gt;"",N(H137)&lt;='설정'!$E$6))),AND('설정'!$F$6&lt;&gt;"",AND(G137&lt;&gt;"",H137&lt;&gt;""),(N(G137)+N(H137))&lt;='설정'!$F$6))),'설정'!$B$6,IF(IF(COUNT('설정'!$C$7:$F$7)=0,AND(G137&lt;&gt;"",H137&lt;&gt;""),OR(AND('설정'!$C$7&lt;&gt;"",G137&lt;&gt;"",N(G137)&gt;='설정'!$C$7),AND('설정'!$D$7&lt;&gt;"",AND(G137&lt;&gt;"",H137&lt;&gt;""),(N(G137)+N(H137))&gt;='설정'!$D$7),AND('설정'!$E$7&lt;&gt;"",OR(AND(G137&lt;&gt;"",N(G137)&lt;='설정'!$E$7),AND(H137&lt;&gt;"",N(H137)&lt;='설정'!$E$7))),AND('설정'!$F$7&lt;&gt;"",AND(G137&lt;&gt;"",H137&lt;&gt;""),(N(G137)+N(H137))&lt;='설정'!$F$7))),'설정'!$B$7,IF(IF(COUNT('설정'!$C$8:$F$8)=0,AND(G137&lt;&gt;"",H137&lt;&gt;""),OR(AND('설정'!$C$8&lt;&gt;"",G137&lt;&gt;"",N(G137)&gt;='설정'!$C$8),AND('설정'!$D$8&lt;&gt;"",AND(G137&lt;&gt;"",H137&lt;&gt;""),(N(G137)+N(H137))&gt;='설정'!$D$8),AND('설정'!$E$8&lt;&gt;"",OR(AND(G137&lt;&gt;"",N(G137)&lt;='설정'!$E$8),AND(H137&lt;&gt;"",N(H137)&lt;='설정'!$E$8))),AND('설정'!$F$8&lt;&gt;"",AND(G137&lt;&gt;"",H137&lt;&gt;""),(N(G137)+N(H137))&lt;='설정'!$F$8))),'설정'!$B$8,'설정'!$B$9))))</f>
        <v/>
      </c>
      <c r="L137" s="29">
        <f>IF(OR(G137="",H137=""),"",IF(SUMPRODUCT(ISNUMBER('설정'!$C$6:$C$8)*(ABS(G137-'설정'!$C$6:$C$8)&lt;='설정'!$C$15))+SUMPRODUCT(ISNUMBER('설정'!$D$6:$D$8)*(ABS((G137+H137)-'설정'!$D$6:$D$8)&lt;='설정'!$C$15))+SUMPRODUCT(ISNUMBER('설정'!$F$6:$F$8)*(ABS((G137+H137)-'설정'!$F$6:$F$8)&lt;='설정'!$C$15))+SUMPRODUCT(ISNUMBER('설정'!$E$6:$E$8)*(ABS(G137-'설정'!$E$6:$E$8)&lt;='설정'!$C$15))+SUMPRODUCT(ISNUMBER('설정'!$E$6:$E$8)*(ABS(H137-'설정'!$E$6:$E$8)&lt;='설정'!$C$15))&gt;0,"경계",""))</f>
        <v/>
      </c>
      <c r="M137" s="7" t="n"/>
      <c r="N137" s="7" t="n"/>
      <c r="O137" s="27">
        <f>IF(M137&lt;&gt;"",M137,K137)</f>
        <v/>
      </c>
      <c r="P137" s="30">
        <f>IF(I137="","",IF(G137="","공수1 미응시",IF(H137="","공수2 미응시","")))</f>
        <v/>
      </c>
      <c r="Q137" s="10">
        <f>IF(J137="","",J137+ROW()/100000)</f>
        <v/>
      </c>
    </row>
    <row r="138">
      <c r="A138" s="5" t="n">
        <v>132</v>
      </c>
      <c r="B138" s="10">
        <f>IF('학생명단'!B138="","",'학생명단'!B138)</f>
        <v/>
      </c>
      <c r="C138" s="10">
        <f>IF('학생명단'!C138="","",'학생명단'!C138)</f>
        <v/>
      </c>
      <c r="D138" s="10">
        <f>IF('학생명단'!D138="","",'학생명단'!D138)</f>
        <v/>
      </c>
      <c r="E138" s="10">
        <f>IF('학생명단'!E138="","",'학생명단'!E138)</f>
        <v/>
      </c>
      <c r="F138" s="11">
        <f>IF('학생명단'!F138="","",'학생명단'!F138)</f>
        <v/>
      </c>
      <c r="G138" s="10">
        <f>'공수1'!Y138</f>
        <v/>
      </c>
      <c r="H138" s="10">
        <f>'공수2'!Y138</f>
        <v/>
      </c>
      <c r="I138" s="28">
        <f>IF(AND(G138="",H138=""),"",N(G138)*'설정'!$C$13+N(H138)*'설정'!$C$14)</f>
        <v/>
      </c>
      <c r="J138" s="10">
        <f>IF(I138="","",COUNTIF($I$7:$I$156,"&gt;"&amp;I138)+1)</f>
        <v/>
      </c>
      <c r="K138" s="27">
        <f>IF(I138="","",IF(IF(COUNT('설정'!$C$6:$F$6)=0,AND(G138&lt;&gt;"",H138&lt;&gt;""),OR(AND('설정'!$C$6&lt;&gt;"",G138&lt;&gt;"",N(G138)&gt;='설정'!$C$6),AND('설정'!$D$6&lt;&gt;"",AND(G138&lt;&gt;"",H138&lt;&gt;""),(N(G138)+N(H138))&gt;='설정'!$D$6),AND('설정'!$E$6&lt;&gt;"",OR(AND(G138&lt;&gt;"",N(G138)&lt;='설정'!$E$6),AND(H138&lt;&gt;"",N(H138)&lt;='설정'!$E$6))),AND('설정'!$F$6&lt;&gt;"",AND(G138&lt;&gt;"",H138&lt;&gt;""),(N(G138)+N(H138))&lt;='설정'!$F$6))),'설정'!$B$6,IF(IF(COUNT('설정'!$C$7:$F$7)=0,AND(G138&lt;&gt;"",H138&lt;&gt;""),OR(AND('설정'!$C$7&lt;&gt;"",G138&lt;&gt;"",N(G138)&gt;='설정'!$C$7),AND('설정'!$D$7&lt;&gt;"",AND(G138&lt;&gt;"",H138&lt;&gt;""),(N(G138)+N(H138))&gt;='설정'!$D$7),AND('설정'!$E$7&lt;&gt;"",OR(AND(G138&lt;&gt;"",N(G138)&lt;='설정'!$E$7),AND(H138&lt;&gt;"",N(H138)&lt;='설정'!$E$7))),AND('설정'!$F$7&lt;&gt;"",AND(G138&lt;&gt;"",H138&lt;&gt;""),(N(G138)+N(H138))&lt;='설정'!$F$7))),'설정'!$B$7,IF(IF(COUNT('설정'!$C$8:$F$8)=0,AND(G138&lt;&gt;"",H138&lt;&gt;""),OR(AND('설정'!$C$8&lt;&gt;"",G138&lt;&gt;"",N(G138)&gt;='설정'!$C$8),AND('설정'!$D$8&lt;&gt;"",AND(G138&lt;&gt;"",H138&lt;&gt;""),(N(G138)+N(H138))&gt;='설정'!$D$8),AND('설정'!$E$8&lt;&gt;"",OR(AND(G138&lt;&gt;"",N(G138)&lt;='설정'!$E$8),AND(H138&lt;&gt;"",N(H138)&lt;='설정'!$E$8))),AND('설정'!$F$8&lt;&gt;"",AND(G138&lt;&gt;"",H138&lt;&gt;""),(N(G138)+N(H138))&lt;='설정'!$F$8))),'설정'!$B$8,'설정'!$B$9))))</f>
        <v/>
      </c>
      <c r="L138" s="29">
        <f>IF(OR(G138="",H138=""),"",IF(SUMPRODUCT(ISNUMBER('설정'!$C$6:$C$8)*(ABS(G138-'설정'!$C$6:$C$8)&lt;='설정'!$C$15))+SUMPRODUCT(ISNUMBER('설정'!$D$6:$D$8)*(ABS((G138+H138)-'설정'!$D$6:$D$8)&lt;='설정'!$C$15))+SUMPRODUCT(ISNUMBER('설정'!$F$6:$F$8)*(ABS((G138+H138)-'설정'!$F$6:$F$8)&lt;='설정'!$C$15))+SUMPRODUCT(ISNUMBER('설정'!$E$6:$E$8)*(ABS(G138-'설정'!$E$6:$E$8)&lt;='설정'!$C$15))+SUMPRODUCT(ISNUMBER('설정'!$E$6:$E$8)*(ABS(H138-'설정'!$E$6:$E$8)&lt;='설정'!$C$15))&gt;0,"경계",""))</f>
        <v/>
      </c>
      <c r="M138" s="7" t="n"/>
      <c r="N138" s="7" t="n"/>
      <c r="O138" s="27">
        <f>IF(M138&lt;&gt;"",M138,K138)</f>
        <v/>
      </c>
      <c r="P138" s="30">
        <f>IF(I138="","",IF(G138="","공수1 미응시",IF(H138="","공수2 미응시","")))</f>
        <v/>
      </c>
      <c r="Q138" s="10">
        <f>IF(J138="","",J138+ROW()/100000)</f>
        <v/>
      </c>
    </row>
    <row r="139">
      <c r="A139" s="5" t="n">
        <v>133</v>
      </c>
      <c r="B139" s="10">
        <f>IF('학생명단'!B139="","",'학생명단'!B139)</f>
        <v/>
      </c>
      <c r="C139" s="10">
        <f>IF('학생명단'!C139="","",'학생명단'!C139)</f>
        <v/>
      </c>
      <c r="D139" s="10">
        <f>IF('학생명단'!D139="","",'학생명단'!D139)</f>
        <v/>
      </c>
      <c r="E139" s="10">
        <f>IF('학생명단'!E139="","",'학생명단'!E139)</f>
        <v/>
      </c>
      <c r="F139" s="11">
        <f>IF('학생명단'!F139="","",'학생명단'!F139)</f>
        <v/>
      </c>
      <c r="G139" s="10">
        <f>'공수1'!Y139</f>
        <v/>
      </c>
      <c r="H139" s="10">
        <f>'공수2'!Y139</f>
        <v/>
      </c>
      <c r="I139" s="28">
        <f>IF(AND(G139="",H139=""),"",N(G139)*'설정'!$C$13+N(H139)*'설정'!$C$14)</f>
        <v/>
      </c>
      <c r="J139" s="10">
        <f>IF(I139="","",COUNTIF($I$7:$I$156,"&gt;"&amp;I139)+1)</f>
        <v/>
      </c>
      <c r="K139" s="27">
        <f>IF(I139="","",IF(IF(COUNT('설정'!$C$6:$F$6)=0,AND(G139&lt;&gt;"",H139&lt;&gt;""),OR(AND('설정'!$C$6&lt;&gt;"",G139&lt;&gt;"",N(G139)&gt;='설정'!$C$6),AND('설정'!$D$6&lt;&gt;"",AND(G139&lt;&gt;"",H139&lt;&gt;""),(N(G139)+N(H139))&gt;='설정'!$D$6),AND('설정'!$E$6&lt;&gt;"",OR(AND(G139&lt;&gt;"",N(G139)&lt;='설정'!$E$6),AND(H139&lt;&gt;"",N(H139)&lt;='설정'!$E$6))),AND('설정'!$F$6&lt;&gt;"",AND(G139&lt;&gt;"",H139&lt;&gt;""),(N(G139)+N(H139))&lt;='설정'!$F$6))),'설정'!$B$6,IF(IF(COUNT('설정'!$C$7:$F$7)=0,AND(G139&lt;&gt;"",H139&lt;&gt;""),OR(AND('설정'!$C$7&lt;&gt;"",G139&lt;&gt;"",N(G139)&gt;='설정'!$C$7),AND('설정'!$D$7&lt;&gt;"",AND(G139&lt;&gt;"",H139&lt;&gt;""),(N(G139)+N(H139))&gt;='설정'!$D$7),AND('설정'!$E$7&lt;&gt;"",OR(AND(G139&lt;&gt;"",N(G139)&lt;='설정'!$E$7),AND(H139&lt;&gt;"",N(H139)&lt;='설정'!$E$7))),AND('설정'!$F$7&lt;&gt;"",AND(G139&lt;&gt;"",H139&lt;&gt;""),(N(G139)+N(H139))&lt;='설정'!$F$7))),'설정'!$B$7,IF(IF(COUNT('설정'!$C$8:$F$8)=0,AND(G139&lt;&gt;"",H139&lt;&gt;""),OR(AND('설정'!$C$8&lt;&gt;"",G139&lt;&gt;"",N(G139)&gt;='설정'!$C$8),AND('설정'!$D$8&lt;&gt;"",AND(G139&lt;&gt;"",H139&lt;&gt;""),(N(G139)+N(H139))&gt;='설정'!$D$8),AND('설정'!$E$8&lt;&gt;"",OR(AND(G139&lt;&gt;"",N(G139)&lt;='설정'!$E$8),AND(H139&lt;&gt;"",N(H139)&lt;='설정'!$E$8))),AND('설정'!$F$8&lt;&gt;"",AND(G139&lt;&gt;"",H139&lt;&gt;""),(N(G139)+N(H139))&lt;='설정'!$F$8))),'설정'!$B$8,'설정'!$B$9))))</f>
        <v/>
      </c>
      <c r="L139" s="29">
        <f>IF(OR(G139="",H139=""),"",IF(SUMPRODUCT(ISNUMBER('설정'!$C$6:$C$8)*(ABS(G139-'설정'!$C$6:$C$8)&lt;='설정'!$C$15))+SUMPRODUCT(ISNUMBER('설정'!$D$6:$D$8)*(ABS((G139+H139)-'설정'!$D$6:$D$8)&lt;='설정'!$C$15))+SUMPRODUCT(ISNUMBER('설정'!$F$6:$F$8)*(ABS((G139+H139)-'설정'!$F$6:$F$8)&lt;='설정'!$C$15))+SUMPRODUCT(ISNUMBER('설정'!$E$6:$E$8)*(ABS(G139-'설정'!$E$6:$E$8)&lt;='설정'!$C$15))+SUMPRODUCT(ISNUMBER('설정'!$E$6:$E$8)*(ABS(H139-'설정'!$E$6:$E$8)&lt;='설정'!$C$15))&gt;0,"경계",""))</f>
        <v/>
      </c>
      <c r="M139" s="7" t="n"/>
      <c r="N139" s="7" t="n"/>
      <c r="O139" s="27">
        <f>IF(M139&lt;&gt;"",M139,K139)</f>
        <v/>
      </c>
      <c r="P139" s="30">
        <f>IF(I139="","",IF(G139="","공수1 미응시",IF(H139="","공수2 미응시","")))</f>
        <v/>
      </c>
      <c r="Q139" s="10">
        <f>IF(J139="","",J139+ROW()/100000)</f>
        <v/>
      </c>
    </row>
    <row r="140">
      <c r="A140" s="5" t="n">
        <v>134</v>
      </c>
      <c r="B140" s="10">
        <f>IF('학생명단'!B140="","",'학생명단'!B140)</f>
        <v/>
      </c>
      <c r="C140" s="10">
        <f>IF('학생명단'!C140="","",'학생명단'!C140)</f>
        <v/>
      </c>
      <c r="D140" s="10">
        <f>IF('학생명단'!D140="","",'학생명단'!D140)</f>
        <v/>
      </c>
      <c r="E140" s="10">
        <f>IF('학생명단'!E140="","",'학생명단'!E140)</f>
        <v/>
      </c>
      <c r="F140" s="11">
        <f>IF('학생명단'!F140="","",'학생명단'!F140)</f>
        <v/>
      </c>
      <c r="G140" s="10">
        <f>'공수1'!Y140</f>
        <v/>
      </c>
      <c r="H140" s="10">
        <f>'공수2'!Y140</f>
        <v/>
      </c>
      <c r="I140" s="28">
        <f>IF(AND(G140="",H140=""),"",N(G140)*'설정'!$C$13+N(H140)*'설정'!$C$14)</f>
        <v/>
      </c>
      <c r="J140" s="10">
        <f>IF(I140="","",COUNTIF($I$7:$I$156,"&gt;"&amp;I140)+1)</f>
        <v/>
      </c>
      <c r="K140" s="27">
        <f>IF(I140="","",IF(IF(COUNT('설정'!$C$6:$F$6)=0,AND(G140&lt;&gt;"",H140&lt;&gt;""),OR(AND('설정'!$C$6&lt;&gt;"",G140&lt;&gt;"",N(G140)&gt;='설정'!$C$6),AND('설정'!$D$6&lt;&gt;"",AND(G140&lt;&gt;"",H140&lt;&gt;""),(N(G140)+N(H140))&gt;='설정'!$D$6),AND('설정'!$E$6&lt;&gt;"",OR(AND(G140&lt;&gt;"",N(G140)&lt;='설정'!$E$6),AND(H140&lt;&gt;"",N(H140)&lt;='설정'!$E$6))),AND('설정'!$F$6&lt;&gt;"",AND(G140&lt;&gt;"",H140&lt;&gt;""),(N(G140)+N(H140))&lt;='설정'!$F$6))),'설정'!$B$6,IF(IF(COUNT('설정'!$C$7:$F$7)=0,AND(G140&lt;&gt;"",H140&lt;&gt;""),OR(AND('설정'!$C$7&lt;&gt;"",G140&lt;&gt;"",N(G140)&gt;='설정'!$C$7),AND('설정'!$D$7&lt;&gt;"",AND(G140&lt;&gt;"",H140&lt;&gt;""),(N(G140)+N(H140))&gt;='설정'!$D$7),AND('설정'!$E$7&lt;&gt;"",OR(AND(G140&lt;&gt;"",N(G140)&lt;='설정'!$E$7),AND(H140&lt;&gt;"",N(H140)&lt;='설정'!$E$7))),AND('설정'!$F$7&lt;&gt;"",AND(G140&lt;&gt;"",H140&lt;&gt;""),(N(G140)+N(H140))&lt;='설정'!$F$7))),'설정'!$B$7,IF(IF(COUNT('설정'!$C$8:$F$8)=0,AND(G140&lt;&gt;"",H140&lt;&gt;""),OR(AND('설정'!$C$8&lt;&gt;"",G140&lt;&gt;"",N(G140)&gt;='설정'!$C$8),AND('설정'!$D$8&lt;&gt;"",AND(G140&lt;&gt;"",H140&lt;&gt;""),(N(G140)+N(H140))&gt;='설정'!$D$8),AND('설정'!$E$8&lt;&gt;"",OR(AND(G140&lt;&gt;"",N(G140)&lt;='설정'!$E$8),AND(H140&lt;&gt;"",N(H140)&lt;='설정'!$E$8))),AND('설정'!$F$8&lt;&gt;"",AND(G140&lt;&gt;"",H140&lt;&gt;""),(N(G140)+N(H140))&lt;='설정'!$F$8))),'설정'!$B$8,'설정'!$B$9))))</f>
        <v/>
      </c>
      <c r="L140" s="29">
        <f>IF(OR(G140="",H140=""),"",IF(SUMPRODUCT(ISNUMBER('설정'!$C$6:$C$8)*(ABS(G140-'설정'!$C$6:$C$8)&lt;='설정'!$C$15))+SUMPRODUCT(ISNUMBER('설정'!$D$6:$D$8)*(ABS((G140+H140)-'설정'!$D$6:$D$8)&lt;='설정'!$C$15))+SUMPRODUCT(ISNUMBER('설정'!$F$6:$F$8)*(ABS((G140+H140)-'설정'!$F$6:$F$8)&lt;='설정'!$C$15))+SUMPRODUCT(ISNUMBER('설정'!$E$6:$E$8)*(ABS(G140-'설정'!$E$6:$E$8)&lt;='설정'!$C$15))+SUMPRODUCT(ISNUMBER('설정'!$E$6:$E$8)*(ABS(H140-'설정'!$E$6:$E$8)&lt;='설정'!$C$15))&gt;0,"경계",""))</f>
        <v/>
      </c>
      <c r="M140" s="7" t="n"/>
      <c r="N140" s="7" t="n"/>
      <c r="O140" s="27">
        <f>IF(M140&lt;&gt;"",M140,K140)</f>
        <v/>
      </c>
      <c r="P140" s="30">
        <f>IF(I140="","",IF(G140="","공수1 미응시",IF(H140="","공수2 미응시","")))</f>
        <v/>
      </c>
      <c r="Q140" s="10">
        <f>IF(J140="","",J140+ROW()/100000)</f>
        <v/>
      </c>
    </row>
    <row r="141">
      <c r="A141" s="5" t="n">
        <v>135</v>
      </c>
      <c r="B141" s="10">
        <f>IF('학생명단'!B141="","",'학생명단'!B141)</f>
        <v/>
      </c>
      <c r="C141" s="10">
        <f>IF('학생명단'!C141="","",'학생명단'!C141)</f>
        <v/>
      </c>
      <c r="D141" s="10">
        <f>IF('학생명단'!D141="","",'학생명단'!D141)</f>
        <v/>
      </c>
      <c r="E141" s="10">
        <f>IF('학생명단'!E141="","",'학생명단'!E141)</f>
        <v/>
      </c>
      <c r="F141" s="11">
        <f>IF('학생명단'!F141="","",'학생명단'!F141)</f>
        <v/>
      </c>
      <c r="G141" s="10">
        <f>'공수1'!Y141</f>
        <v/>
      </c>
      <c r="H141" s="10">
        <f>'공수2'!Y141</f>
        <v/>
      </c>
      <c r="I141" s="28">
        <f>IF(AND(G141="",H141=""),"",N(G141)*'설정'!$C$13+N(H141)*'설정'!$C$14)</f>
        <v/>
      </c>
      <c r="J141" s="10">
        <f>IF(I141="","",COUNTIF($I$7:$I$156,"&gt;"&amp;I141)+1)</f>
        <v/>
      </c>
      <c r="K141" s="27">
        <f>IF(I141="","",IF(IF(COUNT('설정'!$C$6:$F$6)=0,AND(G141&lt;&gt;"",H141&lt;&gt;""),OR(AND('설정'!$C$6&lt;&gt;"",G141&lt;&gt;"",N(G141)&gt;='설정'!$C$6),AND('설정'!$D$6&lt;&gt;"",AND(G141&lt;&gt;"",H141&lt;&gt;""),(N(G141)+N(H141))&gt;='설정'!$D$6),AND('설정'!$E$6&lt;&gt;"",OR(AND(G141&lt;&gt;"",N(G141)&lt;='설정'!$E$6),AND(H141&lt;&gt;"",N(H141)&lt;='설정'!$E$6))),AND('설정'!$F$6&lt;&gt;"",AND(G141&lt;&gt;"",H141&lt;&gt;""),(N(G141)+N(H141))&lt;='설정'!$F$6))),'설정'!$B$6,IF(IF(COUNT('설정'!$C$7:$F$7)=0,AND(G141&lt;&gt;"",H141&lt;&gt;""),OR(AND('설정'!$C$7&lt;&gt;"",G141&lt;&gt;"",N(G141)&gt;='설정'!$C$7),AND('설정'!$D$7&lt;&gt;"",AND(G141&lt;&gt;"",H141&lt;&gt;""),(N(G141)+N(H141))&gt;='설정'!$D$7),AND('설정'!$E$7&lt;&gt;"",OR(AND(G141&lt;&gt;"",N(G141)&lt;='설정'!$E$7),AND(H141&lt;&gt;"",N(H141)&lt;='설정'!$E$7))),AND('설정'!$F$7&lt;&gt;"",AND(G141&lt;&gt;"",H141&lt;&gt;""),(N(G141)+N(H141))&lt;='설정'!$F$7))),'설정'!$B$7,IF(IF(COUNT('설정'!$C$8:$F$8)=0,AND(G141&lt;&gt;"",H141&lt;&gt;""),OR(AND('설정'!$C$8&lt;&gt;"",G141&lt;&gt;"",N(G141)&gt;='설정'!$C$8),AND('설정'!$D$8&lt;&gt;"",AND(G141&lt;&gt;"",H141&lt;&gt;""),(N(G141)+N(H141))&gt;='설정'!$D$8),AND('설정'!$E$8&lt;&gt;"",OR(AND(G141&lt;&gt;"",N(G141)&lt;='설정'!$E$8),AND(H141&lt;&gt;"",N(H141)&lt;='설정'!$E$8))),AND('설정'!$F$8&lt;&gt;"",AND(G141&lt;&gt;"",H141&lt;&gt;""),(N(G141)+N(H141))&lt;='설정'!$F$8))),'설정'!$B$8,'설정'!$B$9))))</f>
        <v/>
      </c>
      <c r="L141" s="29">
        <f>IF(OR(G141="",H141=""),"",IF(SUMPRODUCT(ISNUMBER('설정'!$C$6:$C$8)*(ABS(G141-'설정'!$C$6:$C$8)&lt;='설정'!$C$15))+SUMPRODUCT(ISNUMBER('설정'!$D$6:$D$8)*(ABS((G141+H141)-'설정'!$D$6:$D$8)&lt;='설정'!$C$15))+SUMPRODUCT(ISNUMBER('설정'!$F$6:$F$8)*(ABS((G141+H141)-'설정'!$F$6:$F$8)&lt;='설정'!$C$15))+SUMPRODUCT(ISNUMBER('설정'!$E$6:$E$8)*(ABS(G141-'설정'!$E$6:$E$8)&lt;='설정'!$C$15))+SUMPRODUCT(ISNUMBER('설정'!$E$6:$E$8)*(ABS(H141-'설정'!$E$6:$E$8)&lt;='설정'!$C$15))&gt;0,"경계",""))</f>
        <v/>
      </c>
      <c r="M141" s="7" t="n"/>
      <c r="N141" s="7" t="n"/>
      <c r="O141" s="27">
        <f>IF(M141&lt;&gt;"",M141,K141)</f>
        <v/>
      </c>
      <c r="P141" s="30">
        <f>IF(I141="","",IF(G141="","공수1 미응시",IF(H141="","공수2 미응시","")))</f>
        <v/>
      </c>
      <c r="Q141" s="10">
        <f>IF(J141="","",J141+ROW()/100000)</f>
        <v/>
      </c>
    </row>
    <row r="142">
      <c r="A142" s="5" t="n">
        <v>136</v>
      </c>
      <c r="B142" s="10">
        <f>IF('학생명단'!B142="","",'학생명단'!B142)</f>
        <v/>
      </c>
      <c r="C142" s="10">
        <f>IF('학생명단'!C142="","",'학생명단'!C142)</f>
        <v/>
      </c>
      <c r="D142" s="10">
        <f>IF('학생명단'!D142="","",'학생명단'!D142)</f>
        <v/>
      </c>
      <c r="E142" s="10">
        <f>IF('학생명단'!E142="","",'학생명단'!E142)</f>
        <v/>
      </c>
      <c r="F142" s="11">
        <f>IF('학생명단'!F142="","",'학생명단'!F142)</f>
        <v/>
      </c>
      <c r="G142" s="10">
        <f>'공수1'!Y142</f>
        <v/>
      </c>
      <c r="H142" s="10">
        <f>'공수2'!Y142</f>
        <v/>
      </c>
      <c r="I142" s="28">
        <f>IF(AND(G142="",H142=""),"",N(G142)*'설정'!$C$13+N(H142)*'설정'!$C$14)</f>
        <v/>
      </c>
      <c r="J142" s="10">
        <f>IF(I142="","",COUNTIF($I$7:$I$156,"&gt;"&amp;I142)+1)</f>
        <v/>
      </c>
      <c r="K142" s="27">
        <f>IF(I142="","",IF(IF(COUNT('설정'!$C$6:$F$6)=0,AND(G142&lt;&gt;"",H142&lt;&gt;""),OR(AND('설정'!$C$6&lt;&gt;"",G142&lt;&gt;"",N(G142)&gt;='설정'!$C$6),AND('설정'!$D$6&lt;&gt;"",AND(G142&lt;&gt;"",H142&lt;&gt;""),(N(G142)+N(H142))&gt;='설정'!$D$6),AND('설정'!$E$6&lt;&gt;"",OR(AND(G142&lt;&gt;"",N(G142)&lt;='설정'!$E$6),AND(H142&lt;&gt;"",N(H142)&lt;='설정'!$E$6))),AND('설정'!$F$6&lt;&gt;"",AND(G142&lt;&gt;"",H142&lt;&gt;""),(N(G142)+N(H142))&lt;='설정'!$F$6))),'설정'!$B$6,IF(IF(COUNT('설정'!$C$7:$F$7)=0,AND(G142&lt;&gt;"",H142&lt;&gt;""),OR(AND('설정'!$C$7&lt;&gt;"",G142&lt;&gt;"",N(G142)&gt;='설정'!$C$7),AND('설정'!$D$7&lt;&gt;"",AND(G142&lt;&gt;"",H142&lt;&gt;""),(N(G142)+N(H142))&gt;='설정'!$D$7),AND('설정'!$E$7&lt;&gt;"",OR(AND(G142&lt;&gt;"",N(G142)&lt;='설정'!$E$7),AND(H142&lt;&gt;"",N(H142)&lt;='설정'!$E$7))),AND('설정'!$F$7&lt;&gt;"",AND(G142&lt;&gt;"",H142&lt;&gt;""),(N(G142)+N(H142))&lt;='설정'!$F$7))),'설정'!$B$7,IF(IF(COUNT('설정'!$C$8:$F$8)=0,AND(G142&lt;&gt;"",H142&lt;&gt;""),OR(AND('설정'!$C$8&lt;&gt;"",G142&lt;&gt;"",N(G142)&gt;='설정'!$C$8),AND('설정'!$D$8&lt;&gt;"",AND(G142&lt;&gt;"",H142&lt;&gt;""),(N(G142)+N(H142))&gt;='설정'!$D$8),AND('설정'!$E$8&lt;&gt;"",OR(AND(G142&lt;&gt;"",N(G142)&lt;='설정'!$E$8),AND(H142&lt;&gt;"",N(H142)&lt;='설정'!$E$8))),AND('설정'!$F$8&lt;&gt;"",AND(G142&lt;&gt;"",H142&lt;&gt;""),(N(G142)+N(H142))&lt;='설정'!$F$8))),'설정'!$B$8,'설정'!$B$9))))</f>
        <v/>
      </c>
      <c r="L142" s="29">
        <f>IF(OR(G142="",H142=""),"",IF(SUMPRODUCT(ISNUMBER('설정'!$C$6:$C$8)*(ABS(G142-'설정'!$C$6:$C$8)&lt;='설정'!$C$15))+SUMPRODUCT(ISNUMBER('설정'!$D$6:$D$8)*(ABS((G142+H142)-'설정'!$D$6:$D$8)&lt;='설정'!$C$15))+SUMPRODUCT(ISNUMBER('설정'!$F$6:$F$8)*(ABS((G142+H142)-'설정'!$F$6:$F$8)&lt;='설정'!$C$15))+SUMPRODUCT(ISNUMBER('설정'!$E$6:$E$8)*(ABS(G142-'설정'!$E$6:$E$8)&lt;='설정'!$C$15))+SUMPRODUCT(ISNUMBER('설정'!$E$6:$E$8)*(ABS(H142-'설정'!$E$6:$E$8)&lt;='설정'!$C$15))&gt;0,"경계",""))</f>
        <v/>
      </c>
      <c r="M142" s="7" t="n"/>
      <c r="N142" s="7" t="n"/>
      <c r="O142" s="27">
        <f>IF(M142&lt;&gt;"",M142,K142)</f>
        <v/>
      </c>
      <c r="P142" s="30">
        <f>IF(I142="","",IF(G142="","공수1 미응시",IF(H142="","공수2 미응시","")))</f>
        <v/>
      </c>
      <c r="Q142" s="10">
        <f>IF(J142="","",J142+ROW()/100000)</f>
        <v/>
      </c>
    </row>
    <row r="143">
      <c r="A143" s="5" t="n">
        <v>137</v>
      </c>
      <c r="B143" s="10">
        <f>IF('학생명단'!B143="","",'학생명단'!B143)</f>
        <v/>
      </c>
      <c r="C143" s="10">
        <f>IF('학생명단'!C143="","",'학생명단'!C143)</f>
        <v/>
      </c>
      <c r="D143" s="10">
        <f>IF('학생명단'!D143="","",'학생명단'!D143)</f>
        <v/>
      </c>
      <c r="E143" s="10">
        <f>IF('학생명단'!E143="","",'학생명단'!E143)</f>
        <v/>
      </c>
      <c r="F143" s="11">
        <f>IF('학생명단'!F143="","",'학생명단'!F143)</f>
        <v/>
      </c>
      <c r="G143" s="10">
        <f>'공수1'!Y143</f>
        <v/>
      </c>
      <c r="H143" s="10">
        <f>'공수2'!Y143</f>
        <v/>
      </c>
      <c r="I143" s="28">
        <f>IF(AND(G143="",H143=""),"",N(G143)*'설정'!$C$13+N(H143)*'설정'!$C$14)</f>
        <v/>
      </c>
      <c r="J143" s="10">
        <f>IF(I143="","",COUNTIF($I$7:$I$156,"&gt;"&amp;I143)+1)</f>
        <v/>
      </c>
      <c r="K143" s="27">
        <f>IF(I143="","",IF(IF(COUNT('설정'!$C$6:$F$6)=0,AND(G143&lt;&gt;"",H143&lt;&gt;""),OR(AND('설정'!$C$6&lt;&gt;"",G143&lt;&gt;"",N(G143)&gt;='설정'!$C$6),AND('설정'!$D$6&lt;&gt;"",AND(G143&lt;&gt;"",H143&lt;&gt;""),(N(G143)+N(H143))&gt;='설정'!$D$6),AND('설정'!$E$6&lt;&gt;"",OR(AND(G143&lt;&gt;"",N(G143)&lt;='설정'!$E$6),AND(H143&lt;&gt;"",N(H143)&lt;='설정'!$E$6))),AND('설정'!$F$6&lt;&gt;"",AND(G143&lt;&gt;"",H143&lt;&gt;""),(N(G143)+N(H143))&lt;='설정'!$F$6))),'설정'!$B$6,IF(IF(COUNT('설정'!$C$7:$F$7)=0,AND(G143&lt;&gt;"",H143&lt;&gt;""),OR(AND('설정'!$C$7&lt;&gt;"",G143&lt;&gt;"",N(G143)&gt;='설정'!$C$7),AND('설정'!$D$7&lt;&gt;"",AND(G143&lt;&gt;"",H143&lt;&gt;""),(N(G143)+N(H143))&gt;='설정'!$D$7),AND('설정'!$E$7&lt;&gt;"",OR(AND(G143&lt;&gt;"",N(G143)&lt;='설정'!$E$7),AND(H143&lt;&gt;"",N(H143)&lt;='설정'!$E$7))),AND('설정'!$F$7&lt;&gt;"",AND(G143&lt;&gt;"",H143&lt;&gt;""),(N(G143)+N(H143))&lt;='설정'!$F$7))),'설정'!$B$7,IF(IF(COUNT('설정'!$C$8:$F$8)=0,AND(G143&lt;&gt;"",H143&lt;&gt;""),OR(AND('설정'!$C$8&lt;&gt;"",G143&lt;&gt;"",N(G143)&gt;='설정'!$C$8),AND('설정'!$D$8&lt;&gt;"",AND(G143&lt;&gt;"",H143&lt;&gt;""),(N(G143)+N(H143))&gt;='설정'!$D$8),AND('설정'!$E$8&lt;&gt;"",OR(AND(G143&lt;&gt;"",N(G143)&lt;='설정'!$E$8),AND(H143&lt;&gt;"",N(H143)&lt;='설정'!$E$8))),AND('설정'!$F$8&lt;&gt;"",AND(G143&lt;&gt;"",H143&lt;&gt;""),(N(G143)+N(H143))&lt;='설정'!$F$8))),'설정'!$B$8,'설정'!$B$9))))</f>
        <v/>
      </c>
      <c r="L143" s="29">
        <f>IF(OR(G143="",H143=""),"",IF(SUMPRODUCT(ISNUMBER('설정'!$C$6:$C$8)*(ABS(G143-'설정'!$C$6:$C$8)&lt;='설정'!$C$15))+SUMPRODUCT(ISNUMBER('설정'!$D$6:$D$8)*(ABS((G143+H143)-'설정'!$D$6:$D$8)&lt;='설정'!$C$15))+SUMPRODUCT(ISNUMBER('설정'!$F$6:$F$8)*(ABS((G143+H143)-'설정'!$F$6:$F$8)&lt;='설정'!$C$15))+SUMPRODUCT(ISNUMBER('설정'!$E$6:$E$8)*(ABS(G143-'설정'!$E$6:$E$8)&lt;='설정'!$C$15))+SUMPRODUCT(ISNUMBER('설정'!$E$6:$E$8)*(ABS(H143-'설정'!$E$6:$E$8)&lt;='설정'!$C$15))&gt;0,"경계",""))</f>
        <v/>
      </c>
      <c r="M143" s="7" t="n"/>
      <c r="N143" s="7" t="n"/>
      <c r="O143" s="27">
        <f>IF(M143&lt;&gt;"",M143,K143)</f>
        <v/>
      </c>
      <c r="P143" s="30">
        <f>IF(I143="","",IF(G143="","공수1 미응시",IF(H143="","공수2 미응시","")))</f>
        <v/>
      </c>
      <c r="Q143" s="10">
        <f>IF(J143="","",J143+ROW()/100000)</f>
        <v/>
      </c>
    </row>
    <row r="144">
      <c r="A144" s="5" t="n">
        <v>138</v>
      </c>
      <c r="B144" s="10">
        <f>IF('학생명단'!B144="","",'학생명단'!B144)</f>
        <v/>
      </c>
      <c r="C144" s="10">
        <f>IF('학생명단'!C144="","",'학생명단'!C144)</f>
        <v/>
      </c>
      <c r="D144" s="10">
        <f>IF('학생명단'!D144="","",'학생명단'!D144)</f>
        <v/>
      </c>
      <c r="E144" s="10">
        <f>IF('학생명단'!E144="","",'학생명단'!E144)</f>
        <v/>
      </c>
      <c r="F144" s="11">
        <f>IF('학생명단'!F144="","",'학생명단'!F144)</f>
        <v/>
      </c>
      <c r="G144" s="10">
        <f>'공수1'!Y144</f>
        <v/>
      </c>
      <c r="H144" s="10">
        <f>'공수2'!Y144</f>
        <v/>
      </c>
      <c r="I144" s="28">
        <f>IF(AND(G144="",H144=""),"",N(G144)*'설정'!$C$13+N(H144)*'설정'!$C$14)</f>
        <v/>
      </c>
      <c r="J144" s="10">
        <f>IF(I144="","",COUNTIF($I$7:$I$156,"&gt;"&amp;I144)+1)</f>
        <v/>
      </c>
      <c r="K144" s="27">
        <f>IF(I144="","",IF(IF(COUNT('설정'!$C$6:$F$6)=0,AND(G144&lt;&gt;"",H144&lt;&gt;""),OR(AND('설정'!$C$6&lt;&gt;"",G144&lt;&gt;"",N(G144)&gt;='설정'!$C$6),AND('설정'!$D$6&lt;&gt;"",AND(G144&lt;&gt;"",H144&lt;&gt;""),(N(G144)+N(H144))&gt;='설정'!$D$6),AND('설정'!$E$6&lt;&gt;"",OR(AND(G144&lt;&gt;"",N(G144)&lt;='설정'!$E$6),AND(H144&lt;&gt;"",N(H144)&lt;='설정'!$E$6))),AND('설정'!$F$6&lt;&gt;"",AND(G144&lt;&gt;"",H144&lt;&gt;""),(N(G144)+N(H144))&lt;='설정'!$F$6))),'설정'!$B$6,IF(IF(COUNT('설정'!$C$7:$F$7)=0,AND(G144&lt;&gt;"",H144&lt;&gt;""),OR(AND('설정'!$C$7&lt;&gt;"",G144&lt;&gt;"",N(G144)&gt;='설정'!$C$7),AND('설정'!$D$7&lt;&gt;"",AND(G144&lt;&gt;"",H144&lt;&gt;""),(N(G144)+N(H144))&gt;='설정'!$D$7),AND('설정'!$E$7&lt;&gt;"",OR(AND(G144&lt;&gt;"",N(G144)&lt;='설정'!$E$7),AND(H144&lt;&gt;"",N(H144)&lt;='설정'!$E$7))),AND('설정'!$F$7&lt;&gt;"",AND(G144&lt;&gt;"",H144&lt;&gt;""),(N(G144)+N(H144))&lt;='설정'!$F$7))),'설정'!$B$7,IF(IF(COUNT('설정'!$C$8:$F$8)=0,AND(G144&lt;&gt;"",H144&lt;&gt;""),OR(AND('설정'!$C$8&lt;&gt;"",G144&lt;&gt;"",N(G144)&gt;='설정'!$C$8),AND('설정'!$D$8&lt;&gt;"",AND(G144&lt;&gt;"",H144&lt;&gt;""),(N(G144)+N(H144))&gt;='설정'!$D$8),AND('설정'!$E$8&lt;&gt;"",OR(AND(G144&lt;&gt;"",N(G144)&lt;='설정'!$E$8),AND(H144&lt;&gt;"",N(H144)&lt;='설정'!$E$8))),AND('설정'!$F$8&lt;&gt;"",AND(G144&lt;&gt;"",H144&lt;&gt;""),(N(G144)+N(H144))&lt;='설정'!$F$8))),'설정'!$B$8,'설정'!$B$9))))</f>
        <v/>
      </c>
      <c r="L144" s="29">
        <f>IF(OR(G144="",H144=""),"",IF(SUMPRODUCT(ISNUMBER('설정'!$C$6:$C$8)*(ABS(G144-'설정'!$C$6:$C$8)&lt;='설정'!$C$15))+SUMPRODUCT(ISNUMBER('설정'!$D$6:$D$8)*(ABS((G144+H144)-'설정'!$D$6:$D$8)&lt;='설정'!$C$15))+SUMPRODUCT(ISNUMBER('설정'!$F$6:$F$8)*(ABS((G144+H144)-'설정'!$F$6:$F$8)&lt;='설정'!$C$15))+SUMPRODUCT(ISNUMBER('설정'!$E$6:$E$8)*(ABS(G144-'설정'!$E$6:$E$8)&lt;='설정'!$C$15))+SUMPRODUCT(ISNUMBER('설정'!$E$6:$E$8)*(ABS(H144-'설정'!$E$6:$E$8)&lt;='설정'!$C$15))&gt;0,"경계",""))</f>
        <v/>
      </c>
      <c r="M144" s="7" t="n"/>
      <c r="N144" s="7" t="n"/>
      <c r="O144" s="27">
        <f>IF(M144&lt;&gt;"",M144,K144)</f>
        <v/>
      </c>
      <c r="P144" s="30">
        <f>IF(I144="","",IF(G144="","공수1 미응시",IF(H144="","공수2 미응시","")))</f>
        <v/>
      </c>
      <c r="Q144" s="10">
        <f>IF(J144="","",J144+ROW()/100000)</f>
        <v/>
      </c>
    </row>
    <row r="145">
      <c r="A145" s="5" t="n">
        <v>139</v>
      </c>
      <c r="B145" s="10">
        <f>IF('학생명단'!B145="","",'학생명단'!B145)</f>
        <v/>
      </c>
      <c r="C145" s="10">
        <f>IF('학생명단'!C145="","",'학생명단'!C145)</f>
        <v/>
      </c>
      <c r="D145" s="10">
        <f>IF('학생명단'!D145="","",'학생명단'!D145)</f>
        <v/>
      </c>
      <c r="E145" s="10">
        <f>IF('학생명단'!E145="","",'학생명단'!E145)</f>
        <v/>
      </c>
      <c r="F145" s="11">
        <f>IF('학생명단'!F145="","",'학생명단'!F145)</f>
        <v/>
      </c>
      <c r="G145" s="10">
        <f>'공수1'!Y145</f>
        <v/>
      </c>
      <c r="H145" s="10">
        <f>'공수2'!Y145</f>
        <v/>
      </c>
      <c r="I145" s="28">
        <f>IF(AND(G145="",H145=""),"",N(G145)*'설정'!$C$13+N(H145)*'설정'!$C$14)</f>
        <v/>
      </c>
      <c r="J145" s="10">
        <f>IF(I145="","",COUNTIF($I$7:$I$156,"&gt;"&amp;I145)+1)</f>
        <v/>
      </c>
      <c r="K145" s="27">
        <f>IF(I145="","",IF(IF(COUNT('설정'!$C$6:$F$6)=0,AND(G145&lt;&gt;"",H145&lt;&gt;""),OR(AND('설정'!$C$6&lt;&gt;"",G145&lt;&gt;"",N(G145)&gt;='설정'!$C$6),AND('설정'!$D$6&lt;&gt;"",AND(G145&lt;&gt;"",H145&lt;&gt;""),(N(G145)+N(H145))&gt;='설정'!$D$6),AND('설정'!$E$6&lt;&gt;"",OR(AND(G145&lt;&gt;"",N(G145)&lt;='설정'!$E$6),AND(H145&lt;&gt;"",N(H145)&lt;='설정'!$E$6))),AND('설정'!$F$6&lt;&gt;"",AND(G145&lt;&gt;"",H145&lt;&gt;""),(N(G145)+N(H145))&lt;='설정'!$F$6))),'설정'!$B$6,IF(IF(COUNT('설정'!$C$7:$F$7)=0,AND(G145&lt;&gt;"",H145&lt;&gt;""),OR(AND('설정'!$C$7&lt;&gt;"",G145&lt;&gt;"",N(G145)&gt;='설정'!$C$7),AND('설정'!$D$7&lt;&gt;"",AND(G145&lt;&gt;"",H145&lt;&gt;""),(N(G145)+N(H145))&gt;='설정'!$D$7),AND('설정'!$E$7&lt;&gt;"",OR(AND(G145&lt;&gt;"",N(G145)&lt;='설정'!$E$7),AND(H145&lt;&gt;"",N(H145)&lt;='설정'!$E$7))),AND('설정'!$F$7&lt;&gt;"",AND(G145&lt;&gt;"",H145&lt;&gt;""),(N(G145)+N(H145))&lt;='설정'!$F$7))),'설정'!$B$7,IF(IF(COUNT('설정'!$C$8:$F$8)=0,AND(G145&lt;&gt;"",H145&lt;&gt;""),OR(AND('설정'!$C$8&lt;&gt;"",G145&lt;&gt;"",N(G145)&gt;='설정'!$C$8),AND('설정'!$D$8&lt;&gt;"",AND(G145&lt;&gt;"",H145&lt;&gt;""),(N(G145)+N(H145))&gt;='설정'!$D$8),AND('설정'!$E$8&lt;&gt;"",OR(AND(G145&lt;&gt;"",N(G145)&lt;='설정'!$E$8),AND(H145&lt;&gt;"",N(H145)&lt;='설정'!$E$8))),AND('설정'!$F$8&lt;&gt;"",AND(G145&lt;&gt;"",H145&lt;&gt;""),(N(G145)+N(H145))&lt;='설정'!$F$8))),'설정'!$B$8,'설정'!$B$9))))</f>
        <v/>
      </c>
      <c r="L145" s="29">
        <f>IF(OR(G145="",H145=""),"",IF(SUMPRODUCT(ISNUMBER('설정'!$C$6:$C$8)*(ABS(G145-'설정'!$C$6:$C$8)&lt;='설정'!$C$15))+SUMPRODUCT(ISNUMBER('설정'!$D$6:$D$8)*(ABS((G145+H145)-'설정'!$D$6:$D$8)&lt;='설정'!$C$15))+SUMPRODUCT(ISNUMBER('설정'!$F$6:$F$8)*(ABS((G145+H145)-'설정'!$F$6:$F$8)&lt;='설정'!$C$15))+SUMPRODUCT(ISNUMBER('설정'!$E$6:$E$8)*(ABS(G145-'설정'!$E$6:$E$8)&lt;='설정'!$C$15))+SUMPRODUCT(ISNUMBER('설정'!$E$6:$E$8)*(ABS(H145-'설정'!$E$6:$E$8)&lt;='설정'!$C$15))&gt;0,"경계",""))</f>
        <v/>
      </c>
      <c r="M145" s="7" t="n"/>
      <c r="N145" s="7" t="n"/>
      <c r="O145" s="27">
        <f>IF(M145&lt;&gt;"",M145,K145)</f>
        <v/>
      </c>
      <c r="P145" s="30">
        <f>IF(I145="","",IF(G145="","공수1 미응시",IF(H145="","공수2 미응시","")))</f>
        <v/>
      </c>
      <c r="Q145" s="10">
        <f>IF(J145="","",J145+ROW()/100000)</f>
        <v/>
      </c>
    </row>
    <row r="146">
      <c r="A146" s="5" t="n">
        <v>140</v>
      </c>
      <c r="B146" s="10">
        <f>IF('학생명단'!B146="","",'학생명단'!B146)</f>
        <v/>
      </c>
      <c r="C146" s="10">
        <f>IF('학생명단'!C146="","",'학생명단'!C146)</f>
        <v/>
      </c>
      <c r="D146" s="10">
        <f>IF('학생명단'!D146="","",'학생명단'!D146)</f>
        <v/>
      </c>
      <c r="E146" s="10">
        <f>IF('학생명단'!E146="","",'학생명단'!E146)</f>
        <v/>
      </c>
      <c r="F146" s="11">
        <f>IF('학생명단'!F146="","",'학생명단'!F146)</f>
        <v/>
      </c>
      <c r="G146" s="10">
        <f>'공수1'!Y146</f>
        <v/>
      </c>
      <c r="H146" s="10">
        <f>'공수2'!Y146</f>
        <v/>
      </c>
      <c r="I146" s="28">
        <f>IF(AND(G146="",H146=""),"",N(G146)*'설정'!$C$13+N(H146)*'설정'!$C$14)</f>
        <v/>
      </c>
      <c r="J146" s="10">
        <f>IF(I146="","",COUNTIF($I$7:$I$156,"&gt;"&amp;I146)+1)</f>
        <v/>
      </c>
      <c r="K146" s="27">
        <f>IF(I146="","",IF(IF(COUNT('설정'!$C$6:$F$6)=0,AND(G146&lt;&gt;"",H146&lt;&gt;""),OR(AND('설정'!$C$6&lt;&gt;"",G146&lt;&gt;"",N(G146)&gt;='설정'!$C$6),AND('설정'!$D$6&lt;&gt;"",AND(G146&lt;&gt;"",H146&lt;&gt;""),(N(G146)+N(H146))&gt;='설정'!$D$6),AND('설정'!$E$6&lt;&gt;"",OR(AND(G146&lt;&gt;"",N(G146)&lt;='설정'!$E$6),AND(H146&lt;&gt;"",N(H146)&lt;='설정'!$E$6))),AND('설정'!$F$6&lt;&gt;"",AND(G146&lt;&gt;"",H146&lt;&gt;""),(N(G146)+N(H146))&lt;='설정'!$F$6))),'설정'!$B$6,IF(IF(COUNT('설정'!$C$7:$F$7)=0,AND(G146&lt;&gt;"",H146&lt;&gt;""),OR(AND('설정'!$C$7&lt;&gt;"",G146&lt;&gt;"",N(G146)&gt;='설정'!$C$7),AND('설정'!$D$7&lt;&gt;"",AND(G146&lt;&gt;"",H146&lt;&gt;""),(N(G146)+N(H146))&gt;='설정'!$D$7),AND('설정'!$E$7&lt;&gt;"",OR(AND(G146&lt;&gt;"",N(G146)&lt;='설정'!$E$7),AND(H146&lt;&gt;"",N(H146)&lt;='설정'!$E$7))),AND('설정'!$F$7&lt;&gt;"",AND(G146&lt;&gt;"",H146&lt;&gt;""),(N(G146)+N(H146))&lt;='설정'!$F$7))),'설정'!$B$7,IF(IF(COUNT('설정'!$C$8:$F$8)=0,AND(G146&lt;&gt;"",H146&lt;&gt;""),OR(AND('설정'!$C$8&lt;&gt;"",G146&lt;&gt;"",N(G146)&gt;='설정'!$C$8),AND('설정'!$D$8&lt;&gt;"",AND(G146&lt;&gt;"",H146&lt;&gt;""),(N(G146)+N(H146))&gt;='설정'!$D$8),AND('설정'!$E$8&lt;&gt;"",OR(AND(G146&lt;&gt;"",N(G146)&lt;='설정'!$E$8),AND(H146&lt;&gt;"",N(H146)&lt;='설정'!$E$8))),AND('설정'!$F$8&lt;&gt;"",AND(G146&lt;&gt;"",H146&lt;&gt;""),(N(G146)+N(H146))&lt;='설정'!$F$8))),'설정'!$B$8,'설정'!$B$9))))</f>
        <v/>
      </c>
      <c r="L146" s="29">
        <f>IF(OR(G146="",H146=""),"",IF(SUMPRODUCT(ISNUMBER('설정'!$C$6:$C$8)*(ABS(G146-'설정'!$C$6:$C$8)&lt;='설정'!$C$15))+SUMPRODUCT(ISNUMBER('설정'!$D$6:$D$8)*(ABS((G146+H146)-'설정'!$D$6:$D$8)&lt;='설정'!$C$15))+SUMPRODUCT(ISNUMBER('설정'!$F$6:$F$8)*(ABS((G146+H146)-'설정'!$F$6:$F$8)&lt;='설정'!$C$15))+SUMPRODUCT(ISNUMBER('설정'!$E$6:$E$8)*(ABS(G146-'설정'!$E$6:$E$8)&lt;='설정'!$C$15))+SUMPRODUCT(ISNUMBER('설정'!$E$6:$E$8)*(ABS(H146-'설정'!$E$6:$E$8)&lt;='설정'!$C$15))&gt;0,"경계",""))</f>
        <v/>
      </c>
      <c r="M146" s="7" t="n"/>
      <c r="N146" s="7" t="n"/>
      <c r="O146" s="27">
        <f>IF(M146&lt;&gt;"",M146,K146)</f>
        <v/>
      </c>
      <c r="P146" s="30">
        <f>IF(I146="","",IF(G146="","공수1 미응시",IF(H146="","공수2 미응시","")))</f>
        <v/>
      </c>
      <c r="Q146" s="10">
        <f>IF(J146="","",J146+ROW()/100000)</f>
        <v/>
      </c>
    </row>
    <row r="147">
      <c r="A147" s="5" t="n">
        <v>141</v>
      </c>
      <c r="B147" s="10">
        <f>IF('학생명단'!B147="","",'학생명단'!B147)</f>
        <v/>
      </c>
      <c r="C147" s="10">
        <f>IF('학생명단'!C147="","",'학생명단'!C147)</f>
        <v/>
      </c>
      <c r="D147" s="10">
        <f>IF('학생명단'!D147="","",'학생명단'!D147)</f>
        <v/>
      </c>
      <c r="E147" s="10">
        <f>IF('학생명단'!E147="","",'학생명단'!E147)</f>
        <v/>
      </c>
      <c r="F147" s="11">
        <f>IF('학생명단'!F147="","",'학생명단'!F147)</f>
        <v/>
      </c>
      <c r="G147" s="10">
        <f>'공수1'!Y147</f>
        <v/>
      </c>
      <c r="H147" s="10">
        <f>'공수2'!Y147</f>
        <v/>
      </c>
      <c r="I147" s="28">
        <f>IF(AND(G147="",H147=""),"",N(G147)*'설정'!$C$13+N(H147)*'설정'!$C$14)</f>
        <v/>
      </c>
      <c r="J147" s="10">
        <f>IF(I147="","",COUNTIF($I$7:$I$156,"&gt;"&amp;I147)+1)</f>
        <v/>
      </c>
      <c r="K147" s="27">
        <f>IF(I147="","",IF(IF(COUNT('설정'!$C$6:$F$6)=0,AND(G147&lt;&gt;"",H147&lt;&gt;""),OR(AND('설정'!$C$6&lt;&gt;"",G147&lt;&gt;"",N(G147)&gt;='설정'!$C$6),AND('설정'!$D$6&lt;&gt;"",AND(G147&lt;&gt;"",H147&lt;&gt;""),(N(G147)+N(H147))&gt;='설정'!$D$6),AND('설정'!$E$6&lt;&gt;"",OR(AND(G147&lt;&gt;"",N(G147)&lt;='설정'!$E$6),AND(H147&lt;&gt;"",N(H147)&lt;='설정'!$E$6))),AND('설정'!$F$6&lt;&gt;"",AND(G147&lt;&gt;"",H147&lt;&gt;""),(N(G147)+N(H147))&lt;='설정'!$F$6))),'설정'!$B$6,IF(IF(COUNT('설정'!$C$7:$F$7)=0,AND(G147&lt;&gt;"",H147&lt;&gt;""),OR(AND('설정'!$C$7&lt;&gt;"",G147&lt;&gt;"",N(G147)&gt;='설정'!$C$7),AND('설정'!$D$7&lt;&gt;"",AND(G147&lt;&gt;"",H147&lt;&gt;""),(N(G147)+N(H147))&gt;='설정'!$D$7),AND('설정'!$E$7&lt;&gt;"",OR(AND(G147&lt;&gt;"",N(G147)&lt;='설정'!$E$7),AND(H147&lt;&gt;"",N(H147)&lt;='설정'!$E$7))),AND('설정'!$F$7&lt;&gt;"",AND(G147&lt;&gt;"",H147&lt;&gt;""),(N(G147)+N(H147))&lt;='설정'!$F$7))),'설정'!$B$7,IF(IF(COUNT('설정'!$C$8:$F$8)=0,AND(G147&lt;&gt;"",H147&lt;&gt;""),OR(AND('설정'!$C$8&lt;&gt;"",G147&lt;&gt;"",N(G147)&gt;='설정'!$C$8),AND('설정'!$D$8&lt;&gt;"",AND(G147&lt;&gt;"",H147&lt;&gt;""),(N(G147)+N(H147))&gt;='설정'!$D$8),AND('설정'!$E$8&lt;&gt;"",OR(AND(G147&lt;&gt;"",N(G147)&lt;='설정'!$E$8),AND(H147&lt;&gt;"",N(H147)&lt;='설정'!$E$8))),AND('설정'!$F$8&lt;&gt;"",AND(G147&lt;&gt;"",H147&lt;&gt;""),(N(G147)+N(H147))&lt;='설정'!$F$8))),'설정'!$B$8,'설정'!$B$9))))</f>
        <v/>
      </c>
      <c r="L147" s="29">
        <f>IF(OR(G147="",H147=""),"",IF(SUMPRODUCT(ISNUMBER('설정'!$C$6:$C$8)*(ABS(G147-'설정'!$C$6:$C$8)&lt;='설정'!$C$15))+SUMPRODUCT(ISNUMBER('설정'!$D$6:$D$8)*(ABS((G147+H147)-'설정'!$D$6:$D$8)&lt;='설정'!$C$15))+SUMPRODUCT(ISNUMBER('설정'!$F$6:$F$8)*(ABS((G147+H147)-'설정'!$F$6:$F$8)&lt;='설정'!$C$15))+SUMPRODUCT(ISNUMBER('설정'!$E$6:$E$8)*(ABS(G147-'설정'!$E$6:$E$8)&lt;='설정'!$C$15))+SUMPRODUCT(ISNUMBER('설정'!$E$6:$E$8)*(ABS(H147-'설정'!$E$6:$E$8)&lt;='설정'!$C$15))&gt;0,"경계",""))</f>
        <v/>
      </c>
      <c r="M147" s="7" t="n"/>
      <c r="N147" s="7" t="n"/>
      <c r="O147" s="27">
        <f>IF(M147&lt;&gt;"",M147,K147)</f>
        <v/>
      </c>
      <c r="P147" s="30">
        <f>IF(I147="","",IF(G147="","공수1 미응시",IF(H147="","공수2 미응시","")))</f>
        <v/>
      </c>
      <c r="Q147" s="10">
        <f>IF(J147="","",J147+ROW()/100000)</f>
        <v/>
      </c>
    </row>
    <row r="148">
      <c r="A148" s="5" t="n">
        <v>142</v>
      </c>
      <c r="B148" s="10">
        <f>IF('학생명단'!B148="","",'학생명단'!B148)</f>
        <v/>
      </c>
      <c r="C148" s="10">
        <f>IF('학생명단'!C148="","",'학생명단'!C148)</f>
        <v/>
      </c>
      <c r="D148" s="10">
        <f>IF('학생명단'!D148="","",'학생명단'!D148)</f>
        <v/>
      </c>
      <c r="E148" s="10">
        <f>IF('학생명단'!E148="","",'학생명단'!E148)</f>
        <v/>
      </c>
      <c r="F148" s="11">
        <f>IF('학생명단'!F148="","",'학생명단'!F148)</f>
        <v/>
      </c>
      <c r="G148" s="10">
        <f>'공수1'!Y148</f>
        <v/>
      </c>
      <c r="H148" s="10">
        <f>'공수2'!Y148</f>
        <v/>
      </c>
      <c r="I148" s="28">
        <f>IF(AND(G148="",H148=""),"",N(G148)*'설정'!$C$13+N(H148)*'설정'!$C$14)</f>
        <v/>
      </c>
      <c r="J148" s="10">
        <f>IF(I148="","",COUNTIF($I$7:$I$156,"&gt;"&amp;I148)+1)</f>
        <v/>
      </c>
      <c r="K148" s="27">
        <f>IF(I148="","",IF(IF(COUNT('설정'!$C$6:$F$6)=0,AND(G148&lt;&gt;"",H148&lt;&gt;""),OR(AND('설정'!$C$6&lt;&gt;"",G148&lt;&gt;"",N(G148)&gt;='설정'!$C$6),AND('설정'!$D$6&lt;&gt;"",AND(G148&lt;&gt;"",H148&lt;&gt;""),(N(G148)+N(H148))&gt;='설정'!$D$6),AND('설정'!$E$6&lt;&gt;"",OR(AND(G148&lt;&gt;"",N(G148)&lt;='설정'!$E$6),AND(H148&lt;&gt;"",N(H148)&lt;='설정'!$E$6))),AND('설정'!$F$6&lt;&gt;"",AND(G148&lt;&gt;"",H148&lt;&gt;""),(N(G148)+N(H148))&lt;='설정'!$F$6))),'설정'!$B$6,IF(IF(COUNT('설정'!$C$7:$F$7)=0,AND(G148&lt;&gt;"",H148&lt;&gt;""),OR(AND('설정'!$C$7&lt;&gt;"",G148&lt;&gt;"",N(G148)&gt;='설정'!$C$7),AND('설정'!$D$7&lt;&gt;"",AND(G148&lt;&gt;"",H148&lt;&gt;""),(N(G148)+N(H148))&gt;='설정'!$D$7),AND('설정'!$E$7&lt;&gt;"",OR(AND(G148&lt;&gt;"",N(G148)&lt;='설정'!$E$7),AND(H148&lt;&gt;"",N(H148)&lt;='설정'!$E$7))),AND('설정'!$F$7&lt;&gt;"",AND(G148&lt;&gt;"",H148&lt;&gt;""),(N(G148)+N(H148))&lt;='설정'!$F$7))),'설정'!$B$7,IF(IF(COUNT('설정'!$C$8:$F$8)=0,AND(G148&lt;&gt;"",H148&lt;&gt;""),OR(AND('설정'!$C$8&lt;&gt;"",G148&lt;&gt;"",N(G148)&gt;='설정'!$C$8),AND('설정'!$D$8&lt;&gt;"",AND(G148&lt;&gt;"",H148&lt;&gt;""),(N(G148)+N(H148))&gt;='설정'!$D$8),AND('설정'!$E$8&lt;&gt;"",OR(AND(G148&lt;&gt;"",N(G148)&lt;='설정'!$E$8),AND(H148&lt;&gt;"",N(H148)&lt;='설정'!$E$8))),AND('설정'!$F$8&lt;&gt;"",AND(G148&lt;&gt;"",H148&lt;&gt;""),(N(G148)+N(H148))&lt;='설정'!$F$8))),'설정'!$B$8,'설정'!$B$9))))</f>
        <v/>
      </c>
      <c r="L148" s="29">
        <f>IF(OR(G148="",H148=""),"",IF(SUMPRODUCT(ISNUMBER('설정'!$C$6:$C$8)*(ABS(G148-'설정'!$C$6:$C$8)&lt;='설정'!$C$15))+SUMPRODUCT(ISNUMBER('설정'!$D$6:$D$8)*(ABS((G148+H148)-'설정'!$D$6:$D$8)&lt;='설정'!$C$15))+SUMPRODUCT(ISNUMBER('설정'!$F$6:$F$8)*(ABS((G148+H148)-'설정'!$F$6:$F$8)&lt;='설정'!$C$15))+SUMPRODUCT(ISNUMBER('설정'!$E$6:$E$8)*(ABS(G148-'설정'!$E$6:$E$8)&lt;='설정'!$C$15))+SUMPRODUCT(ISNUMBER('설정'!$E$6:$E$8)*(ABS(H148-'설정'!$E$6:$E$8)&lt;='설정'!$C$15))&gt;0,"경계",""))</f>
        <v/>
      </c>
      <c r="M148" s="7" t="n"/>
      <c r="N148" s="7" t="n"/>
      <c r="O148" s="27">
        <f>IF(M148&lt;&gt;"",M148,K148)</f>
        <v/>
      </c>
      <c r="P148" s="30">
        <f>IF(I148="","",IF(G148="","공수1 미응시",IF(H148="","공수2 미응시","")))</f>
        <v/>
      </c>
      <c r="Q148" s="10">
        <f>IF(J148="","",J148+ROW()/100000)</f>
        <v/>
      </c>
    </row>
    <row r="149">
      <c r="A149" s="5" t="n">
        <v>143</v>
      </c>
      <c r="B149" s="10">
        <f>IF('학생명단'!B149="","",'학생명단'!B149)</f>
        <v/>
      </c>
      <c r="C149" s="10">
        <f>IF('학생명단'!C149="","",'학생명단'!C149)</f>
        <v/>
      </c>
      <c r="D149" s="10">
        <f>IF('학생명단'!D149="","",'학생명단'!D149)</f>
        <v/>
      </c>
      <c r="E149" s="10">
        <f>IF('학생명단'!E149="","",'학생명단'!E149)</f>
        <v/>
      </c>
      <c r="F149" s="11">
        <f>IF('학생명단'!F149="","",'학생명단'!F149)</f>
        <v/>
      </c>
      <c r="G149" s="10">
        <f>'공수1'!Y149</f>
        <v/>
      </c>
      <c r="H149" s="10">
        <f>'공수2'!Y149</f>
        <v/>
      </c>
      <c r="I149" s="28">
        <f>IF(AND(G149="",H149=""),"",N(G149)*'설정'!$C$13+N(H149)*'설정'!$C$14)</f>
        <v/>
      </c>
      <c r="J149" s="10">
        <f>IF(I149="","",COUNTIF($I$7:$I$156,"&gt;"&amp;I149)+1)</f>
        <v/>
      </c>
      <c r="K149" s="27">
        <f>IF(I149="","",IF(IF(COUNT('설정'!$C$6:$F$6)=0,AND(G149&lt;&gt;"",H149&lt;&gt;""),OR(AND('설정'!$C$6&lt;&gt;"",G149&lt;&gt;"",N(G149)&gt;='설정'!$C$6),AND('설정'!$D$6&lt;&gt;"",AND(G149&lt;&gt;"",H149&lt;&gt;""),(N(G149)+N(H149))&gt;='설정'!$D$6),AND('설정'!$E$6&lt;&gt;"",OR(AND(G149&lt;&gt;"",N(G149)&lt;='설정'!$E$6),AND(H149&lt;&gt;"",N(H149)&lt;='설정'!$E$6))),AND('설정'!$F$6&lt;&gt;"",AND(G149&lt;&gt;"",H149&lt;&gt;""),(N(G149)+N(H149))&lt;='설정'!$F$6))),'설정'!$B$6,IF(IF(COUNT('설정'!$C$7:$F$7)=0,AND(G149&lt;&gt;"",H149&lt;&gt;""),OR(AND('설정'!$C$7&lt;&gt;"",G149&lt;&gt;"",N(G149)&gt;='설정'!$C$7),AND('설정'!$D$7&lt;&gt;"",AND(G149&lt;&gt;"",H149&lt;&gt;""),(N(G149)+N(H149))&gt;='설정'!$D$7),AND('설정'!$E$7&lt;&gt;"",OR(AND(G149&lt;&gt;"",N(G149)&lt;='설정'!$E$7),AND(H149&lt;&gt;"",N(H149)&lt;='설정'!$E$7))),AND('설정'!$F$7&lt;&gt;"",AND(G149&lt;&gt;"",H149&lt;&gt;""),(N(G149)+N(H149))&lt;='설정'!$F$7))),'설정'!$B$7,IF(IF(COUNT('설정'!$C$8:$F$8)=0,AND(G149&lt;&gt;"",H149&lt;&gt;""),OR(AND('설정'!$C$8&lt;&gt;"",G149&lt;&gt;"",N(G149)&gt;='설정'!$C$8),AND('설정'!$D$8&lt;&gt;"",AND(G149&lt;&gt;"",H149&lt;&gt;""),(N(G149)+N(H149))&gt;='설정'!$D$8),AND('설정'!$E$8&lt;&gt;"",OR(AND(G149&lt;&gt;"",N(G149)&lt;='설정'!$E$8),AND(H149&lt;&gt;"",N(H149)&lt;='설정'!$E$8))),AND('설정'!$F$8&lt;&gt;"",AND(G149&lt;&gt;"",H149&lt;&gt;""),(N(G149)+N(H149))&lt;='설정'!$F$8))),'설정'!$B$8,'설정'!$B$9))))</f>
        <v/>
      </c>
      <c r="L149" s="29">
        <f>IF(OR(G149="",H149=""),"",IF(SUMPRODUCT(ISNUMBER('설정'!$C$6:$C$8)*(ABS(G149-'설정'!$C$6:$C$8)&lt;='설정'!$C$15))+SUMPRODUCT(ISNUMBER('설정'!$D$6:$D$8)*(ABS((G149+H149)-'설정'!$D$6:$D$8)&lt;='설정'!$C$15))+SUMPRODUCT(ISNUMBER('설정'!$F$6:$F$8)*(ABS((G149+H149)-'설정'!$F$6:$F$8)&lt;='설정'!$C$15))+SUMPRODUCT(ISNUMBER('설정'!$E$6:$E$8)*(ABS(G149-'설정'!$E$6:$E$8)&lt;='설정'!$C$15))+SUMPRODUCT(ISNUMBER('설정'!$E$6:$E$8)*(ABS(H149-'설정'!$E$6:$E$8)&lt;='설정'!$C$15))&gt;0,"경계",""))</f>
        <v/>
      </c>
      <c r="M149" s="7" t="n"/>
      <c r="N149" s="7" t="n"/>
      <c r="O149" s="27">
        <f>IF(M149&lt;&gt;"",M149,K149)</f>
        <v/>
      </c>
      <c r="P149" s="30">
        <f>IF(I149="","",IF(G149="","공수1 미응시",IF(H149="","공수2 미응시","")))</f>
        <v/>
      </c>
      <c r="Q149" s="10">
        <f>IF(J149="","",J149+ROW()/100000)</f>
        <v/>
      </c>
    </row>
    <row r="150">
      <c r="A150" s="5" t="n">
        <v>144</v>
      </c>
      <c r="B150" s="10">
        <f>IF('학생명단'!B150="","",'학생명단'!B150)</f>
        <v/>
      </c>
      <c r="C150" s="10">
        <f>IF('학생명단'!C150="","",'학생명단'!C150)</f>
        <v/>
      </c>
      <c r="D150" s="10">
        <f>IF('학생명단'!D150="","",'학생명단'!D150)</f>
        <v/>
      </c>
      <c r="E150" s="10">
        <f>IF('학생명단'!E150="","",'학생명단'!E150)</f>
        <v/>
      </c>
      <c r="F150" s="11">
        <f>IF('학생명단'!F150="","",'학생명단'!F150)</f>
        <v/>
      </c>
      <c r="G150" s="10">
        <f>'공수1'!Y150</f>
        <v/>
      </c>
      <c r="H150" s="10">
        <f>'공수2'!Y150</f>
        <v/>
      </c>
      <c r="I150" s="28">
        <f>IF(AND(G150="",H150=""),"",N(G150)*'설정'!$C$13+N(H150)*'설정'!$C$14)</f>
        <v/>
      </c>
      <c r="J150" s="10">
        <f>IF(I150="","",COUNTIF($I$7:$I$156,"&gt;"&amp;I150)+1)</f>
        <v/>
      </c>
      <c r="K150" s="27">
        <f>IF(I150="","",IF(IF(COUNT('설정'!$C$6:$F$6)=0,AND(G150&lt;&gt;"",H150&lt;&gt;""),OR(AND('설정'!$C$6&lt;&gt;"",G150&lt;&gt;"",N(G150)&gt;='설정'!$C$6),AND('설정'!$D$6&lt;&gt;"",AND(G150&lt;&gt;"",H150&lt;&gt;""),(N(G150)+N(H150))&gt;='설정'!$D$6),AND('설정'!$E$6&lt;&gt;"",OR(AND(G150&lt;&gt;"",N(G150)&lt;='설정'!$E$6),AND(H150&lt;&gt;"",N(H150)&lt;='설정'!$E$6))),AND('설정'!$F$6&lt;&gt;"",AND(G150&lt;&gt;"",H150&lt;&gt;""),(N(G150)+N(H150))&lt;='설정'!$F$6))),'설정'!$B$6,IF(IF(COUNT('설정'!$C$7:$F$7)=0,AND(G150&lt;&gt;"",H150&lt;&gt;""),OR(AND('설정'!$C$7&lt;&gt;"",G150&lt;&gt;"",N(G150)&gt;='설정'!$C$7),AND('설정'!$D$7&lt;&gt;"",AND(G150&lt;&gt;"",H150&lt;&gt;""),(N(G150)+N(H150))&gt;='설정'!$D$7),AND('설정'!$E$7&lt;&gt;"",OR(AND(G150&lt;&gt;"",N(G150)&lt;='설정'!$E$7),AND(H150&lt;&gt;"",N(H150)&lt;='설정'!$E$7))),AND('설정'!$F$7&lt;&gt;"",AND(G150&lt;&gt;"",H150&lt;&gt;""),(N(G150)+N(H150))&lt;='설정'!$F$7))),'설정'!$B$7,IF(IF(COUNT('설정'!$C$8:$F$8)=0,AND(G150&lt;&gt;"",H150&lt;&gt;""),OR(AND('설정'!$C$8&lt;&gt;"",G150&lt;&gt;"",N(G150)&gt;='설정'!$C$8),AND('설정'!$D$8&lt;&gt;"",AND(G150&lt;&gt;"",H150&lt;&gt;""),(N(G150)+N(H150))&gt;='설정'!$D$8),AND('설정'!$E$8&lt;&gt;"",OR(AND(G150&lt;&gt;"",N(G150)&lt;='설정'!$E$8),AND(H150&lt;&gt;"",N(H150)&lt;='설정'!$E$8))),AND('설정'!$F$8&lt;&gt;"",AND(G150&lt;&gt;"",H150&lt;&gt;""),(N(G150)+N(H150))&lt;='설정'!$F$8))),'설정'!$B$8,'설정'!$B$9))))</f>
        <v/>
      </c>
      <c r="L150" s="29">
        <f>IF(OR(G150="",H150=""),"",IF(SUMPRODUCT(ISNUMBER('설정'!$C$6:$C$8)*(ABS(G150-'설정'!$C$6:$C$8)&lt;='설정'!$C$15))+SUMPRODUCT(ISNUMBER('설정'!$D$6:$D$8)*(ABS((G150+H150)-'설정'!$D$6:$D$8)&lt;='설정'!$C$15))+SUMPRODUCT(ISNUMBER('설정'!$F$6:$F$8)*(ABS((G150+H150)-'설정'!$F$6:$F$8)&lt;='설정'!$C$15))+SUMPRODUCT(ISNUMBER('설정'!$E$6:$E$8)*(ABS(G150-'설정'!$E$6:$E$8)&lt;='설정'!$C$15))+SUMPRODUCT(ISNUMBER('설정'!$E$6:$E$8)*(ABS(H150-'설정'!$E$6:$E$8)&lt;='설정'!$C$15))&gt;0,"경계",""))</f>
        <v/>
      </c>
      <c r="M150" s="7" t="n"/>
      <c r="N150" s="7" t="n"/>
      <c r="O150" s="27">
        <f>IF(M150&lt;&gt;"",M150,K150)</f>
        <v/>
      </c>
      <c r="P150" s="30">
        <f>IF(I150="","",IF(G150="","공수1 미응시",IF(H150="","공수2 미응시","")))</f>
        <v/>
      </c>
      <c r="Q150" s="10">
        <f>IF(J150="","",J150+ROW()/100000)</f>
        <v/>
      </c>
    </row>
    <row r="151">
      <c r="A151" s="5" t="n">
        <v>145</v>
      </c>
      <c r="B151" s="10">
        <f>IF('학생명단'!B151="","",'학생명단'!B151)</f>
        <v/>
      </c>
      <c r="C151" s="10">
        <f>IF('학생명단'!C151="","",'학생명단'!C151)</f>
        <v/>
      </c>
      <c r="D151" s="10">
        <f>IF('학생명단'!D151="","",'학생명단'!D151)</f>
        <v/>
      </c>
      <c r="E151" s="10">
        <f>IF('학생명단'!E151="","",'학생명단'!E151)</f>
        <v/>
      </c>
      <c r="F151" s="11">
        <f>IF('학생명단'!F151="","",'학생명단'!F151)</f>
        <v/>
      </c>
      <c r="G151" s="10">
        <f>'공수1'!Y151</f>
        <v/>
      </c>
      <c r="H151" s="10">
        <f>'공수2'!Y151</f>
        <v/>
      </c>
      <c r="I151" s="28">
        <f>IF(AND(G151="",H151=""),"",N(G151)*'설정'!$C$13+N(H151)*'설정'!$C$14)</f>
        <v/>
      </c>
      <c r="J151" s="10">
        <f>IF(I151="","",COUNTIF($I$7:$I$156,"&gt;"&amp;I151)+1)</f>
        <v/>
      </c>
      <c r="K151" s="27">
        <f>IF(I151="","",IF(IF(COUNT('설정'!$C$6:$F$6)=0,AND(G151&lt;&gt;"",H151&lt;&gt;""),OR(AND('설정'!$C$6&lt;&gt;"",G151&lt;&gt;"",N(G151)&gt;='설정'!$C$6),AND('설정'!$D$6&lt;&gt;"",AND(G151&lt;&gt;"",H151&lt;&gt;""),(N(G151)+N(H151))&gt;='설정'!$D$6),AND('설정'!$E$6&lt;&gt;"",OR(AND(G151&lt;&gt;"",N(G151)&lt;='설정'!$E$6),AND(H151&lt;&gt;"",N(H151)&lt;='설정'!$E$6))),AND('설정'!$F$6&lt;&gt;"",AND(G151&lt;&gt;"",H151&lt;&gt;""),(N(G151)+N(H151))&lt;='설정'!$F$6))),'설정'!$B$6,IF(IF(COUNT('설정'!$C$7:$F$7)=0,AND(G151&lt;&gt;"",H151&lt;&gt;""),OR(AND('설정'!$C$7&lt;&gt;"",G151&lt;&gt;"",N(G151)&gt;='설정'!$C$7),AND('설정'!$D$7&lt;&gt;"",AND(G151&lt;&gt;"",H151&lt;&gt;""),(N(G151)+N(H151))&gt;='설정'!$D$7),AND('설정'!$E$7&lt;&gt;"",OR(AND(G151&lt;&gt;"",N(G151)&lt;='설정'!$E$7),AND(H151&lt;&gt;"",N(H151)&lt;='설정'!$E$7))),AND('설정'!$F$7&lt;&gt;"",AND(G151&lt;&gt;"",H151&lt;&gt;""),(N(G151)+N(H151))&lt;='설정'!$F$7))),'설정'!$B$7,IF(IF(COUNT('설정'!$C$8:$F$8)=0,AND(G151&lt;&gt;"",H151&lt;&gt;""),OR(AND('설정'!$C$8&lt;&gt;"",G151&lt;&gt;"",N(G151)&gt;='설정'!$C$8),AND('설정'!$D$8&lt;&gt;"",AND(G151&lt;&gt;"",H151&lt;&gt;""),(N(G151)+N(H151))&gt;='설정'!$D$8),AND('설정'!$E$8&lt;&gt;"",OR(AND(G151&lt;&gt;"",N(G151)&lt;='설정'!$E$8),AND(H151&lt;&gt;"",N(H151)&lt;='설정'!$E$8))),AND('설정'!$F$8&lt;&gt;"",AND(G151&lt;&gt;"",H151&lt;&gt;""),(N(G151)+N(H151))&lt;='설정'!$F$8))),'설정'!$B$8,'설정'!$B$9))))</f>
        <v/>
      </c>
      <c r="L151" s="29">
        <f>IF(OR(G151="",H151=""),"",IF(SUMPRODUCT(ISNUMBER('설정'!$C$6:$C$8)*(ABS(G151-'설정'!$C$6:$C$8)&lt;='설정'!$C$15))+SUMPRODUCT(ISNUMBER('설정'!$D$6:$D$8)*(ABS((G151+H151)-'설정'!$D$6:$D$8)&lt;='설정'!$C$15))+SUMPRODUCT(ISNUMBER('설정'!$F$6:$F$8)*(ABS((G151+H151)-'설정'!$F$6:$F$8)&lt;='설정'!$C$15))+SUMPRODUCT(ISNUMBER('설정'!$E$6:$E$8)*(ABS(G151-'설정'!$E$6:$E$8)&lt;='설정'!$C$15))+SUMPRODUCT(ISNUMBER('설정'!$E$6:$E$8)*(ABS(H151-'설정'!$E$6:$E$8)&lt;='설정'!$C$15))&gt;0,"경계",""))</f>
        <v/>
      </c>
      <c r="M151" s="7" t="n"/>
      <c r="N151" s="7" t="n"/>
      <c r="O151" s="27">
        <f>IF(M151&lt;&gt;"",M151,K151)</f>
        <v/>
      </c>
      <c r="P151" s="30">
        <f>IF(I151="","",IF(G151="","공수1 미응시",IF(H151="","공수2 미응시","")))</f>
        <v/>
      </c>
      <c r="Q151" s="10">
        <f>IF(J151="","",J151+ROW()/100000)</f>
        <v/>
      </c>
    </row>
    <row r="152">
      <c r="A152" s="5" t="n">
        <v>146</v>
      </c>
      <c r="B152" s="10">
        <f>IF('학생명단'!B152="","",'학생명단'!B152)</f>
        <v/>
      </c>
      <c r="C152" s="10">
        <f>IF('학생명단'!C152="","",'학생명단'!C152)</f>
        <v/>
      </c>
      <c r="D152" s="10">
        <f>IF('학생명단'!D152="","",'학생명단'!D152)</f>
        <v/>
      </c>
      <c r="E152" s="10">
        <f>IF('학생명단'!E152="","",'학생명단'!E152)</f>
        <v/>
      </c>
      <c r="F152" s="11">
        <f>IF('학생명단'!F152="","",'학생명단'!F152)</f>
        <v/>
      </c>
      <c r="G152" s="10">
        <f>'공수1'!Y152</f>
        <v/>
      </c>
      <c r="H152" s="10">
        <f>'공수2'!Y152</f>
        <v/>
      </c>
      <c r="I152" s="28">
        <f>IF(AND(G152="",H152=""),"",N(G152)*'설정'!$C$13+N(H152)*'설정'!$C$14)</f>
        <v/>
      </c>
      <c r="J152" s="10">
        <f>IF(I152="","",COUNTIF($I$7:$I$156,"&gt;"&amp;I152)+1)</f>
        <v/>
      </c>
      <c r="K152" s="27">
        <f>IF(I152="","",IF(IF(COUNT('설정'!$C$6:$F$6)=0,AND(G152&lt;&gt;"",H152&lt;&gt;""),OR(AND('설정'!$C$6&lt;&gt;"",G152&lt;&gt;"",N(G152)&gt;='설정'!$C$6),AND('설정'!$D$6&lt;&gt;"",AND(G152&lt;&gt;"",H152&lt;&gt;""),(N(G152)+N(H152))&gt;='설정'!$D$6),AND('설정'!$E$6&lt;&gt;"",OR(AND(G152&lt;&gt;"",N(G152)&lt;='설정'!$E$6),AND(H152&lt;&gt;"",N(H152)&lt;='설정'!$E$6))),AND('설정'!$F$6&lt;&gt;"",AND(G152&lt;&gt;"",H152&lt;&gt;""),(N(G152)+N(H152))&lt;='설정'!$F$6))),'설정'!$B$6,IF(IF(COUNT('설정'!$C$7:$F$7)=0,AND(G152&lt;&gt;"",H152&lt;&gt;""),OR(AND('설정'!$C$7&lt;&gt;"",G152&lt;&gt;"",N(G152)&gt;='설정'!$C$7),AND('설정'!$D$7&lt;&gt;"",AND(G152&lt;&gt;"",H152&lt;&gt;""),(N(G152)+N(H152))&gt;='설정'!$D$7),AND('설정'!$E$7&lt;&gt;"",OR(AND(G152&lt;&gt;"",N(G152)&lt;='설정'!$E$7),AND(H152&lt;&gt;"",N(H152)&lt;='설정'!$E$7))),AND('설정'!$F$7&lt;&gt;"",AND(G152&lt;&gt;"",H152&lt;&gt;""),(N(G152)+N(H152))&lt;='설정'!$F$7))),'설정'!$B$7,IF(IF(COUNT('설정'!$C$8:$F$8)=0,AND(G152&lt;&gt;"",H152&lt;&gt;""),OR(AND('설정'!$C$8&lt;&gt;"",G152&lt;&gt;"",N(G152)&gt;='설정'!$C$8),AND('설정'!$D$8&lt;&gt;"",AND(G152&lt;&gt;"",H152&lt;&gt;""),(N(G152)+N(H152))&gt;='설정'!$D$8),AND('설정'!$E$8&lt;&gt;"",OR(AND(G152&lt;&gt;"",N(G152)&lt;='설정'!$E$8),AND(H152&lt;&gt;"",N(H152)&lt;='설정'!$E$8))),AND('설정'!$F$8&lt;&gt;"",AND(G152&lt;&gt;"",H152&lt;&gt;""),(N(G152)+N(H152))&lt;='설정'!$F$8))),'설정'!$B$8,'설정'!$B$9))))</f>
        <v/>
      </c>
      <c r="L152" s="29">
        <f>IF(OR(G152="",H152=""),"",IF(SUMPRODUCT(ISNUMBER('설정'!$C$6:$C$8)*(ABS(G152-'설정'!$C$6:$C$8)&lt;='설정'!$C$15))+SUMPRODUCT(ISNUMBER('설정'!$D$6:$D$8)*(ABS((G152+H152)-'설정'!$D$6:$D$8)&lt;='설정'!$C$15))+SUMPRODUCT(ISNUMBER('설정'!$F$6:$F$8)*(ABS((G152+H152)-'설정'!$F$6:$F$8)&lt;='설정'!$C$15))+SUMPRODUCT(ISNUMBER('설정'!$E$6:$E$8)*(ABS(G152-'설정'!$E$6:$E$8)&lt;='설정'!$C$15))+SUMPRODUCT(ISNUMBER('설정'!$E$6:$E$8)*(ABS(H152-'설정'!$E$6:$E$8)&lt;='설정'!$C$15))&gt;0,"경계",""))</f>
        <v/>
      </c>
      <c r="M152" s="7" t="n"/>
      <c r="N152" s="7" t="n"/>
      <c r="O152" s="27">
        <f>IF(M152&lt;&gt;"",M152,K152)</f>
        <v/>
      </c>
      <c r="P152" s="30">
        <f>IF(I152="","",IF(G152="","공수1 미응시",IF(H152="","공수2 미응시","")))</f>
        <v/>
      </c>
      <c r="Q152" s="10">
        <f>IF(J152="","",J152+ROW()/100000)</f>
        <v/>
      </c>
    </row>
    <row r="153">
      <c r="A153" s="5" t="n">
        <v>147</v>
      </c>
      <c r="B153" s="10">
        <f>IF('학생명단'!B153="","",'학생명단'!B153)</f>
        <v/>
      </c>
      <c r="C153" s="10">
        <f>IF('학생명단'!C153="","",'학생명단'!C153)</f>
        <v/>
      </c>
      <c r="D153" s="10">
        <f>IF('학생명단'!D153="","",'학생명단'!D153)</f>
        <v/>
      </c>
      <c r="E153" s="10">
        <f>IF('학생명단'!E153="","",'학생명단'!E153)</f>
        <v/>
      </c>
      <c r="F153" s="11">
        <f>IF('학생명단'!F153="","",'학생명단'!F153)</f>
        <v/>
      </c>
      <c r="G153" s="10">
        <f>'공수1'!Y153</f>
        <v/>
      </c>
      <c r="H153" s="10">
        <f>'공수2'!Y153</f>
        <v/>
      </c>
      <c r="I153" s="28">
        <f>IF(AND(G153="",H153=""),"",N(G153)*'설정'!$C$13+N(H153)*'설정'!$C$14)</f>
        <v/>
      </c>
      <c r="J153" s="10">
        <f>IF(I153="","",COUNTIF($I$7:$I$156,"&gt;"&amp;I153)+1)</f>
        <v/>
      </c>
      <c r="K153" s="27">
        <f>IF(I153="","",IF(IF(COUNT('설정'!$C$6:$F$6)=0,AND(G153&lt;&gt;"",H153&lt;&gt;""),OR(AND('설정'!$C$6&lt;&gt;"",G153&lt;&gt;"",N(G153)&gt;='설정'!$C$6),AND('설정'!$D$6&lt;&gt;"",AND(G153&lt;&gt;"",H153&lt;&gt;""),(N(G153)+N(H153))&gt;='설정'!$D$6),AND('설정'!$E$6&lt;&gt;"",OR(AND(G153&lt;&gt;"",N(G153)&lt;='설정'!$E$6),AND(H153&lt;&gt;"",N(H153)&lt;='설정'!$E$6))),AND('설정'!$F$6&lt;&gt;"",AND(G153&lt;&gt;"",H153&lt;&gt;""),(N(G153)+N(H153))&lt;='설정'!$F$6))),'설정'!$B$6,IF(IF(COUNT('설정'!$C$7:$F$7)=0,AND(G153&lt;&gt;"",H153&lt;&gt;""),OR(AND('설정'!$C$7&lt;&gt;"",G153&lt;&gt;"",N(G153)&gt;='설정'!$C$7),AND('설정'!$D$7&lt;&gt;"",AND(G153&lt;&gt;"",H153&lt;&gt;""),(N(G153)+N(H153))&gt;='설정'!$D$7),AND('설정'!$E$7&lt;&gt;"",OR(AND(G153&lt;&gt;"",N(G153)&lt;='설정'!$E$7),AND(H153&lt;&gt;"",N(H153)&lt;='설정'!$E$7))),AND('설정'!$F$7&lt;&gt;"",AND(G153&lt;&gt;"",H153&lt;&gt;""),(N(G153)+N(H153))&lt;='설정'!$F$7))),'설정'!$B$7,IF(IF(COUNT('설정'!$C$8:$F$8)=0,AND(G153&lt;&gt;"",H153&lt;&gt;""),OR(AND('설정'!$C$8&lt;&gt;"",G153&lt;&gt;"",N(G153)&gt;='설정'!$C$8),AND('설정'!$D$8&lt;&gt;"",AND(G153&lt;&gt;"",H153&lt;&gt;""),(N(G153)+N(H153))&gt;='설정'!$D$8),AND('설정'!$E$8&lt;&gt;"",OR(AND(G153&lt;&gt;"",N(G153)&lt;='설정'!$E$8),AND(H153&lt;&gt;"",N(H153)&lt;='설정'!$E$8))),AND('설정'!$F$8&lt;&gt;"",AND(G153&lt;&gt;"",H153&lt;&gt;""),(N(G153)+N(H153))&lt;='설정'!$F$8))),'설정'!$B$8,'설정'!$B$9))))</f>
        <v/>
      </c>
      <c r="L153" s="29">
        <f>IF(OR(G153="",H153=""),"",IF(SUMPRODUCT(ISNUMBER('설정'!$C$6:$C$8)*(ABS(G153-'설정'!$C$6:$C$8)&lt;='설정'!$C$15))+SUMPRODUCT(ISNUMBER('설정'!$D$6:$D$8)*(ABS((G153+H153)-'설정'!$D$6:$D$8)&lt;='설정'!$C$15))+SUMPRODUCT(ISNUMBER('설정'!$F$6:$F$8)*(ABS((G153+H153)-'설정'!$F$6:$F$8)&lt;='설정'!$C$15))+SUMPRODUCT(ISNUMBER('설정'!$E$6:$E$8)*(ABS(G153-'설정'!$E$6:$E$8)&lt;='설정'!$C$15))+SUMPRODUCT(ISNUMBER('설정'!$E$6:$E$8)*(ABS(H153-'설정'!$E$6:$E$8)&lt;='설정'!$C$15))&gt;0,"경계",""))</f>
        <v/>
      </c>
      <c r="M153" s="7" t="n"/>
      <c r="N153" s="7" t="n"/>
      <c r="O153" s="27">
        <f>IF(M153&lt;&gt;"",M153,K153)</f>
        <v/>
      </c>
      <c r="P153" s="30">
        <f>IF(I153="","",IF(G153="","공수1 미응시",IF(H153="","공수2 미응시","")))</f>
        <v/>
      </c>
      <c r="Q153" s="10">
        <f>IF(J153="","",J153+ROW()/100000)</f>
        <v/>
      </c>
    </row>
    <row r="154">
      <c r="A154" s="5" t="n">
        <v>148</v>
      </c>
      <c r="B154" s="10">
        <f>IF('학생명단'!B154="","",'학생명단'!B154)</f>
        <v/>
      </c>
      <c r="C154" s="10">
        <f>IF('학생명단'!C154="","",'학생명단'!C154)</f>
        <v/>
      </c>
      <c r="D154" s="10">
        <f>IF('학생명단'!D154="","",'학생명단'!D154)</f>
        <v/>
      </c>
      <c r="E154" s="10">
        <f>IF('학생명단'!E154="","",'학생명단'!E154)</f>
        <v/>
      </c>
      <c r="F154" s="11">
        <f>IF('학생명단'!F154="","",'학생명단'!F154)</f>
        <v/>
      </c>
      <c r="G154" s="10">
        <f>'공수1'!Y154</f>
        <v/>
      </c>
      <c r="H154" s="10">
        <f>'공수2'!Y154</f>
        <v/>
      </c>
      <c r="I154" s="28">
        <f>IF(AND(G154="",H154=""),"",N(G154)*'설정'!$C$13+N(H154)*'설정'!$C$14)</f>
        <v/>
      </c>
      <c r="J154" s="10">
        <f>IF(I154="","",COUNTIF($I$7:$I$156,"&gt;"&amp;I154)+1)</f>
        <v/>
      </c>
      <c r="K154" s="27">
        <f>IF(I154="","",IF(IF(COUNT('설정'!$C$6:$F$6)=0,AND(G154&lt;&gt;"",H154&lt;&gt;""),OR(AND('설정'!$C$6&lt;&gt;"",G154&lt;&gt;"",N(G154)&gt;='설정'!$C$6),AND('설정'!$D$6&lt;&gt;"",AND(G154&lt;&gt;"",H154&lt;&gt;""),(N(G154)+N(H154))&gt;='설정'!$D$6),AND('설정'!$E$6&lt;&gt;"",OR(AND(G154&lt;&gt;"",N(G154)&lt;='설정'!$E$6),AND(H154&lt;&gt;"",N(H154)&lt;='설정'!$E$6))),AND('설정'!$F$6&lt;&gt;"",AND(G154&lt;&gt;"",H154&lt;&gt;""),(N(G154)+N(H154))&lt;='설정'!$F$6))),'설정'!$B$6,IF(IF(COUNT('설정'!$C$7:$F$7)=0,AND(G154&lt;&gt;"",H154&lt;&gt;""),OR(AND('설정'!$C$7&lt;&gt;"",G154&lt;&gt;"",N(G154)&gt;='설정'!$C$7),AND('설정'!$D$7&lt;&gt;"",AND(G154&lt;&gt;"",H154&lt;&gt;""),(N(G154)+N(H154))&gt;='설정'!$D$7),AND('설정'!$E$7&lt;&gt;"",OR(AND(G154&lt;&gt;"",N(G154)&lt;='설정'!$E$7),AND(H154&lt;&gt;"",N(H154)&lt;='설정'!$E$7))),AND('설정'!$F$7&lt;&gt;"",AND(G154&lt;&gt;"",H154&lt;&gt;""),(N(G154)+N(H154))&lt;='설정'!$F$7))),'설정'!$B$7,IF(IF(COUNT('설정'!$C$8:$F$8)=0,AND(G154&lt;&gt;"",H154&lt;&gt;""),OR(AND('설정'!$C$8&lt;&gt;"",G154&lt;&gt;"",N(G154)&gt;='설정'!$C$8),AND('설정'!$D$8&lt;&gt;"",AND(G154&lt;&gt;"",H154&lt;&gt;""),(N(G154)+N(H154))&gt;='설정'!$D$8),AND('설정'!$E$8&lt;&gt;"",OR(AND(G154&lt;&gt;"",N(G154)&lt;='설정'!$E$8),AND(H154&lt;&gt;"",N(H154)&lt;='설정'!$E$8))),AND('설정'!$F$8&lt;&gt;"",AND(G154&lt;&gt;"",H154&lt;&gt;""),(N(G154)+N(H154))&lt;='설정'!$F$8))),'설정'!$B$8,'설정'!$B$9))))</f>
        <v/>
      </c>
      <c r="L154" s="29">
        <f>IF(OR(G154="",H154=""),"",IF(SUMPRODUCT(ISNUMBER('설정'!$C$6:$C$8)*(ABS(G154-'설정'!$C$6:$C$8)&lt;='설정'!$C$15))+SUMPRODUCT(ISNUMBER('설정'!$D$6:$D$8)*(ABS((G154+H154)-'설정'!$D$6:$D$8)&lt;='설정'!$C$15))+SUMPRODUCT(ISNUMBER('설정'!$F$6:$F$8)*(ABS((G154+H154)-'설정'!$F$6:$F$8)&lt;='설정'!$C$15))+SUMPRODUCT(ISNUMBER('설정'!$E$6:$E$8)*(ABS(G154-'설정'!$E$6:$E$8)&lt;='설정'!$C$15))+SUMPRODUCT(ISNUMBER('설정'!$E$6:$E$8)*(ABS(H154-'설정'!$E$6:$E$8)&lt;='설정'!$C$15))&gt;0,"경계",""))</f>
        <v/>
      </c>
      <c r="M154" s="7" t="n"/>
      <c r="N154" s="7" t="n"/>
      <c r="O154" s="27">
        <f>IF(M154&lt;&gt;"",M154,K154)</f>
        <v/>
      </c>
      <c r="P154" s="30">
        <f>IF(I154="","",IF(G154="","공수1 미응시",IF(H154="","공수2 미응시","")))</f>
        <v/>
      </c>
      <c r="Q154" s="10">
        <f>IF(J154="","",J154+ROW()/100000)</f>
        <v/>
      </c>
    </row>
    <row r="155">
      <c r="A155" s="5" t="n">
        <v>149</v>
      </c>
      <c r="B155" s="10">
        <f>IF('학생명단'!B155="","",'학생명단'!B155)</f>
        <v/>
      </c>
      <c r="C155" s="10">
        <f>IF('학생명단'!C155="","",'학생명단'!C155)</f>
        <v/>
      </c>
      <c r="D155" s="10">
        <f>IF('학생명단'!D155="","",'학생명단'!D155)</f>
        <v/>
      </c>
      <c r="E155" s="10">
        <f>IF('학생명단'!E155="","",'학생명단'!E155)</f>
        <v/>
      </c>
      <c r="F155" s="11">
        <f>IF('학생명단'!F155="","",'학생명단'!F155)</f>
        <v/>
      </c>
      <c r="G155" s="10">
        <f>'공수1'!Y155</f>
        <v/>
      </c>
      <c r="H155" s="10">
        <f>'공수2'!Y155</f>
        <v/>
      </c>
      <c r="I155" s="28">
        <f>IF(AND(G155="",H155=""),"",N(G155)*'설정'!$C$13+N(H155)*'설정'!$C$14)</f>
        <v/>
      </c>
      <c r="J155" s="10">
        <f>IF(I155="","",COUNTIF($I$7:$I$156,"&gt;"&amp;I155)+1)</f>
        <v/>
      </c>
      <c r="K155" s="27">
        <f>IF(I155="","",IF(IF(COUNT('설정'!$C$6:$F$6)=0,AND(G155&lt;&gt;"",H155&lt;&gt;""),OR(AND('설정'!$C$6&lt;&gt;"",G155&lt;&gt;"",N(G155)&gt;='설정'!$C$6),AND('설정'!$D$6&lt;&gt;"",AND(G155&lt;&gt;"",H155&lt;&gt;""),(N(G155)+N(H155))&gt;='설정'!$D$6),AND('설정'!$E$6&lt;&gt;"",OR(AND(G155&lt;&gt;"",N(G155)&lt;='설정'!$E$6),AND(H155&lt;&gt;"",N(H155)&lt;='설정'!$E$6))),AND('설정'!$F$6&lt;&gt;"",AND(G155&lt;&gt;"",H155&lt;&gt;""),(N(G155)+N(H155))&lt;='설정'!$F$6))),'설정'!$B$6,IF(IF(COUNT('설정'!$C$7:$F$7)=0,AND(G155&lt;&gt;"",H155&lt;&gt;""),OR(AND('설정'!$C$7&lt;&gt;"",G155&lt;&gt;"",N(G155)&gt;='설정'!$C$7),AND('설정'!$D$7&lt;&gt;"",AND(G155&lt;&gt;"",H155&lt;&gt;""),(N(G155)+N(H155))&gt;='설정'!$D$7),AND('설정'!$E$7&lt;&gt;"",OR(AND(G155&lt;&gt;"",N(G155)&lt;='설정'!$E$7),AND(H155&lt;&gt;"",N(H155)&lt;='설정'!$E$7))),AND('설정'!$F$7&lt;&gt;"",AND(G155&lt;&gt;"",H155&lt;&gt;""),(N(G155)+N(H155))&lt;='설정'!$F$7))),'설정'!$B$7,IF(IF(COUNT('설정'!$C$8:$F$8)=0,AND(G155&lt;&gt;"",H155&lt;&gt;""),OR(AND('설정'!$C$8&lt;&gt;"",G155&lt;&gt;"",N(G155)&gt;='설정'!$C$8),AND('설정'!$D$8&lt;&gt;"",AND(G155&lt;&gt;"",H155&lt;&gt;""),(N(G155)+N(H155))&gt;='설정'!$D$8),AND('설정'!$E$8&lt;&gt;"",OR(AND(G155&lt;&gt;"",N(G155)&lt;='설정'!$E$8),AND(H155&lt;&gt;"",N(H155)&lt;='설정'!$E$8))),AND('설정'!$F$8&lt;&gt;"",AND(G155&lt;&gt;"",H155&lt;&gt;""),(N(G155)+N(H155))&lt;='설정'!$F$8))),'설정'!$B$8,'설정'!$B$9))))</f>
        <v/>
      </c>
      <c r="L155" s="29">
        <f>IF(OR(G155="",H155=""),"",IF(SUMPRODUCT(ISNUMBER('설정'!$C$6:$C$8)*(ABS(G155-'설정'!$C$6:$C$8)&lt;='설정'!$C$15))+SUMPRODUCT(ISNUMBER('설정'!$D$6:$D$8)*(ABS((G155+H155)-'설정'!$D$6:$D$8)&lt;='설정'!$C$15))+SUMPRODUCT(ISNUMBER('설정'!$F$6:$F$8)*(ABS((G155+H155)-'설정'!$F$6:$F$8)&lt;='설정'!$C$15))+SUMPRODUCT(ISNUMBER('설정'!$E$6:$E$8)*(ABS(G155-'설정'!$E$6:$E$8)&lt;='설정'!$C$15))+SUMPRODUCT(ISNUMBER('설정'!$E$6:$E$8)*(ABS(H155-'설정'!$E$6:$E$8)&lt;='설정'!$C$15))&gt;0,"경계",""))</f>
        <v/>
      </c>
      <c r="M155" s="7" t="n"/>
      <c r="N155" s="7" t="n"/>
      <c r="O155" s="27">
        <f>IF(M155&lt;&gt;"",M155,K155)</f>
        <v/>
      </c>
      <c r="P155" s="30">
        <f>IF(I155="","",IF(G155="","공수1 미응시",IF(H155="","공수2 미응시","")))</f>
        <v/>
      </c>
      <c r="Q155" s="10">
        <f>IF(J155="","",J155+ROW()/100000)</f>
        <v/>
      </c>
    </row>
    <row r="156">
      <c r="A156" s="5" t="n">
        <v>150</v>
      </c>
      <c r="B156" s="10">
        <f>IF('학생명단'!B156="","",'학생명단'!B156)</f>
        <v/>
      </c>
      <c r="C156" s="10">
        <f>IF('학생명단'!C156="","",'학생명단'!C156)</f>
        <v/>
      </c>
      <c r="D156" s="10">
        <f>IF('학생명단'!D156="","",'학생명단'!D156)</f>
        <v/>
      </c>
      <c r="E156" s="10">
        <f>IF('학생명단'!E156="","",'학생명단'!E156)</f>
        <v/>
      </c>
      <c r="F156" s="11">
        <f>IF('학생명단'!F156="","",'학생명단'!F156)</f>
        <v/>
      </c>
      <c r="G156" s="10">
        <f>'공수1'!Y156</f>
        <v/>
      </c>
      <c r="H156" s="10">
        <f>'공수2'!Y156</f>
        <v/>
      </c>
      <c r="I156" s="28">
        <f>IF(AND(G156="",H156=""),"",N(G156)*'설정'!$C$13+N(H156)*'설정'!$C$14)</f>
        <v/>
      </c>
      <c r="J156" s="10">
        <f>IF(I156="","",COUNTIF($I$7:$I$156,"&gt;"&amp;I156)+1)</f>
        <v/>
      </c>
      <c r="K156" s="27">
        <f>IF(I156="","",IF(IF(COUNT('설정'!$C$6:$F$6)=0,AND(G156&lt;&gt;"",H156&lt;&gt;""),OR(AND('설정'!$C$6&lt;&gt;"",G156&lt;&gt;"",N(G156)&gt;='설정'!$C$6),AND('설정'!$D$6&lt;&gt;"",AND(G156&lt;&gt;"",H156&lt;&gt;""),(N(G156)+N(H156))&gt;='설정'!$D$6),AND('설정'!$E$6&lt;&gt;"",OR(AND(G156&lt;&gt;"",N(G156)&lt;='설정'!$E$6),AND(H156&lt;&gt;"",N(H156)&lt;='설정'!$E$6))),AND('설정'!$F$6&lt;&gt;"",AND(G156&lt;&gt;"",H156&lt;&gt;""),(N(G156)+N(H156))&lt;='설정'!$F$6))),'설정'!$B$6,IF(IF(COUNT('설정'!$C$7:$F$7)=0,AND(G156&lt;&gt;"",H156&lt;&gt;""),OR(AND('설정'!$C$7&lt;&gt;"",G156&lt;&gt;"",N(G156)&gt;='설정'!$C$7),AND('설정'!$D$7&lt;&gt;"",AND(G156&lt;&gt;"",H156&lt;&gt;""),(N(G156)+N(H156))&gt;='설정'!$D$7),AND('설정'!$E$7&lt;&gt;"",OR(AND(G156&lt;&gt;"",N(G156)&lt;='설정'!$E$7),AND(H156&lt;&gt;"",N(H156)&lt;='설정'!$E$7))),AND('설정'!$F$7&lt;&gt;"",AND(G156&lt;&gt;"",H156&lt;&gt;""),(N(G156)+N(H156))&lt;='설정'!$F$7))),'설정'!$B$7,IF(IF(COUNT('설정'!$C$8:$F$8)=0,AND(G156&lt;&gt;"",H156&lt;&gt;""),OR(AND('설정'!$C$8&lt;&gt;"",G156&lt;&gt;"",N(G156)&gt;='설정'!$C$8),AND('설정'!$D$8&lt;&gt;"",AND(G156&lt;&gt;"",H156&lt;&gt;""),(N(G156)+N(H156))&gt;='설정'!$D$8),AND('설정'!$E$8&lt;&gt;"",OR(AND(G156&lt;&gt;"",N(G156)&lt;='설정'!$E$8),AND(H156&lt;&gt;"",N(H156)&lt;='설정'!$E$8))),AND('설정'!$F$8&lt;&gt;"",AND(G156&lt;&gt;"",H156&lt;&gt;""),(N(G156)+N(H156))&lt;='설정'!$F$8))),'설정'!$B$8,'설정'!$B$9))))</f>
        <v/>
      </c>
      <c r="L156" s="29">
        <f>IF(OR(G156="",H156=""),"",IF(SUMPRODUCT(ISNUMBER('설정'!$C$6:$C$8)*(ABS(G156-'설정'!$C$6:$C$8)&lt;='설정'!$C$15))+SUMPRODUCT(ISNUMBER('설정'!$D$6:$D$8)*(ABS((G156+H156)-'설정'!$D$6:$D$8)&lt;='설정'!$C$15))+SUMPRODUCT(ISNUMBER('설정'!$F$6:$F$8)*(ABS((G156+H156)-'설정'!$F$6:$F$8)&lt;='설정'!$C$15))+SUMPRODUCT(ISNUMBER('설정'!$E$6:$E$8)*(ABS(G156-'설정'!$E$6:$E$8)&lt;='설정'!$C$15))+SUMPRODUCT(ISNUMBER('설정'!$E$6:$E$8)*(ABS(H156-'설정'!$E$6:$E$8)&lt;='설정'!$C$15))&gt;0,"경계",""))</f>
        <v/>
      </c>
      <c r="M156" s="7" t="n"/>
      <c r="N156" s="7" t="n"/>
      <c r="O156" s="27">
        <f>IF(M156&lt;&gt;"",M156,K156)</f>
        <v/>
      </c>
      <c r="P156" s="30">
        <f>IF(I156="","",IF(G156="","공수1 미응시",IF(H156="","공수2 미응시","")))</f>
        <v/>
      </c>
      <c r="Q156" s="10">
        <f>IF(J156="","",J156+ROW()/100000)</f>
        <v/>
      </c>
    </row>
  </sheetData>
  <mergeCells count="3">
    <mergeCell ref="A2:Y2"/>
    <mergeCell ref="S13:Y18"/>
    <mergeCell ref="A1:Y1"/>
  </mergeCells>
  <conditionalFormatting sqref="A7:P156">
    <cfRule type="expression" priority="1" dxfId="2">
      <formula>$L7="경계"</formula>
    </cfRule>
  </conditionalFormatting>
  <conditionalFormatting sqref="K7:K156">
    <cfRule type="expression" priority="2" dxfId="3">
      <formula>AND($K7&lt;&gt;"",$K7='설정'!$B$6)</formula>
    </cfRule>
    <cfRule type="expression" priority="3" dxfId="4">
      <formula>AND($K7&lt;&gt;"",$K7='설정'!$B$7)</formula>
    </cfRule>
    <cfRule type="expression" priority="4" dxfId="5">
      <formula>AND($K7&lt;&gt;"",$K7='설정'!$B$8)</formula>
    </cfRule>
    <cfRule type="expression" priority="5" dxfId="6">
      <formula>AND($K7&lt;&gt;"",$K7='설정'!$B$9)</formula>
    </cfRule>
  </conditionalFormatting>
  <conditionalFormatting sqref="O7:O156">
    <cfRule type="expression" priority="6" dxfId="3">
      <formula>AND($O7&lt;&gt;"",$O7='설정'!$B$6)</formula>
    </cfRule>
    <cfRule type="expression" priority="7" dxfId="4">
      <formula>AND($O7&lt;&gt;"",$O7='설정'!$B$7)</formula>
    </cfRule>
    <cfRule type="expression" priority="8" dxfId="5">
      <formula>AND($O7&lt;&gt;"",$O7='설정'!$B$8)</formula>
    </cfRule>
    <cfRule type="expression" priority="9" dxfId="6">
      <formula>AND($O7&lt;&gt;"",$O7='설정'!$B$9)</formula>
    </cfRule>
  </conditionalFormatting>
  <dataValidations count="2">
    <dataValidation sqref="M7:M156" showDropDown="0" showInputMessage="0" showErrorMessage="0" allowBlank="1" type="list">
      <formula1>='설정'!$A$55:$A$60</formula1>
    </dataValidation>
    <dataValidation sqref="N7:N156" showDropDown="0" showInputMessage="0" showErrorMessage="0" allowBlank="1" type="list">
      <formula1>='설정'!$A$64:$A$69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7" customWidth="1" min="4" max="4"/>
    <col width="9" customWidth="1" min="5" max="5"/>
    <col width="7" customWidth="1" min="6" max="6"/>
    <col width="7" customWidth="1" min="7" max="7"/>
    <col width="9" customWidth="1" min="8" max="8"/>
    <col width="10" customWidth="1" min="9" max="9"/>
    <col width="10" customWidth="1" min="10" max="10"/>
    <col width="6" customWidth="1" min="11" max="11"/>
    <col width="13" customWidth="1" min="12" max="12"/>
    <col hidden="1" width="13" customWidth="1" min="13" max="13"/>
    <col hidden="1" width="13" customWidth="1" min="14" max="14"/>
  </cols>
  <sheetData>
    <row r="1" ht="26" customHeight="1">
      <c r="A1" s="1" t="inlineStr">
        <is>
          <t>석차순 명단 (참고·상담용)</t>
        </is>
      </c>
    </row>
    <row r="2" ht="30" customHeight="1">
      <c r="A2" s="2" t="inlineStr">
        <is>
          <t>자동 정렬됩니다. 반 배정은 절대평가이며 석차는 참고용입니다.</t>
        </is>
      </c>
    </row>
    <row r="6">
      <c r="A6" s="4" t="inlineStr">
        <is>
          <t>석차</t>
        </is>
      </c>
      <c r="B6" s="4" t="inlineStr">
        <is>
          <t>이름</t>
        </is>
      </c>
      <c r="C6" s="4" t="inlineStr">
        <is>
          <t>학교</t>
        </is>
      </c>
      <c r="D6" s="4" t="inlineStr">
        <is>
          <t>구분</t>
        </is>
      </c>
      <c r="E6" s="4" t="inlineStr">
        <is>
          <t>기존 반</t>
        </is>
      </c>
      <c r="F6" s="4" t="inlineStr">
        <is>
          <t>공수1</t>
        </is>
      </c>
      <c r="G6" s="4" t="inlineStr">
        <is>
          <t>공수2</t>
        </is>
      </c>
      <c r="H6" s="4" t="inlineStr">
        <is>
          <t>환산총점</t>
        </is>
      </c>
      <c r="I6" s="4" t="inlineStr">
        <is>
          <t>공통수학반</t>
        </is>
      </c>
      <c r="J6" s="4" t="inlineStr">
        <is>
          <t>선행반</t>
        </is>
      </c>
      <c r="K6" s="4" t="inlineStr">
        <is>
          <t>경계</t>
        </is>
      </c>
      <c r="L6" s="4" t="inlineStr">
        <is>
          <t>비고</t>
        </is>
      </c>
    </row>
    <row r="7">
      <c r="A7" s="10">
        <f>IF($N7="","",INDEX('반배정'!J$7:J$156,$N7))</f>
        <v/>
      </c>
      <c r="B7" s="10">
        <f>IF($N7="","",INDEX('반배정'!B$7:B$156,$N7))</f>
        <v/>
      </c>
      <c r="C7" s="10">
        <f>IF($N7="","",INDEX('반배정'!C$7:C$156,$N7))</f>
        <v/>
      </c>
      <c r="D7" s="10">
        <f>IF($N7="","",INDEX('반배정'!D$7:D$156,$N7))</f>
        <v/>
      </c>
      <c r="E7" s="10">
        <f>IF($N7="","",INDEX('반배정'!E$7:E$156,$N7))</f>
        <v/>
      </c>
      <c r="F7" s="10">
        <f>IF($N7="","",INDEX('반배정'!G$7:G$156,$N7))</f>
        <v/>
      </c>
      <c r="G7" s="10">
        <f>IF($N7="","",INDEX('반배정'!H$7:H$156,$N7))</f>
        <v/>
      </c>
      <c r="H7" s="37">
        <f>IF($N7="","",INDEX('반배정'!I$7:I$156,$N7))</f>
        <v/>
      </c>
      <c r="I7" s="27">
        <f>IF($N7="","",INDEX('반배정'!O$7:O$156,$N7))</f>
        <v/>
      </c>
      <c r="J7" s="10">
        <f>IF($N7="","",INDEX('반배정'!N$7:N$156,$N7)&amp;"")</f>
        <v/>
      </c>
      <c r="K7" s="10">
        <f>IF($N7="","",INDEX('반배정'!L$7:L$156,$N7))</f>
        <v/>
      </c>
      <c r="L7" s="10">
        <f>IF($N7="","",INDEX('반배정'!P$7:P$156,$N7))</f>
        <v/>
      </c>
      <c r="M7" s="10">
        <f>IFERROR(SMALL('반배정'!$Q$7:$Q$156,1),"")</f>
        <v/>
      </c>
      <c r="N7" s="10">
        <f>IF(M7="","",MATCH(M7,'반배정'!$Q$7:$Q$156,0))</f>
        <v/>
      </c>
    </row>
    <row r="8">
      <c r="A8" s="10">
        <f>IF($N8="","",INDEX('반배정'!J$7:J$156,$N8))</f>
        <v/>
      </c>
      <c r="B8" s="10">
        <f>IF($N8="","",INDEX('반배정'!B$7:B$156,$N8))</f>
        <v/>
      </c>
      <c r="C8" s="10">
        <f>IF($N8="","",INDEX('반배정'!C$7:C$156,$N8))</f>
        <v/>
      </c>
      <c r="D8" s="10">
        <f>IF($N8="","",INDEX('반배정'!D$7:D$156,$N8))</f>
        <v/>
      </c>
      <c r="E8" s="10">
        <f>IF($N8="","",INDEX('반배정'!E$7:E$156,$N8))</f>
        <v/>
      </c>
      <c r="F8" s="10">
        <f>IF($N8="","",INDEX('반배정'!G$7:G$156,$N8))</f>
        <v/>
      </c>
      <c r="G8" s="10">
        <f>IF($N8="","",INDEX('반배정'!H$7:H$156,$N8))</f>
        <v/>
      </c>
      <c r="H8" s="37">
        <f>IF($N8="","",INDEX('반배정'!I$7:I$156,$N8))</f>
        <v/>
      </c>
      <c r="I8" s="27">
        <f>IF($N8="","",INDEX('반배정'!O$7:O$156,$N8))</f>
        <v/>
      </c>
      <c r="J8" s="10">
        <f>IF($N8="","",INDEX('반배정'!N$7:N$156,$N8)&amp;"")</f>
        <v/>
      </c>
      <c r="K8" s="10">
        <f>IF($N8="","",INDEX('반배정'!L$7:L$156,$N8))</f>
        <v/>
      </c>
      <c r="L8" s="10">
        <f>IF($N8="","",INDEX('반배정'!P$7:P$156,$N8))</f>
        <v/>
      </c>
      <c r="M8" s="10">
        <f>IFERROR(SMALL('반배정'!$Q$7:$Q$156,2),"")</f>
        <v/>
      </c>
      <c r="N8" s="10">
        <f>IF(M8="","",MATCH(M8,'반배정'!$Q$7:$Q$156,0))</f>
        <v/>
      </c>
    </row>
    <row r="9">
      <c r="A9" s="10">
        <f>IF($N9="","",INDEX('반배정'!J$7:J$156,$N9))</f>
        <v/>
      </c>
      <c r="B9" s="10">
        <f>IF($N9="","",INDEX('반배정'!B$7:B$156,$N9))</f>
        <v/>
      </c>
      <c r="C9" s="10">
        <f>IF($N9="","",INDEX('반배정'!C$7:C$156,$N9))</f>
        <v/>
      </c>
      <c r="D9" s="10">
        <f>IF($N9="","",INDEX('반배정'!D$7:D$156,$N9))</f>
        <v/>
      </c>
      <c r="E9" s="10">
        <f>IF($N9="","",INDEX('반배정'!E$7:E$156,$N9))</f>
        <v/>
      </c>
      <c r="F9" s="10">
        <f>IF($N9="","",INDEX('반배정'!G$7:G$156,$N9))</f>
        <v/>
      </c>
      <c r="G9" s="10">
        <f>IF($N9="","",INDEX('반배정'!H$7:H$156,$N9))</f>
        <v/>
      </c>
      <c r="H9" s="37">
        <f>IF($N9="","",INDEX('반배정'!I$7:I$156,$N9))</f>
        <v/>
      </c>
      <c r="I9" s="27">
        <f>IF($N9="","",INDEX('반배정'!O$7:O$156,$N9))</f>
        <v/>
      </c>
      <c r="J9" s="10">
        <f>IF($N9="","",INDEX('반배정'!N$7:N$156,$N9)&amp;"")</f>
        <v/>
      </c>
      <c r="K9" s="10">
        <f>IF($N9="","",INDEX('반배정'!L$7:L$156,$N9))</f>
        <v/>
      </c>
      <c r="L9" s="10">
        <f>IF($N9="","",INDEX('반배정'!P$7:P$156,$N9))</f>
        <v/>
      </c>
      <c r="M9" s="10">
        <f>IFERROR(SMALL('반배정'!$Q$7:$Q$156,3),"")</f>
        <v/>
      </c>
      <c r="N9" s="10">
        <f>IF(M9="","",MATCH(M9,'반배정'!$Q$7:$Q$156,0))</f>
        <v/>
      </c>
    </row>
    <row r="10">
      <c r="A10" s="10">
        <f>IF($N10="","",INDEX('반배정'!J$7:J$156,$N10))</f>
        <v/>
      </c>
      <c r="B10" s="10">
        <f>IF($N10="","",INDEX('반배정'!B$7:B$156,$N10))</f>
        <v/>
      </c>
      <c r="C10" s="10">
        <f>IF($N10="","",INDEX('반배정'!C$7:C$156,$N10))</f>
        <v/>
      </c>
      <c r="D10" s="10">
        <f>IF($N10="","",INDEX('반배정'!D$7:D$156,$N10))</f>
        <v/>
      </c>
      <c r="E10" s="10">
        <f>IF($N10="","",INDEX('반배정'!E$7:E$156,$N10))</f>
        <v/>
      </c>
      <c r="F10" s="10">
        <f>IF($N10="","",INDEX('반배정'!G$7:G$156,$N10))</f>
        <v/>
      </c>
      <c r="G10" s="10">
        <f>IF($N10="","",INDEX('반배정'!H$7:H$156,$N10))</f>
        <v/>
      </c>
      <c r="H10" s="37">
        <f>IF($N10="","",INDEX('반배정'!I$7:I$156,$N10))</f>
        <v/>
      </c>
      <c r="I10" s="27">
        <f>IF($N10="","",INDEX('반배정'!O$7:O$156,$N10))</f>
        <v/>
      </c>
      <c r="J10" s="10">
        <f>IF($N10="","",INDEX('반배정'!N$7:N$156,$N10)&amp;"")</f>
        <v/>
      </c>
      <c r="K10" s="10">
        <f>IF($N10="","",INDEX('반배정'!L$7:L$156,$N10))</f>
        <v/>
      </c>
      <c r="L10" s="10">
        <f>IF($N10="","",INDEX('반배정'!P$7:P$156,$N10))</f>
        <v/>
      </c>
      <c r="M10" s="10">
        <f>IFERROR(SMALL('반배정'!$Q$7:$Q$156,4),"")</f>
        <v/>
      </c>
      <c r="N10" s="10">
        <f>IF(M10="","",MATCH(M10,'반배정'!$Q$7:$Q$156,0))</f>
        <v/>
      </c>
    </row>
    <row r="11">
      <c r="A11" s="10">
        <f>IF($N11="","",INDEX('반배정'!J$7:J$156,$N11))</f>
        <v/>
      </c>
      <c r="B11" s="10">
        <f>IF($N11="","",INDEX('반배정'!B$7:B$156,$N11))</f>
        <v/>
      </c>
      <c r="C11" s="10">
        <f>IF($N11="","",INDEX('반배정'!C$7:C$156,$N11))</f>
        <v/>
      </c>
      <c r="D11" s="10">
        <f>IF($N11="","",INDEX('반배정'!D$7:D$156,$N11))</f>
        <v/>
      </c>
      <c r="E11" s="10">
        <f>IF($N11="","",INDEX('반배정'!E$7:E$156,$N11))</f>
        <v/>
      </c>
      <c r="F11" s="10">
        <f>IF($N11="","",INDEX('반배정'!G$7:G$156,$N11))</f>
        <v/>
      </c>
      <c r="G11" s="10">
        <f>IF($N11="","",INDEX('반배정'!H$7:H$156,$N11))</f>
        <v/>
      </c>
      <c r="H11" s="37">
        <f>IF($N11="","",INDEX('반배정'!I$7:I$156,$N11))</f>
        <v/>
      </c>
      <c r="I11" s="27">
        <f>IF($N11="","",INDEX('반배정'!O$7:O$156,$N11))</f>
        <v/>
      </c>
      <c r="J11" s="10">
        <f>IF($N11="","",INDEX('반배정'!N$7:N$156,$N11)&amp;"")</f>
        <v/>
      </c>
      <c r="K11" s="10">
        <f>IF($N11="","",INDEX('반배정'!L$7:L$156,$N11))</f>
        <v/>
      </c>
      <c r="L11" s="10">
        <f>IF($N11="","",INDEX('반배정'!P$7:P$156,$N11))</f>
        <v/>
      </c>
      <c r="M11" s="10">
        <f>IFERROR(SMALL('반배정'!$Q$7:$Q$156,5),"")</f>
        <v/>
      </c>
      <c r="N11" s="10">
        <f>IF(M11="","",MATCH(M11,'반배정'!$Q$7:$Q$156,0))</f>
        <v/>
      </c>
    </row>
    <row r="12">
      <c r="A12" s="10">
        <f>IF($N12="","",INDEX('반배정'!J$7:J$156,$N12))</f>
        <v/>
      </c>
      <c r="B12" s="10">
        <f>IF($N12="","",INDEX('반배정'!B$7:B$156,$N12))</f>
        <v/>
      </c>
      <c r="C12" s="10">
        <f>IF($N12="","",INDEX('반배정'!C$7:C$156,$N12))</f>
        <v/>
      </c>
      <c r="D12" s="10">
        <f>IF($N12="","",INDEX('반배정'!D$7:D$156,$N12))</f>
        <v/>
      </c>
      <c r="E12" s="10">
        <f>IF($N12="","",INDEX('반배정'!E$7:E$156,$N12))</f>
        <v/>
      </c>
      <c r="F12" s="10">
        <f>IF($N12="","",INDEX('반배정'!G$7:G$156,$N12))</f>
        <v/>
      </c>
      <c r="G12" s="10">
        <f>IF($N12="","",INDEX('반배정'!H$7:H$156,$N12))</f>
        <v/>
      </c>
      <c r="H12" s="37">
        <f>IF($N12="","",INDEX('반배정'!I$7:I$156,$N12))</f>
        <v/>
      </c>
      <c r="I12" s="27">
        <f>IF($N12="","",INDEX('반배정'!O$7:O$156,$N12))</f>
        <v/>
      </c>
      <c r="J12" s="10">
        <f>IF($N12="","",INDEX('반배정'!N$7:N$156,$N12)&amp;"")</f>
        <v/>
      </c>
      <c r="K12" s="10">
        <f>IF($N12="","",INDEX('반배정'!L$7:L$156,$N12))</f>
        <v/>
      </c>
      <c r="L12" s="10">
        <f>IF($N12="","",INDEX('반배정'!P$7:P$156,$N12))</f>
        <v/>
      </c>
      <c r="M12" s="10">
        <f>IFERROR(SMALL('반배정'!$Q$7:$Q$156,6),"")</f>
        <v/>
      </c>
      <c r="N12" s="10">
        <f>IF(M12="","",MATCH(M12,'반배정'!$Q$7:$Q$156,0))</f>
        <v/>
      </c>
    </row>
    <row r="13">
      <c r="A13" s="10">
        <f>IF($N13="","",INDEX('반배정'!J$7:J$156,$N13))</f>
        <v/>
      </c>
      <c r="B13" s="10">
        <f>IF($N13="","",INDEX('반배정'!B$7:B$156,$N13))</f>
        <v/>
      </c>
      <c r="C13" s="10">
        <f>IF($N13="","",INDEX('반배정'!C$7:C$156,$N13))</f>
        <v/>
      </c>
      <c r="D13" s="10">
        <f>IF($N13="","",INDEX('반배정'!D$7:D$156,$N13))</f>
        <v/>
      </c>
      <c r="E13" s="10">
        <f>IF($N13="","",INDEX('반배정'!E$7:E$156,$N13))</f>
        <v/>
      </c>
      <c r="F13" s="10">
        <f>IF($N13="","",INDEX('반배정'!G$7:G$156,$N13))</f>
        <v/>
      </c>
      <c r="G13" s="10">
        <f>IF($N13="","",INDEX('반배정'!H$7:H$156,$N13))</f>
        <v/>
      </c>
      <c r="H13" s="37">
        <f>IF($N13="","",INDEX('반배정'!I$7:I$156,$N13))</f>
        <v/>
      </c>
      <c r="I13" s="27">
        <f>IF($N13="","",INDEX('반배정'!O$7:O$156,$N13))</f>
        <v/>
      </c>
      <c r="J13" s="10">
        <f>IF($N13="","",INDEX('반배정'!N$7:N$156,$N13)&amp;"")</f>
        <v/>
      </c>
      <c r="K13" s="10">
        <f>IF($N13="","",INDEX('반배정'!L$7:L$156,$N13))</f>
        <v/>
      </c>
      <c r="L13" s="10">
        <f>IF($N13="","",INDEX('반배정'!P$7:P$156,$N13))</f>
        <v/>
      </c>
      <c r="M13" s="10">
        <f>IFERROR(SMALL('반배정'!$Q$7:$Q$156,7),"")</f>
        <v/>
      </c>
      <c r="N13" s="10">
        <f>IF(M13="","",MATCH(M13,'반배정'!$Q$7:$Q$156,0))</f>
        <v/>
      </c>
    </row>
    <row r="14">
      <c r="A14" s="10">
        <f>IF($N14="","",INDEX('반배정'!J$7:J$156,$N14))</f>
        <v/>
      </c>
      <c r="B14" s="10">
        <f>IF($N14="","",INDEX('반배정'!B$7:B$156,$N14))</f>
        <v/>
      </c>
      <c r="C14" s="10">
        <f>IF($N14="","",INDEX('반배정'!C$7:C$156,$N14))</f>
        <v/>
      </c>
      <c r="D14" s="10">
        <f>IF($N14="","",INDEX('반배정'!D$7:D$156,$N14))</f>
        <v/>
      </c>
      <c r="E14" s="10">
        <f>IF($N14="","",INDEX('반배정'!E$7:E$156,$N14))</f>
        <v/>
      </c>
      <c r="F14" s="10">
        <f>IF($N14="","",INDEX('반배정'!G$7:G$156,$N14))</f>
        <v/>
      </c>
      <c r="G14" s="10">
        <f>IF($N14="","",INDEX('반배정'!H$7:H$156,$N14))</f>
        <v/>
      </c>
      <c r="H14" s="37">
        <f>IF($N14="","",INDEX('반배정'!I$7:I$156,$N14))</f>
        <v/>
      </c>
      <c r="I14" s="27">
        <f>IF($N14="","",INDEX('반배정'!O$7:O$156,$N14))</f>
        <v/>
      </c>
      <c r="J14" s="10">
        <f>IF($N14="","",INDEX('반배정'!N$7:N$156,$N14)&amp;"")</f>
        <v/>
      </c>
      <c r="K14" s="10">
        <f>IF($N14="","",INDEX('반배정'!L$7:L$156,$N14))</f>
        <v/>
      </c>
      <c r="L14" s="10">
        <f>IF($N14="","",INDEX('반배정'!P$7:P$156,$N14))</f>
        <v/>
      </c>
      <c r="M14" s="10">
        <f>IFERROR(SMALL('반배정'!$Q$7:$Q$156,8),"")</f>
        <v/>
      </c>
      <c r="N14" s="10">
        <f>IF(M14="","",MATCH(M14,'반배정'!$Q$7:$Q$156,0))</f>
        <v/>
      </c>
    </row>
    <row r="15">
      <c r="A15" s="10">
        <f>IF($N15="","",INDEX('반배정'!J$7:J$156,$N15))</f>
        <v/>
      </c>
      <c r="B15" s="10">
        <f>IF($N15="","",INDEX('반배정'!B$7:B$156,$N15))</f>
        <v/>
      </c>
      <c r="C15" s="10">
        <f>IF($N15="","",INDEX('반배정'!C$7:C$156,$N15))</f>
        <v/>
      </c>
      <c r="D15" s="10">
        <f>IF($N15="","",INDEX('반배정'!D$7:D$156,$N15))</f>
        <v/>
      </c>
      <c r="E15" s="10">
        <f>IF($N15="","",INDEX('반배정'!E$7:E$156,$N15))</f>
        <v/>
      </c>
      <c r="F15" s="10">
        <f>IF($N15="","",INDEX('반배정'!G$7:G$156,$N15))</f>
        <v/>
      </c>
      <c r="G15" s="10">
        <f>IF($N15="","",INDEX('반배정'!H$7:H$156,$N15))</f>
        <v/>
      </c>
      <c r="H15" s="37">
        <f>IF($N15="","",INDEX('반배정'!I$7:I$156,$N15))</f>
        <v/>
      </c>
      <c r="I15" s="27">
        <f>IF($N15="","",INDEX('반배정'!O$7:O$156,$N15))</f>
        <v/>
      </c>
      <c r="J15" s="10">
        <f>IF($N15="","",INDEX('반배정'!N$7:N$156,$N15)&amp;"")</f>
        <v/>
      </c>
      <c r="K15" s="10">
        <f>IF($N15="","",INDEX('반배정'!L$7:L$156,$N15))</f>
        <v/>
      </c>
      <c r="L15" s="10">
        <f>IF($N15="","",INDEX('반배정'!P$7:P$156,$N15))</f>
        <v/>
      </c>
      <c r="M15" s="10">
        <f>IFERROR(SMALL('반배정'!$Q$7:$Q$156,9),"")</f>
        <v/>
      </c>
      <c r="N15" s="10">
        <f>IF(M15="","",MATCH(M15,'반배정'!$Q$7:$Q$156,0))</f>
        <v/>
      </c>
    </row>
    <row r="16">
      <c r="A16" s="10">
        <f>IF($N16="","",INDEX('반배정'!J$7:J$156,$N16))</f>
        <v/>
      </c>
      <c r="B16" s="10">
        <f>IF($N16="","",INDEX('반배정'!B$7:B$156,$N16))</f>
        <v/>
      </c>
      <c r="C16" s="10">
        <f>IF($N16="","",INDEX('반배정'!C$7:C$156,$N16))</f>
        <v/>
      </c>
      <c r="D16" s="10">
        <f>IF($N16="","",INDEX('반배정'!D$7:D$156,$N16))</f>
        <v/>
      </c>
      <c r="E16" s="10">
        <f>IF($N16="","",INDEX('반배정'!E$7:E$156,$N16))</f>
        <v/>
      </c>
      <c r="F16" s="10">
        <f>IF($N16="","",INDEX('반배정'!G$7:G$156,$N16))</f>
        <v/>
      </c>
      <c r="G16" s="10">
        <f>IF($N16="","",INDEX('반배정'!H$7:H$156,$N16))</f>
        <v/>
      </c>
      <c r="H16" s="37">
        <f>IF($N16="","",INDEX('반배정'!I$7:I$156,$N16))</f>
        <v/>
      </c>
      <c r="I16" s="27">
        <f>IF($N16="","",INDEX('반배정'!O$7:O$156,$N16))</f>
        <v/>
      </c>
      <c r="J16" s="10">
        <f>IF($N16="","",INDEX('반배정'!N$7:N$156,$N16)&amp;"")</f>
        <v/>
      </c>
      <c r="K16" s="10">
        <f>IF($N16="","",INDEX('반배정'!L$7:L$156,$N16))</f>
        <v/>
      </c>
      <c r="L16" s="10">
        <f>IF($N16="","",INDEX('반배정'!P$7:P$156,$N16))</f>
        <v/>
      </c>
      <c r="M16" s="10">
        <f>IFERROR(SMALL('반배정'!$Q$7:$Q$156,10),"")</f>
        <v/>
      </c>
      <c r="N16" s="10">
        <f>IF(M16="","",MATCH(M16,'반배정'!$Q$7:$Q$156,0))</f>
        <v/>
      </c>
    </row>
    <row r="17">
      <c r="A17" s="10">
        <f>IF($N17="","",INDEX('반배정'!J$7:J$156,$N17))</f>
        <v/>
      </c>
      <c r="B17" s="10">
        <f>IF($N17="","",INDEX('반배정'!B$7:B$156,$N17))</f>
        <v/>
      </c>
      <c r="C17" s="10">
        <f>IF($N17="","",INDEX('반배정'!C$7:C$156,$N17))</f>
        <v/>
      </c>
      <c r="D17" s="10">
        <f>IF($N17="","",INDEX('반배정'!D$7:D$156,$N17))</f>
        <v/>
      </c>
      <c r="E17" s="10">
        <f>IF($N17="","",INDEX('반배정'!E$7:E$156,$N17))</f>
        <v/>
      </c>
      <c r="F17" s="10">
        <f>IF($N17="","",INDEX('반배정'!G$7:G$156,$N17))</f>
        <v/>
      </c>
      <c r="G17" s="10">
        <f>IF($N17="","",INDEX('반배정'!H$7:H$156,$N17))</f>
        <v/>
      </c>
      <c r="H17" s="37">
        <f>IF($N17="","",INDEX('반배정'!I$7:I$156,$N17))</f>
        <v/>
      </c>
      <c r="I17" s="27">
        <f>IF($N17="","",INDEX('반배정'!O$7:O$156,$N17))</f>
        <v/>
      </c>
      <c r="J17" s="10">
        <f>IF($N17="","",INDEX('반배정'!N$7:N$156,$N17)&amp;"")</f>
        <v/>
      </c>
      <c r="K17" s="10">
        <f>IF($N17="","",INDEX('반배정'!L$7:L$156,$N17))</f>
        <v/>
      </c>
      <c r="L17" s="10">
        <f>IF($N17="","",INDEX('반배정'!P$7:P$156,$N17))</f>
        <v/>
      </c>
      <c r="M17" s="10">
        <f>IFERROR(SMALL('반배정'!$Q$7:$Q$156,11),"")</f>
        <v/>
      </c>
      <c r="N17" s="10">
        <f>IF(M17="","",MATCH(M17,'반배정'!$Q$7:$Q$156,0))</f>
        <v/>
      </c>
    </row>
    <row r="18">
      <c r="A18" s="10">
        <f>IF($N18="","",INDEX('반배정'!J$7:J$156,$N18))</f>
        <v/>
      </c>
      <c r="B18" s="10">
        <f>IF($N18="","",INDEX('반배정'!B$7:B$156,$N18))</f>
        <v/>
      </c>
      <c r="C18" s="10">
        <f>IF($N18="","",INDEX('반배정'!C$7:C$156,$N18))</f>
        <v/>
      </c>
      <c r="D18" s="10">
        <f>IF($N18="","",INDEX('반배정'!D$7:D$156,$N18))</f>
        <v/>
      </c>
      <c r="E18" s="10">
        <f>IF($N18="","",INDEX('반배정'!E$7:E$156,$N18))</f>
        <v/>
      </c>
      <c r="F18" s="10">
        <f>IF($N18="","",INDEX('반배정'!G$7:G$156,$N18))</f>
        <v/>
      </c>
      <c r="G18" s="10">
        <f>IF($N18="","",INDEX('반배정'!H$7:H$156,$N18))</f>
        <v/>
      </c>
      <c r="H18" s="37">
        <f>IF($N18="","",INDEX('반배정'!I$7:I$156,$N18))</f>
        <v/>
      </c>
      <c r="I18" s="27">
        <f>IF($N18="","",INDEX('반배정'!O$7:O$156,$N18))</f>
        <v/>
      </c>
      <c r="J18" s="10">
        <f>IF($N18="","",INDEX('반배정'!N$7:N$156,$N18)&amp;"")</f>
        <v/>
      </c>
      <c r="K18" s="10">
        <f>IF($N18="","",INDEX('반배정'!L$7:L$156,$N18))</f>
        <v/>
      </c>
      <c r="L18" s="10">
        <f>IF($N18="","",INDEX('반배정'!P$7:P$156,$N18))</f>
        <v/>
      </c>
      <c r="M18" s="10">
        <f>IFERROR(SMALL('반배정'!$Q$7:$Q$156,12),"")</f>
        <v/>
      </c>
      <c r="N18" s="10">
        <f>IF(M18="","",MATCH(M18,'반배정'!$Q$7:$Q$156,0))</f>
        <v/>
      </c>
    </row>
    <row r="19">
      <c r="A19" s="10">
        <f>IF($N19="","",INDEX('반배정'!J$7:J$156,$N19))</f>
        <v/>
      </c>
      <c r="B19" s="10">
        <f>IF($N19="","",INDEX('반배정'!B$7:B$156,$N19))</f>
        <v/>
      </c>
      <c r="C19" s="10">
        <f>IF($N19="","",INDEX('반배정'!C$7:C$156,$N19))</f>
        <v/>
      </c>
      <c r="D19" s="10">
        <f>IF($N19="","",INDEX('반배정'!D$7:D$156,$N19))</f>
        <v/>
      </c>
      <c r="E19" s="10">
        <f>IF($N19="","",INDEX('반배정'!E$7:E$156,$N19))</f>
        <v/>
      </c>
      <c r="F19" s="10">
        <f>IF($N19="","",INDEX('반배정'!G$7:G$156,$N19))</f>
        <v/>
      </c>
      <c r="G19" s="10">
        <f>IF($N19="","",INDEX('반배정'!H$7:H$156,$N19))</f>
        <v/>
      </c>
      <c r="H19" s="37">
        <f>IF($N19="","",INDEX('반배정'!I$7:I$156,$N19))</f>
        <v/>
      </c>
      <c r="I19" s="27">
        <f>IF($N19="","",INDEX('반배정'!O$7:O$156,$N19))</f>
        <v/>
      </c>
      <c r="J19" s="10">
        <f>IF($N19="","",INDEX('반배정'!N$7:N$156,$N19)&amp;"")</f>
        <v/>
      </c>
      <c r="K19" s="10">
        <f>IF($N19="","",INDEX('반배정'!L$7:L$156,$N19))</f>
        <v/>
      </c>
      <c r="L19" s="10">
        <f>IF($N19="","",INDEX('반배정'!P$7:P$156,$N19))</f>
        <v/>
      </c>
      <c r="M19" s="10">
        <f>IFERROR(SMALL('반배정'!$Q$7:$Q$156,13),"")</f>
        <v/>
      </c>
      <c r="N19" s="10">
        <f>IF(M19="","",MATCH(M19,'반배정'!$Q$7:$Q$156,0))</f>
        <v/>
      </c>
    </row>
    <row r="20">
      <c r="A20" s="10">
        <f>IF($N20="","",INDEX('반배정'!J$7:J$156,$N20))</f>
        <v/>
      </c>
      <c r="B20" s="10">
        <f>IF($N20="","",INDEX('반배정'!B$7:B$156,$N20))</f>
        <v/>
      </c>
      <c r="C20" s="10">
        <f>IF($N20="","",INDEX('반배정'!C$7:C$156,$N20))</f>
        <v/>
      </c>
      <c r="D20" s="10">
        <f>IF($N20="","",INDEX('반배정'!D$7:D$156,$N20))</f>
        <v/>
      </c>
      <c r="E20" s="10">
        <f>IF($N20="","",INDEX('반배정'!E$7:E$156,$N20))</f>
        <v/>
      </c>
      <c r="F20" s="10">
        <f>IF($N20="","",INDEX('반배정'!G$7:G$156,$N20))</f>
        <v/>
      </c>
      <c r="G20" s="10">
        <f>IF($N20="","",INDEX('반배정'!H$7:H$156,$N20))</f>
        <v/>
      </c>
      <c r="H20" s="37">
        <f>IF($N20="","",INDEX('반배정'!I$7:I$156,$N20))</f>
        <v/>
      </c>
      <c r="I20" s="27">
        <f>IF($N20="","",INDEX('반배정'!O$7:O$156,$N20))</f>
        <v/>
      </c>
      <c r="J20" s="10">
        <f>IF($N20="","",INDEX('반배정'!N$7:N$156,$N20)&amp;"")</f>
        <v/>
      </c>
      <c r="K20" s="10">
        <f>IF($N20="","",INDEX('반배정'!L$7:L$156,$N20))</f>
        <v/>
      </c>
      <c r="L20" s="10">
        <f>IF($N20="","",INDEX('반배정'!P$7:P$156,$N20))</f>
        <v/>
      </c>
      <c r="M20" s="10">
        <f>IFERROR(SMALL('반배정'!$Q$7:$Q$156,14),"")</f>
        <v/>
      </c>
      <c r="N20" s="10">
        <f>IF(M20="","",MATCH(M20,'반배정'!$Q$7:$Q$156,0))</f>
        <v/>
      </c>
    </row>
    <row r="21">
      <c r="A21" s="10">
        <f>IF($N21="","",INDEX('반배정'!J$7:J$156,$N21))</f>
        <v/>
      </c>
      <c r="B21" s="10">
        <f>IF($N21="","",INDEX('반배정'!B$7:B$156,$N21))</f>
        <v/>
      </c>
      <c r="C21" s="10">
        <f>IF($N21="","",INDEX('반배정'!C$7:C$156,$N21))</f>
        <v/>
      </c>
      <c r="D21" s="10">
        <f>IF($N21="","",INDEX('반배정'!D$7:D$156,$N21))</f>
        <v/>
      </c>
      <c r="E21" s="10">
        <f>IF($N21="","",INDEX('반배정'!E$7:E$156,$N21))</f>
        <v/>
      </c>
      <c r="F21" s="10">
        <f>IF($N21="","",INDEX('반배정'!G$7:G$156,$N21))</f>
        <v/>
      </c>
      <c r="G21" s="10">
        <f>IF($N21="","",INDEX('반배정'!H$7:H$156,$N21))</f>
        <v/>
      </c>
      <c r="H21" s="37">
        <f>IF($N21="","",INDEX('반배정'!I$7:I$156,$N21))</f>
        <v/>
      </c>
      <c r="I21" s="27">
        <f>IF($N21="","",INDEX('반배정'!O$7:O$156,$N21))</f>
        <v/>
      </c>
      <c r="J21" s="10">
        <f>IF($N21="","",INDEX('반배정'!N$7:N$156,$N21)&amp;"")</f>
        <v/>
      </c>
      <c r="K21" s="10">
        <f>IF($N21="","",INDEX('반배정'!L$7:L$156,$N21))</f>
        <v/>
      </c>
      <c r="L21" s="10">
        <f>IF($N21="","",INDEX('반배정'!P$7:P$156,$N21))</f>
        <v/>
      </c>
      <c r="M21" s="10">
        <f>IFERROR(SMALL('반배정'!$Q$7:$Q$156,15),"")</f>
        <v/>
      </c>
      <c r="N21" s="10">
        <f>IF(M21="","",MATCH(M21,'반배정'!$Q$7:$Q$156,0))</f>
        <v/>
      </c>
    </row>
    <row r="22">
      <c r="A22" s="10">
        <f>IF($N22="","",INDEX('반배정'!J$7:J$156,$N22))</f>
        <v/>
      </c>
      <c r="B22" s="10">
        <f>IF($N22="","",INDEX('반배정'!B$7:B$156,$N22))</f>
        <v/>
      </c>
      <c r="C22" s="10">
        <f>IF($N22="","",INDEX('반배정'!C$7:C$156,$N22))</f>
        <v/>
      </c>
      <c r="D22" s="10">
        <f>IF($N22="","",INDEX('반배정'!D$7:D$156,$N22))</f>
        <v/>
      </c>
      <c r="E22" s="10">
        <f>IF($N22="","",INDEX('반배정'!E$7:E$156,$N22))</f>
        <v/>
      </c>
      <c r="F22" s="10">
        <f>IF($N22="","",INDEX('반배정'!G$7:G$156,$N22))</f>
        <v/>
      </c>
      <c r="G22" s="10">
        <f>IF($N22="","",INDEX('반배정'!H$7:H$156,$N22))</f>
        <v/>
      </c>
      <c r="H22" s="37">
        <f>IF($N22="","",INDEX('반배정'!I$7:I$156,$N22))</f>
        <v/>
      </c>
      <c r="I22" s="27">
        <f>IF($N22="","",INDEX('반배정'!O$7:O$156,$N22))</f>
        <v/>
      </c>
      <c r="J22" s="10">
        <f>IF($N22="","",INDEX('반배정'!N$7:N$156,$N22)&amp;"")</f>
        <v/>
      </c>
      <c r="K22" s="10">
        <f>IF($N22="","",INDEX('반배정'!L$7:L$156,$N22))</f>
        <v/>
      </c>
      <c r="L22" s="10">
        <f>IF($N22="","",INDEX('반배정'!P$7:P$156,$N22))</f>
        <v/>
      </c>
      <c r="M22" s="10">
        <f>IFERROR(SMALL('반배정'!$Q$7:$Q$156,16),"")</f>
        <v/>
      </c>
      <c r="N22" s="10">
        <f>IF(M22="","",MATCH(M22,'반배정'!$Q$7:$Q$156,0))</f>
        <v/>
      </c>
    </row>
    <row r="23">
      <c r="A23" s="10">
        <f>IF($N23="","",INDEX('반배정'!J$7:J$156,$N23))</f>
        <v/>
      </c>
      <c r="B23" s="10">
        <f>IF($N23="","",INDEX('반배정'!B$7:B$156,$N23))</f>
        <v/>
      </c>
      <c r="C23" s="10">
        <f>IF($N23="","",INDEX('반배정'!C$7:C$156,$N23))</f>
        <v/>
      </c>
      <c r="D23" s="10">
        <f>IF($N23="","",INDEX('반배정'!D$7:D$156,$N23))</f>
        <v/>
      </c>
      <c r="E23" s="10">
        <f>IF($N23="","",INDEX('반배정'!E$7:E$156,$N23))</f>
        <v/>
      </c>
      <c r="F23" s="10">
        <f>IF($N23="","",INDEX('반배정'!G$7:G$156,$N23))</f>
        <v/>
      </c>
      <c r="G23" s="10">
        <f>IF($N23="","",INDEX('반배정'!H$7:H$156,$N23))</f>
        <v/>
      </c>
      <c r="H23" s="37">
        <f>IF($N23="","",INDEX('반배정'!I$7:I$156,$N23))</f>
        <v/>
      </c>
      <c r="I23" s="27">
        <f>IF($N23="","",INDEX('반배정'!O$7:O$156,$N23))</f>
        <v/>
      </c>
      <c r="J23" s="10">
        <f>IF($N23="","",INDEX('반배정'!N$7:N$156,$N23)&amp;"")</f>
        <v/>
      </c>
      <c r="K23" s="10">
        <f>IF($N23="","",INDEX('반배정'!L$7:L$156,$N23))</f>
        <v/>
      </c>
      <c r="L23" s="10">
        <f>IF($N23="","",INDEX('반배정'!P$7:P$156,$N23))</f>
        <v/>
      </c>
      <c r="M23" s="10">
        <f>IFERROR(SMALL('반배정'!$Q$7:$Q$156,17),"")</f>
        <v/>
      </c>
      <c r="N23" s="10">
        <f>IF(M23="","",MATCH(M23,'반배정'!$Q$7:$Q$156,0))</f>
        <v/>
      </c>
    </row>
    <row r="24">
      <c r="A24" s="10">
        <f>IF($N24="","",INDEX('반배정'!J$7:J$156,$N24))</f>
        <v/>
      </c>
      <c r="B24" s="10">
        <f>IF($N24="","",INDEX('반배정'!B$7:B$156,$N24))</f>
        <v/>
      </c>
      <c r="C24" s="10">
        <f>IF($N24="","",INDEX('반배정'!C$7:C$156,$N24))</f>
        <v/>
      </c>
      <c r="D24" s="10">
        <f>IF($N24="","",INDEX('반배정'!D$7:D$156,$N24))</f>
        <v/>
      </c>
      <c r="E24" s="10">
        <f>IF($N24="","",INDEX('반배정'!E$7:E$156,$N24))</f>
        <v/>
      </c>
      <c r="F24" s="10">
        <f>IF($N24="","",INDEX('반배정'!G$7:G$156,$N24))</f>
        <v/>
      </c>
      <c r="G24" s="10">
        <f>IF($N24="","",INDEX('반배정'!H$7:H$156,$N24))</f>
        <v/>
      </c>
      <c r="H24" s="37">
        <f>IF($N24="","",INDEX('반배정'!I$7:I$156,$N24))</f>
        <v/>
      </c>
      <c r="I24" s="27">
        <f>IF($N24="","",INDEX('반배정'!O$7:O$156,$N24))</f>
        <v/>
      </c>
      <c r="J24" s="10">
        <f>IF($N24="","",INDEX('반배정'!N$7:N$156,$N24)&amp;"")</f>
        <v/>
      </c>
      <c r="K24" s="10">
        <f>IF($N24="","",INDEX('반배정'!L$7:L$156,$N24))</f>
        <v/>
      </c>
      <c r="L24" s="10">
        <f>IF($N24="","",INDEX('반배정'!P$7:P$156,$N24))</f>
        <v/>
      </c>
      <c r="M24" s="10">
        <f>IFERROR(SMALL('반배정'!$Q$7:$Q$156,18),"")</f>
        <v/>
      </c>
      <c r="N24" s="10">
        <f>IF(M24="","",MATCH(M24,'반배정'!$Q$7:$Q$156,0))</f>
        <v/>
      </c>
    </row>
    <row r="25">
      <c r="A25" s="10">
        <f>IF($N25="","",INDEX('반배정'!J$7:J$156,$N25))</f>
        <v/>
      </c>
      <c r="B25" s="10">
        <f>IF($N25="","",INDEX('반배정'!B$7:B$156,$N25))</f>
        <v/>
      </c>
      <c r="C25" s="10">
        <f>IF($N25="","",INDEX('반배정'!C$7:C$156,$N25))</f>
        <v/>
      </c>
      <c r="D25" s="10">
        <f>IF($N25="","",INDEX('반배정'!D$7:D$156,$N25))</f>
        <v/>
      </c>
      <c r="E25" s="10">
        <f>IF($N25="","",INDEX('반배정'!E$7:E$156,$N25))</f>
        <v/>
      </c>
      <c r="F25" s="10">
        <f>IF($N25="","",INDEX('반배정'!G$7:G$156,$N25))</f>
        <v/>
      </c>
      <c r="G25" s="10">
        <f>IF($N25="","",INDEX('반배정'!H$7:H$156,$N25))</f>
        <v/>
      </c>
      <c r="H25" s="37">
        <f>IF($N25="","",INDEX('반배정'!I$7:I$156,$N25))</f>
        <v/>
      </c>
      <c r="I25" s="27">
        <f>IF($N25="","",INDEX('반배정'!O$7:O$156,$N25))</f>
        <v/>
      </c>
      <c r="J25" s="10">
        <f>IF($N25="","",INDEX('반배정'!N$7:N$156,$N25)&amp;"")</f>
        <v/>
      </c>
      <c r="K25" s="10">
        <f>IF($N25="","",INDEX('반배정'!L$7:L$156,$N25))</f>
        <v/>
      </c>
      <c r="L25" s="10">
        <f>IF($N25="","",INDEX('반배정'!P$7:P$156,$N25))</f>
        <v/>
      </c>
      <c r="M25" s="10">
        <f>IFERROR(SMALL('반배정'!$Q$7:$Q$156,19),"")</f>
        <v/>
      </c>
      <c r="N25" s="10">
        <f>IF(M25="","",MATCH(M25,'반배정'!$Q$7:$Q$156,0))</f>
        <v/>
      </c>
    </row>
    <row r="26">
      <c r="A26" s="10">
        <f>IF($N26="","",INDEX('반배정'!J$7:J$156,$N26))</f>
        <v/>
      </c>
      <c r="B26" s="10">
        <f>IF($N26="","",INDEX('반배정'!B$7:B$156,$N26))</f>
        <v/>
      </c>
      <c r="C26" s="10">
        <f>IF($N26="","",INDEX('반배정'!C$7:C$156,$N26))</f>
        <v/>
      </c>
      <c r="D26" s="10">
        <f>IF($N26="","",INDEX('반배정'!D$7:D$156,$N26))</f>
        <v/>
      </c>
      <c r="E26" s="10">
        <f>IF($N26="","",INDEX('반배정'!E$7:E$156,$N26))</f>
        <v/>
      </c>
      <c r="F26" s="10">
        <f>IF($N26="","",INDEX('반배정'!G$7:G$156,$N26))</f>
        <v/>
      </c>
      <c r="G26" s="10">
        <f>IF($N26="","",INDEX('반배정'!H$7:H$156,$N26))</f>
        <v/>
      </c>
      <c r="H26" s="37">
        <f>IF($N26="","",INDEX('반배정'!I$7:I$156,$N26))</f>
        <v/>
      </c>
      <c r="I26" s="27">
        <f>IF($N26="","",INDEX('반배정'!O$7:O$156,$N26))</f>
        <v/>
      </c>
      <c r="J26" s="10">
        <f>IF($N26="","",INDEX('반배정'!N$7:N$156,$N26)&amp;"")</f>
        <v/>
      </c>
      <c r="K26" s="10">
        <f>IF($N26="","",INDEX('반배정'!L$7:L$156,$N26))</f>
        <v/>
      </c>
      <c r="L26" s="10">
        <f>IF($N26="","",INDEX('반배정'!P$7:P$156,$N26))</f>
        <v/>
      </c>
      <c r="M26" s="10">
        <f>IFERROR(SMALL('반배정'!$Q$7:$Q$156,20),"")</f>
        <v/>
      </c>
      <c r="N26" s="10">
        <f>IF(M26="","",MATCH(M26,'반배정'!$Q$7:$Q$156,0))</f>
        <v/>
      </c>
    </row>
    <row r="27">
      <c r="A27" s="10">
        <f>IF($N27="","",INDEX('반배정'!J$7:J$156,$N27))</f>
        <v/>
      </c>
      <c r="B27" s="10">
        <f>IF($N27="","",INDEX('반배정'!B$7:B$156,$N27))</f>
        <v/>
      </c>
      <c r="C27" s="10">
        <f>IF($N27="","",INDEX('반배정'!C$7:C$156,$N27))</f>
        <v/>
      </c>
      <c r="D27" s="10">
        <f>IF($N27="","",INDEX('반배정'!D$7:D$156,$N27))</f>
        <v/>
      </c>
      <c r="E27" s="10">
        <f>IF($N27="","",INDEX('반배정'!E$7:E$156,$N27))</f>
        <v/>
      </c>
      <c r="F27" s="10">
        <f>IF($N27="","",INDEX('반배정'!G$7:G$156,$N27))</f>
        <v/>
      </c>
      <c r="G27" s="10">
        <f>IF($N27="","",INDEX('반배정'!H$7:H$156,$N27))</f>
        <v/>
      </c>
      <c r="H27" s="37">
        <f>IF($N27="","",INDEX('반배정'!I$7:I$156,$N27))</f>
        <v/>
      </c>
      <c r="I27" s="27">
        <f>IF($N27="","",INDEX('반배정'!O$7:O$156,$N27))</f>
        <v/>
      </c>
      <c r="J27" s="10">
        <f>IF($N27="","",INDEX('반배정'!N$7:N$156,$N27)&amp;"")</f>
        <v/>
      </c>
      <c r="K27" s="10">
        <f>IF($N27="","",INDEX('반배정'!L$7:L$156,$N27))</f>
        <v/>
      </c>
      <c r="L27" s="10">
        <f>IF($N27="","",INDEX('반배정'!P$7:P$156,$N27))</f>
        <v/>
      </c>
      <c r="M27" s="10">
        <f>IFERROR(SMALL('반배정'!$Q$7:$Q$156,21),"")</f>
        <v/>
      </c>
      <c r="N27" s="10">
        <f>IF(M27="","",MATCH(M27,'반배정'!$Q$7:$Q$156,0))</f>
        <v/>
      </c>
    </row>
    <row r="28">
      <c r="A28" s="10">
        <f>IF($N28="","",INDEX('반배정'!J$7:J$156,$N28))</f>
        <v/>
      </c>
      <c r="B28" s="10">
        <f>IF($N28="","",INDEX('반배정'!B$7:B$156,$N28))</f>
        <v/>
      </c>
      <c r="C28" s="10">
        <f>IF($N28="","",INDEX('반배정'!C$7:C$156,$N28))</f>
        <v/>
      </c>
      <c r="D28" s="10">
        <f>IF($N28="","",INDEX('반배정'!D$7:D$156,$N28))</f>
        <v/>
      </c>
      <c r="E28" s="10">
        <f>IF($N28="","",INDEX('반배정'!E$7:E$156,$N28))</f>
        <v/>
      </c>
      <c r="F28" s="10">
        <f>IF($N28="","",INDEX('반배정'!G$7:G$156,$N28))</f>
        <v/>
      </c>
      <c r="G28" s="10">
        <f>IF($N28="","",INDEX('반배정'!H$7:H$156,$N28))</f>
        <v/>
      </c>
      <c r="H28" s="37">
        <f>IF($N28="","",INDEX('반배정'!I$7:I$156,$N28))</f>
        <v/>
      </c>
      <c r="I28" s="27">
        <f>IF($N28="","",INDEX('반배정'!O$7:O$156,$N28))</f>
        <v/>
      </c>
      <c r="J28" s="10">
        <f>IF($N28="","",INDEX('반배정'!N$7:N$156,$N28)&amp;"")</f>
        <v/>
      </c>
      <c r="K28" s="10">
        <f>IF($N28="","",INDEX('반배정'!L$7:L$156,$N28))</f>
        <v/>
      </c>
      <c r="L28" s="10">
        <f>IF($N28="","",INDEX('반배정'!P$7:P$156,$N28))</f>
        <v/>
      </c>
      <c r="M28" s="10">
        <f>IFERROR(SMALL('반배정'!$Q$7:$Q$156,22),"")</f>
        <v/>
      </c>
      <c r="N28" s="10">
        <f>IF(M28="","",MATCH(M28,'반배정'!$Q$7:$Q$156,0))</f>
        <v/>
      </c>
    </row>
    <row r="29">
      <c r="A29" s="10">
        <f>IF($N29="","",INDEX('반배정'!J$7:J$156,$N29))</f>
        <v/>
      </c>
      <c r="B29" s="10">
        <f>IF($N29="","",INDEX('반배정'!B$7:B$156,$N29))</f>
        <v/>
      </c>
      <c r="C29" s="10">
        <f>IF($N29="","",INDEX('반배정'!C$7:C$156,$N29))</f>
        <v/>
      </c>
      <c r="D29" s="10">
        <f>IF($N29="","",INDEX('반배정'!D$7:D$156,$N29))</f>
        <v/>
      </c>
      <c r="E29" s="10">
        <f>IF($N29="","",INDEX('반배정'!E$7:E$156,$N29))</f>
        <v/>
      </c>
      <c r="F29" s="10">
        <f>IF($N29="","",INDEX('반배정'!G$7:G$156,$N29))</f>
        <v/>
      </c>
      <c r="G29" s="10">
        <f>IF($N29="","",INDEX('반배정'!H$7:H$156,$N29))</f>
        <v/>
      </c>
      <c r="H29" s="37">
        <f>IF($N29="","",INDEX('반배정'!I$7:I$156,$N29))</f>
        <v/>
      </c>
      <c r="I29" s="27">
        <f>IF($N29="","",INDEX('반배정'!O$7:O$156,$N29))</f>
        <v/>
      </c>
      <c r="J29" s="10">
        <f>IF($N29="","",INDEX('반배정'!N$7:N$156,$N29)&amp;"")</f>
        <v/>
      </c>
      <c r="K29" s="10">
        <f>IF($N29="","",INDEX('반배정'!L$7:L$156,$N29))</f>
        <v/>
      </c>
      <c r="L29" s="10">
        <f>IF($N29="","",INDEX('반배정'!P$7:P$156,$N29))</f>
        <v/>
      </c>
      <c r="M29" s="10">
        <f>IFERROR(SMALL('반배정'!$Q$7:$Q$156,23),"")</f>
        <v/>
      </c>
      <c r="N29" s="10">
        <f>IF(M29="","",MATCH(M29,'반배정'!$Q$7:$Q$156,0))</f>
        <v/>
      </c>
    </row>
    <row r="30">
      <c r="A30" s="10">
        <f>IF($N30="","",INDEX('반배정'!J$7:J$156,$N30))</f>
        <v/>
      </c>
      <c r="B30" s="10">
        <f>IF($N30="","",INDEX('반배정'!B$7:B$156,$N30))</f>
        <v/>
      </c>
      <c r="C30" s="10">
        <f>IF($N30="","",INDEX('반배정'!C$7:C$156,$N30))</f>
        <v/>
      </c>
      <c r="D30" s="10">
        <f>IF($N30="","",INDEX('반배정'!D$7:D$156,$N30))</f>
        <v/>
      </c>
      <c r="E30" s="10">
        <f>IF($N30="","",INDEX('반배정'!E$7:E$156,$N30))</f>
        <v/>
      </c>
      <c r="F30" s="10">
        <f>IF($N30="","",INDEX('반배정'!G$7:G$156,$N30))</f>
        <v/>
      </c>
      <c r="G30" s="10">
        <f>IF($N30="","",INDEX('반배정'!H$7:H$156,$N30))</f>
        <v/>
      </c>
      <c r="H30" s="37">
        <f>IF($N30="","",INDEX('반배정'!I$7:I$156,$N30))</f>
        <v/>
      </c>
      <c r="I30" s="27">
        <f>IF($N30="","",INDEX('반배정'!O$7:O$156,$N30))</f>
        <v/>
      </c>
      <c r="J30" s="10">
        <f>IF($N30="","",INDEX('반배정'!N$7:N$156,$N30)&amp;"")</f>
        <v/>
      </c>
      <c r="K30" s="10">
        <f>IF($N30="","",INDEX('반배정'!L$7:L$156,$N30))</f>
        <v/>
      </c>
      <c r="L30" s="10">
        <f>IF($N30="","",INDEX('반배정'!P$7:P$156,$N30))</f>
        <v/>
      </c>
      <c r="M30" s="10">
        <f>IFERROR(SMALL('반배정'!$Q$7:$Q$156,24),"")</f>
        <v/>
      </c>
      <c r="N30" s="10">
        <f>IF(M30="","",MATCH(M30,'반배정'!$Q$7:$Q$156,0))</f>
        <v/>
      </c>
    </row>
    <row r="31">
      <c r="A31" s="10">
        <f>IF($N31="","",INDEX('반배정'!J$7:J$156,$N31))</f>
        <v/>
      </c>
      <c r="B31" s="10">
        <f>IF($N31="","",INDEX('반배정'!B$7:B$156,$N31))</f>
        <v/>
      </c>
      <c r="C31" s="10">
        <f>IF($N31="","",INDEX('반배정'!C$7:C$156,$N31))</f>
        <v/>
      </c>
      <c r="D31" s="10">
        <f>IF($N31="","",INDEX('반배정'!D$7:D$156,$N31))</f>
        <v/>
      </c>
      <c r="E31" s="10">
        <f>IF($N31="","",INDEX('반배정'!E$7:E$156,$N31))</f>
        <v/>
      </c>
      <c r="F31" s="10">
        <f>IF($N31="","",INDEX('반배정'!G$7:G$156,$N31))</f>
        <v/>
      </c>
      <c r="G31" s="10">
        <f>IF($N31="","",INDEX('반배정'!H$7:H$156,$N31))</f>
        <v/>
      </c>
      <c r="H31" s="37">
        <f>IF($N31="","",INDEX('반배정'!I$7:I$156,$N31))</f>
        <v/>
      </c>
      <c r="I31" s="27">
        <f>IF($N31="","",INDEX('반배정'!O$7:O$156,$N31))</f>
        <v/>
      </c>
      <c r="J31" s="10">
        <f>IF($N31="","",INDEX('반배정'!N$7:N$156,$N31)&amp;"")</f>
        <v/>
      </c>
      <c r="K31" s="10">
        <f>IF($N31="","",INDEX('반배정'!L$7:L$156,$N31))</f>
        <v/>
      </c>
      <c r="L31" s="10">
        <f>IF($N31="","",INDEX('반배정'!P$7:P$156,$N31))</f>
        <v/>
      </c>
      <c r="M31" s="10">
        <f>IFERROR(SMALL('반배정'!$Q$7:$Q$156,25),"")</f>
        <v/>
      </c>
      <c r="N31" s="10">
        <f>IF(M31="","",MATCH(M31,'반배정'!$Q$7:$Q$156,0))</f>
        <v/>
      </c>
    </row>
    <row r="32">
      <c r="A32" s="10">
        <f>IF($N32="","",INDEX('반배정'!J$7:J$156,$N32))</f>
        <v/>
      </c>
      <c r="B32" s="10">
        <f>IF($N32="","",INDEX('반배정'!B$7:B$156,$N32))</f>
        <v/>
      </c>
      <c r="C32" s="10">
        <f>IF($N32="","",INDEX('반배정'!C$7:C$156,$N32))</f>
        <v/>
      </c>
      <c r="D32" s="10">
        <f>IF($N32="","",INDEX('반배정'!D$7:D$156,$N32))</f>
        <v/>
      </c>
      <c r="E32" s="10">
        <f>IF($N32="","",INDEX('반배정'!E$7:E$156,$N32))</f>
        <v/>
      </c>
      <c r="F32" s="10">
        <f>IF($N32="","",INDEX('반배정'!G$7:G$156,$N32))</f>
        <v/>
      </c>
      <c r="G32" s="10">
        <f>IF($N32="","",INDEX('반배정'!H$7:H$156,$N32))</f>
        <v/>
      </c>
      <c r="H32" s="37">
        <f>IF($N32="","",INDEX('반배정'!I$7:I$156,$N32))</f>
        <v/>
      </c>
      <c r="I32" s="27">
        <f>IF($N32="","",INDEX('반배정'!O$7:O$156,$N32))</f>
        <v/>
      </c>
      <c r="J32" s="10">
        <f>IF($N32="","",INDEX('반배정'!N$7:N$156,$N32)&amp;"")</f>
        <v/>
      </c>
      <c r="K32" s="10">
        <f>IF($N32="","",INDEX('반배정'!L$7:L$156,$N32))</f>
        <v/>
      </c>
      <c r="L32" s="10">
        <f>IF($N32="","",INDEX('반배정'!P$7:P$156,$N32))</f>
        <v/>
      </c>
      <c r="M32" s="10">
        <f>IFERROR(SMALL('반배정'!$Q$7:$Q$156,26),"")</f>
        <v/>
      </c>
      <c r="N32" s="10">
        <f>IF(M32="","",MATCH(M32,'반배정'!$Q$7:$Q$156,0))</f>
        <v/>
      </c>
    </row>
    <row r="33">
      <c r="A33" s="10">
        <f>IF($N33="","",INDEX('반배정'!J$7:J$156,$N33))</f>
        <v/>
      </c>
      <c r="B33" s="10">
        <f>IF($N33="","",INDEX('반배정'!B$7:B$156,$N33))</f>
        <v/>
      </c>
      <c r="C33" s="10">
        <f>IF($N33="","",INDEX('반배정'!C$7:C$156,$N33))</f>
        <v/>
      </c>
      <c r="D33" s="10">
        <f>IF($N33="","",INDEX('반배정'!D$7:D$156,$N33))</f>
        <v/>
      </c>
      <c r="E33" s="10">
        <f>IF($N33="","",INDEX('반배정'!E$7:E$156,$N33))</f>
        <v/>
      </c>
      <c r="F33" s="10">
        <f>IF($N33="","",INDEX('반배정'!G$7:G$156,$N33))</f>
        <v/>
      </c>
      <c r="G33" s="10">
        <f>IF($N33="","",INDEX('반배정'!H$7:H$156,$N33))</f>
        <v/>
      </c>
      <c r="H33" s="37">
        <f>IF($N33="","",INDEX('반배정'!I$7:I$156,$N33))</f>
        <v/>
      </c>
      <c r="I33" s="27">
        <f>IF($N33="","",INDEX('반배정'!O$7:O$156,$N33))</f>
        <v/>
      </c>
      <c r="J33" s="10">
        <f>IF($N33="","",INDEX('반배정'!N$7:N$156,$N33)&amp;"")</f>
        <v/>
      </c>
      <c r="K33" s="10">
        <f>IF($N33="","",INDEX('반배정'!L$7:L$156,$N33))</f>
        <v/>
      </c>
      <c r="L33" s="10">
        <f>IF($N33="","",INDEX('반배정'!P$7:P$156,$N33))</f>
        <v/>
      </c>
      <c r="M33" s="10">
        <f>IFERROR(SMALL('반배정'!$Q$7:$Q$156,27),"")</f>
        <v/>
      </c>
      <c r="N33" s="10">
        <f>IF(M33="","",MATCH(M33,'반배정'!$Q$7:$Q$156,0))</f>
        <v/>
      </c>
    </row>
    <row r="34">
      <c r="A34" s="10">
        <f>IF($N34="","",INDEX('반배정'!J$7:J$156,$N34))</f>
        <v/>
      </c>
      <c r="B34" s="10">
        <f>IF($N34="","",INDEX('반배정'!B$7:B$156,$N34))</f>
        <v/>
      </c>
      <c r="C34" s="10">
        <f>IF($N34="","",INDEX('반배정'!C$7:C$156,$N34))</f>
        <v/>
      </c>
      <c r="D34" s="10">
        <f>IF($N34="","",INDEX('반배정'!D$7:D$156,$N34))</f>
        <v/>
      </c>
      <c r="E34" s="10">
        <f>IF($N34="","",INDEX('반배정'!E$7:E$156,$N34))</f>
        <v/>
      </c>
      <c r="F34" s="10">
        <f>IF($N34="","",INDEX('반배정'!G$7:G$156,$N34))</f>
        <v/>
      </c>
      <c r="G34" s="10">
        <f>IF($N34="","",INDEX('반배정'!H$7:H$156,$N34))</f>
        <v/>
      </c>
      <c r="H34" s="37">
        <f>IF($N34="","",INDEX('반배정'!I$7:I$156,$N34))</f>
        <v/>
      </c>
      <c r="I34" s="27">
        <f>IF($N34="","",INDEX('반배정'!O$7:O$156,$N34))</f>
        <v/>
      </c>
      <c r="J34" s="10">
        <f>IF($N34="","",INDEX('반배정'!N$7:N$156,$N34)&amp;"")</f>
        <v/>
      </c>
      <c r="K34" s="10">
        <f>IF($N34="","",INDEX('반배정'!L$7:L$156,$N34))</f>
        <v/>
      </c>
      <c r="L34" s="10">
        <f>IF($N34="","",INDEX('반배정'!P$7:P$156,$N34))</f>
        <v/>
      </c>
      <c r="M34" s="10">
        <f>IFERROR(SMALL('반배정'!$Q$7:$Q$156,28),"")</f>
        <v/>
      </c>
      <c r="N34" s="10">
        <f>IF(M34="","",MATCH(M34,'반배정'!$Q$7:$Q$156,0))</f>
        <v/>
      </c>
    </row>
    <row r="35">
      <c r="A35" s="10">
        <f>IF($N35="","",INDEX('반배정'!J$7:J$156,$N35))</f>
        <v/>
      </c>
      <c r="B35" s="10">
        <f>IF($N35="","",INDEX('반배정'!B$7:B$156,$N35))</f>
        <v/>
      </c>
      <c r="C35" s="10">
        <f>IF($N35="","",INDEX('반배정'!C$7:C$156,$N35))</f>
        <v/>
      </c>
      <c r="D35" s="10">
        <f>IF($N35="","",INDEX('반배정'!D$7:D$156,$N35))</f>
        <v/>
      </c>
      <c r="E35" s="10">
        <f>IF($N35="","",INDEX('반배정'!E$7:E$156,$N35))</f>
        <v/>
      </c>
      <c r="F35" s="10">
        <f>IF($N35="","",INDEX('반배정'!G$7:G$156,$N35))</f>
        <v/>
      </c>
      <c r="G35" s="10">
        <f>IF($N35="","",INDEX('반배정'!H$7:H$156,$N35))</f>
        <v/>
      </c>
      <c r="H35" s="37">
        <f>IF($N35="","",INDEX('반배정'!I$7:I$156,$N35))</f>
        <v/>
      </c>
      <c r="I35" s="27">
        <f>IF($N35="","",INDEX('반배정'!O$7:O$156,$N35))</f>
        <v/>
      </c>
      <c r="J35" s="10">
        <f>IF($N35="","",INDEX('반배정'!N$7:N$156,$N35)&amp;"")</f>
        <v/>
      </c>
      <c r="K35" s="10">
        <f>IF($N35="","",INDEX('반배정'!L$7:L$156,$N35))</f>
        <v/>
      </c>
      <c r="L35" s="10">
        <f>IF($N35="","",INDEX('반배정'!P$7:P$156,$N35))</f>
        <v/>
      </c>
      <c r="M35" s="10">
        <f>IFERROR(SMALL('반배정'!$Q$7:$Q$156,29),"")</f>
        <v/>
      </c>
      <c r="N35" s="10">
        <f>IF(M35="","",MATCH(M35,'반배정'!$Q$7:$Q$156,0))</f>
        <v/>
      </c>
    </row>
    <row r="36">
      <c r="A36" s="10">
        <f>IF($N36="","",INDEX('반배정'!J$7:J$156,$N36))</f>
        <v/>
      </c>
      <c r="B36" s="10">
        <f>IF($N36="","",INDEX('반배정'!B$7:B$156,$N36))</f>
        <v/>
      </c>
      <c r="C36" s="10">
        <f>IF($N36="","",INDEX('반배정'!C$7:C$156,$N36))</f>
        <v/>
      </c>
      <c r="D36" s="10">
        <f>IF($N36="","",INDEX('반배정'!D$7:D$156,$N36))</f>
        <v/>
      </c>
      <c r="E36" s="10">
        <f>IF($N36="","",INDEX('반배정'!E$7:E$156,$N36))</f>
        <v/>
      </c>
      <c r="F36" s="10">
        <f>IF($N36="","",INDEX('반배정'!G$7:G$156,$N36))</f>
        <v/>
      </c>
      <c r="G36" s="10">
        <f>IF($N36="","",INDEX('반배정'!H$7:H$156,$N36))</f>
        <v/>
      </c>
      <c r="H36" s="37">
        <f>IF($N36="","",INDEX('반배정'!I$7:I$156,$N36))</f>
        <v/>
      </c>
      <c r="I36" s="27">
        <f>IF($N36="","",INDEX('반배정'!O$7:O$156,$N36))</f>
        <v/>
      </c>
      <c r="J36" s="10">
        <f>IF($N36="","",INDEX('반배정'!N$7:N$156,$N36)&amp;"")</f>
        <v/>
      </c>
      <c r="K36" s="10">
        <f>IF($N36="","",INDEX('반배정'!L$7:L$156,$N36))</f>
        <v/>
      </c>
      <c r="L36" s="10">
        <f>IF($N36="","",INDEX('반배정'!P$7:P$156,$N36))</f>
        <v/>
      </c>
      <c r="M36" s="10">
        <f>IFERROR(SMALL('반배정'!$Q$7:$Q$156,30),"")</f>
        <v/>
      </c>
      <c r="N36" s="10">
        <f>IF(M36="","",MATCH(M36,'반배정'!$Q$7:$Q$156,0))</f>
        <v/>
      </c>
    </row>
    <row r="37">
      <c r="A37" s="10">
        <f>IF($N37="","",INDEX('반배정'!J$7:J$156,$N37))</f>
        <v/>
      </c>
      <c r="B37" s="10">
        <f>IF($N37="","",INDEX('반배정'!B$7:B$156,$N37))</f>
        <v/>
      </c>
      <c r="C37" s="10">
        <f>IF($N37="","",INDEX('반배정'!C$7:C$156,$N37))</f>
        <v/>
      </c>
      <c r="D37" s="10">
        <f>IF($N37="","",INDEX('반배정'!D$7:D$156,$N37))</f>
        <v/>
      </c>
      <c r="E37" s="10">
        <f>IF($N37="","",INDEX('반배정'!E$7:E$156,$N37))</f>
        <v/>
      </c>
      <c r="F37" s="10">
        <f>IF($N37="","",INDEX('반배정'!G$7:G$156,$N37))</f>
        <v/>
      </c>
      <c r="G37" s="10">
        <f>IF($N37="","",INDEX('반배정'!H$7:H$156,$N37))</f>
        <v/>
      </c>
      <c r="H37" s="37">
        <f>IF($N37="","",INDEX('반배정'!I$7:I$156,$N37))</f>
        <v/>
      </c>
      <c r="I37" s="27">
        <f>IF($N37="","",INDEX('반배정'!O$7:O$156,$N37))</f>
        <v/>
      </c>
      <c r="J37" s="10">
        <f>IF($N37="","",INDEX('반배정'!N$7:N$156,$N37)&amp;"")</f>
        <v/>
      </c>
      <c r="K37" s="10">
        <f>IF($N37="","",INDEX('반배정'!L$7:L$156,$N37))</f>
        <v/>
      </c>
      <c r="L37" s="10">
        <f>IF($N37="","",INDEX('반배정'!P$7:P$156,$N37))</f>
        <v/>
      </c>
      <c r="M37" s="10">
        <f>IFERROR(SMALL('반배정'!$Q$7:$Q$156,31),"")</f>
        <v/>
      </c>
      <c r="N37" s="10">
        <f>IF(M37="","",MATCH(M37,'반배정'!$Q$7:$Q$156,0))</f>
        <v/>
      </c>
    </row>
    <row r="38">
      <c r="A38" s="10">
        <f>IF($N38="","",INDEX('반배정'!J$7:J$156,$N38))</f>
        <v/>
      </c>
      <c r="B38" s="10">
        <f>IF($N38="","",INDEX('반배정'!B$7:B$156,$N38))</f>
        <v/>
      </c>
      <c r="C38" s="10">
        <f>IF($N38="","",INDEX('반배정'!C$7:C$156,$N38))</f>
        <v/>
      </c>
      <c r="D38" s="10">
        <f>IF($N38="","",INDEX('반배정'!D$7:D$156,$N38))</f>
        <v/>
      </c>
      <c r="E38" s="10">
        <f>IF($N38="","",INDEX('반배정'!E$7:E$156,$N38))</f>
        <v/>
      </c>
      <c r="F38" s="10">
        <f>IF($N38="","",INDEX('반배정'!G$7:G$156,$N38))</f>
        <v/>
      </c>
      <c r="G38" s="10">
        <f>IF($N38="","",INDEX('반배정'!H$7:H$156,$N38))</f>
        <v/>
      </c>
      <c r="H38" s="37">
        <f>IF($N38="","",INDEX('반배정'!I$7:I$156,$N38))</f>
        <v/>
      </c>
      <c r="I38" s="27">
        <f>IF($N38="","",INDEX('반배정'!O$7:O$156,$N38))</f>
        <v/>
      </c>
      <c r="J38" s="10">
        <f>IF($N38="","",INDEX('반배정'!N$7:N$156,$N38)&amp;"")</f>
        <v/>
      </c>
      <c r="K38" s="10">
        <f>IF($N38="","",INDEX('반배정'!L$7:L$156,$N38))</f>
        <v/>
      </c>
      <c r="L38" s="10">
        <f>IF($N38="","",INDEX('반배정'!P$7:P$156,$N38))</f>
        <v/>
      </c>
      <c r="M38" s="10">
        <f>IFERROR(SMALL('반배정'!$Q$7:$Q$156,32),"")</f>
        <v/>
      </c>
      <c r="N38" s="10">
        <f>IF(M38="","",MATCH(M38,'반배정'!$Q$7:$Q$156,0))</f>
        <v/>
      </c>
    </row>
    <row r="39">
      <c r="A39" s="10">
        <f>IF($N39="","",INDEX('반배정'!J$7:J$156,$N39))</f>
        <v/>
      </c>
      <c r="B39" s="10">
        <f>IF($N39="","",INDEX('반배정'!B$7:B$156,$N39))</f>
        <v/>
      </c>
      <c r="C39" s="10">
        <f>IF($N39="","",INDEX('반배정'!C$7:C$156,$N39))</f>
        <v/>
      </c>
      <c r="D39" s="10">
        <f>IF($N39="","",INDEX('반배정'!D$7:D$156,$N39))</f>
        <v/>
      </c>
      <c r="E39" s="10">
        <f>IF($N39="","",INDEX('반배정'!E$7:E$156,$N39))</f>
        <v/>
      </c>
      <c r="F39" s="10">
        <f>IF($N39="","",INDEX('반배정'!G$7:G$156,$N39))</f>
        <v/>
      </c>
      <c r="G39" s="10">
        <f>IF($N39="","",INDEX('반배정'!H$7:H$156,$N39))</f>
        <v/>
      </c>
      <c r="H39" s="37">
        <f>IF($N39="","",INDEX('반배정'!I$7:I$156,$N39))</f>
        <v/>
      </c>
      <c r="I39" s="27">
        <f>IF($N39="","",INDEX('반배정'!O$7:O$156,$N39))</f>
        <v/>
      </c>
      <c r="J39" s="10">
        <f>IF($N39="","",INDEX('반배정'!N$7:N$156,$N39)&amp;"")</f>
        <v/>
      </c>
      <c r="K39" s="10">
        <f>IF($N39="","",INDEX('반배정'!L$7:L$156,$N39))</f>
        <v/>
      </c>
      <c r="L39" s="10">
        <f>IF($N39="","",INDEX('반배정'!P$7:P$156,$N39))</f>
        <v/>
      </c>
      <c r="M39" s="10">
        <f>IFERROR(SMALL('반배정'!$Q$7:$Q$156,33),"")</f>
        <v/>
      </c>
      <c r="N39" s="10">
        <f>IF(M39="","",MATCH(M39,'반배정'!$Q$7:$Q$156,0))</f>
        <v/>
      </c>
    </row>
    <row r="40">
      <c r="A40" s="10">
        <f>IF($N40="","",INDEX('반배정'!J$7:J$156,$N40))</f>
        <v/>
      </c>
      <c r="B40" s="10">
        <f>IF($N40="","",INDEX('반배정'!B$7:B$156,$N40))</f>
        <v/>
      </c>
      <c r="C40" s="10">
        <f>IF($N40="","",INDEX('반배정'!C$7:C$156,$N40))</f>
        <v/>
      </c>
      <c r="D40" s="10">
        <f>IF($N40="","",INDEX('반배정'!D$7:D$156,$N40))</f>
        <v/>
      </c>
      <c r="E40" s="10">
        <f>IF($N40="","",INDEX('반배정'!E$7:E$156,$N40))</f>
        <v/>
      </c>
      <c r="F40" s="10">
        <f>IF($N40="","",INDEX('반배정'!G$7:G$156,$N40))</f>
        <v/>
      </c>
      <c r="G40" s="10">
        <f>IF($N40="","",INDEX('반배정'!H$7:H$156,$N40))</f>
        <v/>
      </c>
      <c r="H40" s="37">
        <f>IF($N40="","",INDEX('반배정'!I$7:I$156,$N40))</f>
        <v/>
      </c>
      <c r="I40" s="27">
        <f>IF($N40="","",INDEX('반배정'!O$7:O$156,$N40))</f>
        <v/>
      </c>
      <c r="J40" s="10">
        <f>IF($N40="","",INDEX('반배정'!N$7:N$156,$N40)&amp;"")</f>
        <v/>
      </c>
      <c r="K40" s="10">
        <f>IF($N40="","",INDEX('반배정'!L$7:L$156,$N40))</f>
        <v/>
      </c>
      <c r="L40" s="10">
        <f>IF($N40="","",INDEX('반배정'!P$7:P$156,$N40))</f>
        <v/>
      </c>
      <c r="M40" s="10">
        <f>IFERROR(SMALL('반배정'!$Q$7:$Q$156,34),"")</f>
        <v/>
      </c>
      <c r="N40" s="10">
        <f>IF(M40="","",MATCH(M40,'반배정'!$Q$7:$Q$156,0))</f>
        <v/>
      </c>
    </row>
    <row r="41">
      <c r="A41" s="10">
        <f>IF($N41="","",INDEX('반배정'!J$7:J$156,$N41))</f>
        <v/>
      </c>
      <c r="B41" s="10">
        <f>IF($N41="","",INDEX('반배정'!B$7:B$156,$N41))</f>
        <v/>
      </c>
      <c r="C41" s="10">
        <f>IF($N41="","",INDEX('반배정'!C$7:C$156,$N41))</f>
        <v/>
      </c>
      <c r="D41" s="10">
        <f>IF($N41="","",INDEX('반배정'!D$7:D$156,$N41))</f>
        <v/>
      </c>
      <c r="E41" s="10">
        <f>IF($N41="","",INDEX('반배정'!E$7:E$156,$N41))</f>
        <v/>
      </c>
      <c r="F41" s="10">
        <f>IF($N41="","",INDEX('반배정'!G$7:G$156,$N41))</f>
        <v/>
      </c>
      <c r="G41" s="10">
        <f>IF($N41="","",INDEX('반배정'!H$7:H$156,$N41))</f>
        <v/>
      </c>
      <c r="H41" s="37">
        <f>IF($N41="","",INDEX('반배정'!I$7:I$156,$N41))</f>
        <v/>
      </c>
      <c r="I41" s="27">
        <f>IF($N41="","",INDEX('반배정'!O$7:O$156,$N41))</f>
        <v/>
      </c>
      <c r="J41" s="10">
        <f>IF($N41="","",INDEX('반배정'!N$7:N$156,$N41)&amp;"")</f>
        <v/>
      </c>
      <c r="K41" s="10">
        <f>IF($N41="","",INDEX('반배정'!L$7:L$156,$N41))</f>
        <v/>
      </c>
      <c r="L41" s="10">
        <f>IF($N41="","",INDEX('반배정'!P$7:P$156,$N41))</f>
        <v/>
      </c>
      <c r="M41" s="10">
        <f>IFERROR(SMALL('반배정'!$Q$7:$Q$156,35),"")</f>
        <v/>
      </c>
      <c r="N41" s="10">
        <f>IF(M41="","",MATCH(M41,'반배정'!$Q$7:$Q$156,0))</f>
        <v/>
      </c>
    </row>
    <row r="42">
      <c r="A42" s="10">
        <f>IF($N42="","",INDEX('반배정'!J$7:J$156,$N42))</f>
        <v/>
      </c>
      <c r="B42" s="10">
        <f>IF($N42="","",INDEX('반배정'!B$7:B$156,$N42))</f>
        <v/>
      </c>
      <c r="C42" s="10">
        <f>IF($N42="","",INDEX('반배정'!C$7:C$156,$N42))</f>
        <v/>
      </c>
      <c r="D42" s="10">
        <f>IF($N42="","",INDEX('반배정'!D$7:D$156,$N42))</f>
        <v/>
      </c>
      <c r="E42" s="10">
        <f>IF($N42="","",INDEX('반배정'!E$7:E$156,$N42))</f>
        <v/>
      </c>
      <c r="F42" s="10">
        <f>IF($N42="","",INDEX('반배정'!G$7:G$156,$N42))</f>
        <v/>
      </c>
      <c r="G42" s="10">
        <f>IF($N42="","",INDEX('반배정'!H$7:H$156,$N42))</f>
        <v/>
      </c>
      <c r="H42" s="37">
        <f>IF($N42="","",INDEX('반배정'!I$7:I$156,$N42))</f>
        <v/>
      </c>
      <c r="I42" s="27">
        <f>IF($N42="","",INDEX('반배정'!O$7:O$156,$N42))</f>
        <v/>
      </c>
      <c r="J42" s="10">
        <f>IF($N42="","",INDEX('반배정'!N$7:N$156,$N42)&amp;"")</f>
        <v/>
      </c>
      <c r="K42" s="10">
        <f>IF($N42="","",INDEX('반배정'!L$7:L$156,$N42))</f>
        <v/>
      </c>
      <c r="L42" s="10">
        <f>IF($N42="","",INDEX('반배정'!P$7:P$156,$N42))</f>
        <v/>
      </c>
      <c r="M42" s="10">
        <f>IFERROR(SMALL('반배정'!$Q$7:$Q$156,36),"")</f>
        <v/>
      </c>
      <c r="N42" s="10">
        <f>IF(M42="","",MATCH(M42,'반배정'!$Q$7:$Q$156,0))</f>
        <v/>
      </c>
    </row>
    <row r="43">
      <c r="A43" s="10">
        <f>IF($N43="","",INDEX('반배정'!J$7:J$156,$N43))</f>
        <v/>
      </c>
      <c r="B43" s="10">
        <f>IF($N43="","",INDEX('반배정'!B$7:B$156,$N43))</f>
        <v/>
      </c>
      <c r="C43" s="10">
        <f>IF($N43="","",INDEX('반배정'!C$7:C$156,$N43))</f>
        <v/>
      </c>
      <c r="D43" s="10">
        <f>IF($N43="","",INDEX('반배정'!D$7:D$156,$N43))</f>
        <v/>
      </c>
      <c r="E43" s="10">
        <f>IF($N43="","",INDEX('반배정'!E$7:E$156,$N43))</f>
        <v/>
      </c>
      <c r="F43" s="10">
        <f>IF($N43="","",INDEX('반배정'!G$7:G$156,$N43))</f>
        <v/>
      </c>
      <c r="G43" s="10">
        <f>IF($N43="","",INDEX('반배정'!H$7:H$156,$N43))</f>
        <v/>
      </c>
      <c r="H43" s="37">
        <f>IF($N43="","",INDEX('반배정'!I$7:I$156,$N43))</f>
        <v/>
      </c>
      <c r="I43" s="27">
        <f>IF($N43="","",INDEX('반배정'!O$7:O$156,$N43))</f>
        <v/>
      </c>
      <c r="J43" s="10">
        <f>IF($N43="","",INDEX('반배정'!N$7:N$156,$N43)&amp;"")</f>
        <v/>
      </c>
      <c r="K43" s="10">
        <f>IF($N43="","",INDEX('반배정'!L$7:L$156,$N43))</f>
        <v/>
      </c>
      <c r="L43" s="10">
        <f>IF($N43="","",INDEX('반배정'!P$7:P$156,$N43))</f>
        <v/>
      </c>
      <c r="M43" s="10">
        <f>IFERROR(SMALL('반배정'!$Q$7:$Q$156,37),"")</f>
        <v/>
      </c>
      <c r="N43" s="10">
        <f>IF(M43="","",MATCH(M43,'반배정'!$Q$7:$Q$156,0))</f>
        <v/>
      </c>
    </row>
    <row r="44">
      <c r="A44" s="10">
        <f>IF($N44="","",INDEX('반배정'!J$7:J$156,$N44))</f>
        <v/>
      </c>
      <c r="B44" s="10">
        <f>IF($N44="","",INDEX('반배정'!B$7:B$156,$N44))</f>
        <v/>
      </c>
      <c r="C44" s="10">
        <f>IF($N44="","",INDEX('반배정'!C$7:C$156,$N44))</f>
        <v/>
      </c>
      <c r="D44" s="10">
        <f>IF($N44="","",INDEX('반배정'!D$7:D$156,$N44))</f>
        <v/>
      </c>
      <c r="E44" s="10">
        <f>IF($N44="","",INDEX('반배정'!E$7:E$156,$N44))</f>
        <v/>
      </c>
      <c r="F44" s="10">
        <f>IF($N44="","",INDEX('반배정'!G$7:G$156,$N44))</f>
        <v/>
      </c>
      <c r="G44" s="10">
        <f>IF($N44="","",INDEX('반배정'!H$7:H$156,$N44))</f>
        <v/>
      </c>
      <c r="H44" s="37">
        <f>IF($N44="","",INDEX('반배정'!I$7:I$156,$N44))</f>
        <v/>
      </c>
      <c r="I44" s="27">
        <f>IF($N44="","",INDEX('반배정'!O$7:O$156,$N44))</f>
        <v/>
      </c>
      <c r="J44" s="10">
        <f>IF($N44="","",INDEX('반배정'!N$7:N$156,$N44)&amp;"")</f>
        <v/>
      </c>
      <c r="K44" s="10">
        <f>IF($N44="","",INDEX('반배정'!L$7:L$156,$N44))</f>
        <v/>
      </c>
      <c r="L44" s="10">
        <f>IF($N44="","",INDEX('반배정'!P$7:P$156,$N44))</f>
        <v/>
      </c>
      <c r="M44" s="10">
        <f>IFERROR(SMALL('반배정'!$Q$7:$Q$156,38),"")</f>
        <v/>
      </c>
      <c r="N44" s="10">
        <f>IF(M44="","",MATCH(M44,'반배정'!$Q$7:$Q$156,0))</f>
        <v/>
      </c>
    </row>
    <row r="45">
      <c r="A45" s="10">
        <f>IF($N45="","",INDEX('반배정'!J$7:J$156,$N45))</f>
        <v/>
      </c>
      <c r="B45" s="10">
        <f>IF($N45="","",INDEX('반배정'!B$7:B$156,$N45))</f>
        <v/>
      </c>
      <c r="C45" s="10">
        <f>IF($N45="","",INDEX('반배정'!C$7:C$156,$N45))</f>
        <v/>
      </c>
      <c r="D45" s="10">
        <f>IF($N45="","",INDEX('반배정'!D$7:D$156,$N45))</f>
        <v/>
      </c>
      <c r="E45" s="10">
        <f>IF($N45="","",INDEX('반배정'!E$7:E$156,$N45))</f>
        <v/>
      </c>
      <c r="F45" s="10">
        <f>IF($N45="","",INDEX('반배정'!G$7:G$156,$N45))</f>
        <v/>
      </c>
      <c r="G45" s="10">
        <f>IF($N45="","",INDEX('반배정'!H$7:H$156,$N45))</f>
        <v/>
      </c>
      <c r="H45" s="37">
        <f>IF($N45="","",INDEX('반배정'!I$7:I$156,$N45))</f>
        <v/>
      </c>
      <c r="I45" s="27">
        <f>IF($N45="","",INDEX('반배정'!O$7:O$156,$N45))</f>
        <v/>
      </c>
      <c r="J45" s="10">
        <f>IF($N45="","",INDEX('반배정'!N$7:N$156,$N45)&amp;"")</f>
        <v/>
      </c>
      <c r="K45" s="10">
        <f>IF($N45="","",INDEX('반배정'!L$7:L$156,$N45))</f>
        <v/>
      </c>
      <c r="L45" s="10">
        <f>IF($N45="","",INDEX('반배정'!P$7:P$156,$N45))</f>
        <v/>
      </c>
      <c r="M45" s="10">
        <f>IFERROR(SMALL('반배정'!$Q$7:$Q$156,39),"")</f>
        <v/>
      </c>
      <c r="N45" s="10">
        <f>IF(M45="","",MATCH(M45,'반배정'!$Q$7:$Q$156,0))</f>
        <v/>
      </c>
    </row>
    <row r="46">
      <c r="A46" s="10">
        <f>IF($N46="","",INDEX('반배정'!J$7:J$156,$N46))</f>
        <v/>
      </c>
      <c r="B46" s="10">
        <f>IF($N46="","",INDEX('반배정'!B$7:B$156,$N46))</f>
        <v/>
      </c>
      <c r="C46" s="10">
        <f>IF($N46="","",INDEX('반배정'!C$7:C$156,$N46))</f>
        <v/>
      </c>
      <c r="D46" s="10">
        <f>IF($N46="","",INDEX('반배정'!D$7:D$156,$N46))</f>
        <v/>
      </c>
      <c r="E46" s="10">
        <f>IF($N46="","",INDEX('반배정'!E$7:E$156,$N46))</f>
        <v/>
      </c>
      <c r="F46" s="10">
        <f>IF($N46="","",INDEX('반배정'!G$7:G$156,$N46))</f>
        <v/>
      </c>
      <c r="G46" s="10">
        <f>IF($N46="","",INDEX('반배정'!H$7:H$156,$N46))</f>
        <v/>
      </c>
      <c r="H46" s="37">
        <f>IF($N46="","",INDEX('반배정'!I$7:I$156,$N46))</f>
        <v/>
      </c>
      <c r="I46" s="27">
        <f>IF($N46="","",INDEX('반배정'!O$7:O$156,$N46))</f>
        <v/>
      </c>
      <c r="J46" s="10">
        <f>IF($N46="","",INDEX('반배정'!N$7:N$156,$N46)&amp;"")</f>
        <v/>
      </c>
      <c r="K46" s="10">
        <f>IF($N46="","",INDEX('반배정'!L$7:L$156,$N46))</f>
        <v/>
      </c>
      <c r="L46" s="10">
        <f>IF($N46="","",INDEX('반배정'!P$7:P$156,$N46))</f>
        <v/>
      </c>
      <c r="M46" s="10">
        <f>IFERROR(SMALL('반배정'!$Q$7:$Q$156,40),"")</f>
        <v/>
      </c>
      <c r="N46" s="10">
        <f>IF(M46="","",MATCH(M46,'반배정'!$Q$7:$Q$156,0))</f>
        <v/>
      </c>
    </row>
    <row r="47">
      <c r="A47" s="10">
        <f>IF($N47="","",INDEX('반배정'!J$7:J$156,$N47))</f>
        <v/>
      </c>
      <c r="B47" s="10">
        <f>IF($N47="","",INDEX('반배정'!B$7:B$156,$N47))</f>
        <v/>
      </c>
      <c r="C47" s="10">
        <f>IF($N47="","",INDEX('반배정'!C$7:C$156,$N47))</f>
        <v/>
      </c>
      <c r="D47" s="10">
        <f>IF($N47="","",INDEX('반배정'!D$7:D$156,$N47))</f>
        <v/>
      </c>
      <c r="E47" s="10">
        <f>IF($N47="","",INDEX('반배정'!E$7:E$156,$N47))</f>
        <v/>
      </c>
      <c r="F47" s="10">
        <f>IF($N47="","",INDEX('반배정'!G$7:G$156,$N47))</f>
        <v/>
      </c>
      <c r="G47" s="10">
        <f>IF($N47="","",INDEX('반배정'!H$7:H$156,$N47))</f>
        <v/>
      </c>
      <c r="H47" s="37">
        <f>IF($N47="","",INDEX('반배정'!I$7:I$156,$N47))</f>
        <v/>
      </c>
      <c r="I47" s="27">
        <f>IF($N47="","",INDEX('반배정'!O$7:O$156,$N47))</f>
        <v/>
      </c>
      <c r="J47" s="10">
        <f>IF($N47="","",INDEX('반배정'!N$7:N$156,$N47)&amp;"")</f>
        <v/>
      </c>
      <c r="K47" s="10">
        <f>IF($N47="","",INDEX('반배정'!L$7:L$156,$N47))</f>
        <v/>
      </c>
      <c r="L47" s="10">
        <f>IF($N47="","",INDEX('반배정'!P$7:P$156,$N47))</f>
        <v/>
      </c>
      <c r="M47" s="10">
        <f>IFERROR(SMALL('반배정'!$Q$7:$Q$156,41),"")</f>
        <v/>
      </c>
      <c r="N47" s="10">
        <f>IF(M47="","",MATCH(M47,'반배정'!$Q$7:$Q$156,0))</f>
        <v/>
      </c>
    </row>
    <row r="48">
      <c r="A48" s="10">
        <f>IF($N48="","",INDEX('반배정'!J$7:J$156,$N48))</f>
        <v/>
      </c>
      <c r="B48" s="10">
        <f>IF($N48="","",INDEX('반배정'!B$7:B$156,$N48))</f>
        <v/>
      </c>
      <c r="C48" s="10">
        <f>IF($N48="","",INDEX('반배정'!C$7:C$156,$N48))</f>
        <v/>
      </c>
      <c r="D48" s="10">
        <f>IF($N48="","",INDEX('반배정'!D$7:D$156,$N48))</f>
        <v/>
      </c>
      <c r="E48" s="10">
        <f>IF($N48="","",INDEX('반배정'!E$7:E$156,$N48))</f>
        <v/>
      </c>
      <c r="F48" s="10">
        <f>IF($N48="","",INDEX('반배정'!G$7:G$156,$N48))</f>
        <v/>
      </c>
      <c r="G48" s="10">
        <f>IF($N48="","",INDEX('반배정'!H$7:H$156,$N48))</f>
        <v/>
      </c>
      <c r="H48" s="37">
        <f>IF($N48="","",INDEX('반배정'!I$7:I$156,$N48))</f>
        <v/>
      </c>
      <c r="I48" s="27">
        <f>IF($N48="","",INDEX('반배정'!O$7:O$156,$N48))</f>
        <v/>
      </c>
      <c r="J48" s="10">
        <f>IF($N48="","",INDEX('반배정'!N$7:N$156,$N48)&amp;"")</f>
        <v/>
      </c>
      <c r="K48" s="10">
        <f>IF($N48="","",INDEX('반배정'!L$7:L$156,$N48))</f>
        <v/>
      </c>
      <c r="L48" s="10">
        <f>IF($N48="","",INDEX('반배정'!P$7:P$156,$N48))</f>
        <v/>
      </c>
      <c r="M48" s="10">
        <f>IFERROR(SMALL('반배정'!$Q$7:$Q$156,42),"")</f>
        <v/>
      </c>
      <c r="N48" s="10">
        <f>IF(M48="","",MATCH(M48,'반배정'!$Q$7:$Q$156,0))</f>
        <v/>
      </c>
    </row>
    <row r="49">
      <c r="A49" s="10">
        <f>IF($N49="","",INDEX('반배정'!J$7:J$156,$N49))</f>
        <v/>
      </c>
      <c r="B49" s="10">
        <f>IF($N49="","",INDEX('반배정'!B$7:B$156,$N49))</f>
        <v/>
      </c>
      <c r="C49" s="10">
        <f>IF($N49="","",INDEX('반배정'!C$7:C$156,$N49))</f>
        <v/>
      </c>
      <c r="D49" s="10">
        <f>IF($N49="","",INDEX('반배정'!D$7:D$156,$N49))</f>
        <v/>
      </c>
      <c r="E49" s="10">
        <f>IF($N49="","",INDEX('반배정'!E$7:E$156,$N49))</f>
        <v/>
      </c>
      <c r="F49" s="10">
        <f>IF($N49="","",INDEX('반배정'!G$7:G$156,$N49))</f>
        <v/>
      </c>
      <c r="G49" s="10">
        <f>IF($N49="","",INDEX('반배정'!H$7:H$156,$N49))</f>
        <v/>
      </c>
      <c r="H49" s="37">
        <f>IF($N49="","",INDEX('반배정'!I$7:I$156,$N49))</f>
        <v/>
      </c>
      <c r="I49" s="27">
        <f>IF($N49="","",INDEX('반배정'!O$7:O$156,$N49))</f>
        <v/>
      </c>
      <c r="J49" s="10">
        <f>IF($N49="","",INDEX('반배정'!N$7:N$156,$N49)&amp;"")</f>
        <v/>
      </c>
      <c r="K49" s="10">
        <f>IF($N49="","",INDEX('반배정'!L$7:L$156,$N49))</f>
        <v/>
      </c>
      <c r="L49" s="10">
        <f>IF($N49="","",INDEX('반배정'!P$7:P$156,$N49))</f>
        <v/>
      </c>
      <c r="M49" s="10">
        <f>IFERROR(SMALL('반배정'!$Q$7:$Q$156,43),"")</f>
        <v/>
      </c>
      <c r="N49" s="10">
        <f>IF(M49="","",MATCH(M49,'반배정'!$Q$7:$Q$156,0))</f>
        <v/>
      </c>
    </row>
    <row r="50">
      <c r="A50" s="10">
        <f>IF($N50="","",INDEX('반배정'!J$7:J$156,$N50))</f>
        <v/>
      </c>
      <c r="B50" s="10">
        <f>IF($N50="","",INDEX('반배정'!B$7:B$156,$N50))</f>
        <v/>
      </c>
      <c r="C50" s="10">
        <f>IF($N50="","",INDEX('반배정'!C$7:C$156,$N50))</f>
        <v/>
      </c>
      <c r="D50" s="10">
        <f>IF($N50="","",INDEX('반배정'!D$7:D$156,$N50))</f>
        <v/>
      </c>
      <c r="E50" s="10">
        <f>IF($N50="","",INDEX('반배정'!E$7:E$156,$N50))</f>
        <v/>
      </c>
      <c r="F50" s="10">
        <f>IF($N50="","",INDEX('반배정'!G$7:G$156,$N50))</f>
        <v/>
      </c>
      <c r="G50" s="10">
        <f>IF($N50="","",INDEX('반배정'!H$7:H$156,$N50))</f>
        <v/>
      </c>
      <c r="H50" s="37">
        <f>IF($N50="","",INDEX('반배정'!I$7:I$156,$N50))</f>
        <v/>
      </c>
      <c r="I50" s="27">
        <f>IF($N50="","",INDEX('반배정'!O$7:O$156,$N50))</f>
        <v/>
      </c>
      <c r="J50" s="10">
        <f>IF($N50="","",INDEX('반배정'!N$7:N$156,$N50)&amp;"")</f>
        <v/>
      </c>
      <c r="K50" s="10">
        <f>IF($N50="","",INDEX('반배정'!L$7:L$156,$N50))</f>
        <v/>
      </c>
      <c r="L50" s="10">
        <f>IF($N50="","",INDEX('반배정'!P$7:P$156,$N50))</f>
        <v/>
      </c>
      <c r="M50" s="10">
        <f>IFERROR(SMALL('반배정'!$Q$7:$Q$156,44),"")</f>
        <v/>
      </c>
      <c r="N50" s="10">
        <f>IF(M50="","",MATCH(M50,'반배정'!$Q$7:$Q$156,0))</f>
        <v/>
      </c>
    </row>
    <row r="51">
      <c r="A51" s="10">
        <f>IF($N51="","",INDEX('반배정'!J$7:J$156,$N51))</f>
        <v/>
      </c>
      <c r="B51" s="10">
        <f>IF($N51="","",INDEX('반배정'!B$7:B$156,$N51))</f>
        <v/>
      </c>
      <c r="C51" s="10">
        <f>IF($N51="","",INDEX('반배정'!C$7:C$156,$N51))</f>
        <v/>
      </c>
      <c r="D51" s="10">
        <f>IF($N51="","",INDEX('반배정'!D$7:D$156,$N51))</f>
        <v/>
      </c>
      <c r="E51" s="10">
        <f>IF($N51="","",INDEX('반배정'!E$7:E$156,$N51))</f>
        <v/>
      </c>
      <c r="F51" s="10">
        <f>IF($N51="","",INDEX('반배정'!G$7:G$156,$N51))</f>
        <v/>
      </c>
      <c r="G51" s="10">
        <f>IF($N51="","",INDEX('반배정'!H$7:H$156,$N51))</f>
        <v/>
      </c>
      <c r="H51" s="37">
        <f>IF($N51="","",INDEX('반배정'!I$7:I$156,$N51))</f>
        <v/>
      </c>
      <c r="I51" s="27">
        <f>IF($N51="","",INDEX('반배정'!O$7:O$156,$N51))</f>
        <v/>
      </c>
      <c r="J51" s="10">
        <f>IF($N51="","",INDEX('반배정'!N$7:N$156,$N51)&amp;"")</f>
        <v/>
      </c>
      <c r="K51" s="10">
        <f>IF($N51="","",INDEX('반배정'!L$7:L$156,$N51))</f>
        <v/>
      </c>
      <c r="L51" s="10">
        <f>IF($N51="","",INDEX('반배정'!P$7:P$156,$N51))</f>
        <v/>
      </c>
      <c r="M51" s="10">
        <f>IFERROR(SMALL('반배정'!$Q$7:$Q$156,45),"")</f>
        <v/>
      </c>
      <c r="N51" s="10">
        <f>IF(M51="","",MATCH(M51,'반배정'!$Q$7:$Q$156,0))</f>
        <v/>
      </c>
    </row>
    <row r="52">
      <c r="A52" s="10">
        <f>IF($N52="","",INDEX('반배정'!J$7:J$156,$N52))</f>
        <v/>
      </c>
      <c r="B52" s="10">
        <f>IF($N52="","",INDEX('반배정'!B$7:B$156,$N52))</f>
        <v/>
      </c>
      <c r="C52" s="10">
        <f>IF($N52="","",INDEX('반배정'!C$7:C$156,$N52))</f>
        <v/>
      </c>
      <c r="D52" s="10">
        <f>IF($N52="","",INDEX('반배정'!D$7:D$156,$N52))</f>
        <v/>
      </c>
      <c r="E52" s="10">
        <f>IF($N52="","",INDEX('반배정'!E$7:E$156,$N52))</f>
        <v/>
      </c>
      <c r="F52" s="10">
        <f>IF($N52="","",INDEX('반배정'!G$7:G$156,$N52))</f>
        <v/>
      </c>
      <c r="G52" s="10">
        <f>IF($N52="","",INDEX('반배정'!H$7:H$156,$N52))</f>
        <v/>
      </c>
      <c r="H52" s="37">
        <f>IF($N52="","",INDEX('반배정'!I$7:I$156,$N52))</f>
        <v/>
      </c>
      <c r="I52" s="27">
        <f>IF($N52="","",INDEX('반배정'!O$7:O$156,$N52))</f>
        <v/>
      </c>
      <c r="J52" s="10">
        <f>IF($N52="","",INDEX('반배정'!N$7:N$156,$N52)&amp;"")</f>
        <v/>
      </c>
      <c r="K52" s="10">
        <f>IF($N52="","",INDEX('반배정'!L$7:L$156,$N52))</f>
        <v/>
      </c>
      <c r="L52" s="10">
        <f>IF($N52="","",INDEX('반배정'!P$7:P$156,$N52))</f>
        <v/>
      </c>
      <c r="M52" s="10">
        <f>IFERROR(SMALL('반배정'!$Q$7:$Q$156,46),"")</f>
        <v/>
      </c>
      <c r="N52" s="10">
        <f>IF(M52="","",MATCH(M52,'반배정'!$Q$7:$Q$156,0))</f>
        <v/>
      </c>
    </row>
    <row r="53">
      <c r="A53" s="10">
        <f>IF($N53="","",INDEX('반배정'!J$7:J$156,$N53))</f>
        <v/>
      </c>
      <c r="B53" s="10">
        <f>IF($N53="","",INDEX('반배정'!B$7:B$156,$N53))</f>
        <v/>
      </c>
      <c r="C53" s="10">
        <f>IF($N53="","",INDEX('반배정'!C$7:C$156,$N53))</f>
        <v/>
      </c>
      <c r="D53" s="10">
        <f>IF($N53="","",INDEX('반배정'!D$7:D$156,$N53))</f>
        <v/>
      </c>
      <c r="E53" s="10">
        <f>IF($N53="","",INDEX('반배정'!E$7:E$156,$N53))</f>
        <v/>
      </c>
      <c r="F53" s="10">
        <f>IF($N53="","",INDEX('반배정'!G$7:G$156,$N53))</f>
        <v/>
      </c>
      <c r="G53" s="10">
        <f>IF($N53="","",INDEX('반배정'!H$7:H$156,$N53))</f>
        <v/>
      </c>
      <c r="H53" s="37">
        <f>IF($N53="","",INDEX('반배정'!I$7:I$156,$N53))</f>
        <v/>
      </c>
      <c r="I53" s="27">
        <f>IF($N53="","",INDEX('반배정'!O$7:O$156,$N53))</f>
        <v/>
      </c>
      <c r="J53" s="10">
        <f>IF($N53="","",INDEX('반배정'!N$7:N$156,$N53)&amp;"")</f>
        <v/>
      </c>
      <c r="K53" s="10">
        <f>IF($N53="","",INDEX('반배정'!L$7:L$156,$N53))</f>
        <v/>
      </c>
      <c r="L53" s="10">
        <f>IF($N53="","",INDEX('반배정'!P$7:P$156,$N53))</f>
        <v/>
      </c>
      <c r="M53" s="10">
        <f>IFERROR(SMALL('반배정'!$Q$7:$Q$156,47),"")</f>
        <v/>
      </c>
      <c r="N53" s="10">
        <f>IF(M53="","",MATCH(M53,'반배정'!$Q$7:$Q$156,0))</f>
        <v/>
      </c>
    </row>
    <row r="54">
      <c r="A54" s="10">
        <f>IF($N54="","",INDEX('반배정'!J$7:J$156,$N54))</f>
        <v/>
      </c>
      <c r="B54" s="10">
        <f>IF($N54="","",INDEX('반배정'!B$7:B$156,$N54))</f>
        <v/>
      </c>
      <c r="C54" s="10">
        <f>IF($N54="","",INDEX('반배정'!C$7:C$156,$N54))</f>
        <v/>
      </c>
      <c r="D54" s="10">
        <f>IF($N54="","",INDEX('반배정'!D$7:D$156,$N54))</f>
        <v/>
      </c>
      <c r="E54" s="10">
        <f>IF($N54="","",INDEX('반배정'!E$7:E$156,$N54))</f>
        <v/>
      </c>
      <c r="F54" s="10">
        <f>IF($N54="","",INDEX('반배정'!G$7:G$156,$N54))</f>
        <v/>
      </c>
      <c r="G54" s="10">
        <f>IF($N54="","",INDEX('반배정'!H$7:H$156,$N54))</f>
        <v/>
      </c>
      <c r="H54" s="37">
        <f>IF($N54="","",INDEX('반배정'!I$7:I$156,$N54))</f>
        <v/>
      </c>
      <c r="I54" s="27">
        <f>IF($N54="","",INDEX('반배정'!O$7:O$156,$N54))</f>
        <v/>
      </c>
      <c r="J54" s="10">
        <f>IF($N54="","",INDEX('반배정'!N$7:N$156,$N54)&amp;"")</f>
        <v/>
      </c>
      <c r="K54" s="10">
        <f>IF($N54="","",INDEX('반배정'!L$7:L$156,$N54))</f>
        <v/>
      </c>
      <c r="L54" s="10">
        <f>IF($N54="","",INDEX('반배정'!P$7:P$156,$N54))</f>
        <v/>
      </c>
      <c r="M54" s="10">
        <f>IFERROR(SMALL('반배정'!$Q$7:$Q$156,48),"")</f>
        <v/>
      </c>
      <c r="N54" s="10">
        <f>IF(M54="","",MATCH(M54,'반배정'!$Q$7:$Q$156,0))</f>
        <v/>
      </c>
    </row>
    <row r="55">
      <c r="A55" s="10">
        <f>IF($N55="","",INDEX('반배정'!J$7:J$156,$N55))</f>
        <v/>
      </c>
      <c r="B55" s="10">
        <f>IF($N55="","",INDEX('반배정'!B$7:B$156,$N55))</f>
        <v/>
      </c>
      <c r="C55" s="10">
        <f>IF($N55="","",INDEX('반배정'!C$7:C$156,$N55))</f>
        <v/>
      </c>
      <c r="D55" s="10">
        <f>IF($N55="","",INDEX('반배정'!D$7:D$156,$N55))</f>
        <v/>
      </c>
      <c r="E55" s="10">
        <f>IF($N55="","",INDEX('반배정'!E$7:E$156,$N55))</f>
        <v/>
      </c>
      <c r="F55" s="10">
        <f>IF($N55="","",INDEX('반배정'!G$7:G$156,$N55))</f>
        <v/>
      </c>
      <c r="G55" s="10">
        <f>IF($N55="","",INDEX('반배정'!H$7:H$156,$N55))</f>
        <v/>
      </c>
      <c r="H55" s="37">
        <f>IF($N55="","",INDEX('반배정'!I$7:I$156,$N55))</f>
        <v/>
      </c>
      <c r="I55" s="27">
        <f>IF($N55="","",INDEX('반배정'!O$7:O$156,$N55))</f>
        <v/>
      </c>
      <c r="J55" s="10">
        <f>IF($N55="","",INDEX('반배정'!N$7:N$156,$N55)&amp;"")</f>
        <v/>
      </c>
      <c r="K55" s="10">
        <f>IF($N55="","",INDEX('반배정'!L$7:L$156,$N55))</f>
        <v/>
      </c>
      <c r="L55" s="10">
        <f>IF($N55="","",INDEX('반배정'!P$7:P$156,$N55))</f>
        <v/>
      </c>
      <c r="M55" s="10">
        <f>IFERROR(SMALL('반배정'!$Q$7:$Q$156,49),"")</f>
        <v/>
      </c>
      <c r="N55" s="10">
        <f>IF(M55="","",MATCH(M55,'반배정'!$Q$7:$Q$156,0))</f>
        <v/>
      </c>
    </row>
    <row r="56">
      <c r="A56" s="10">
        <f>IF($N56="","",INDEX('반배정'!J$7:J$156,$N56))</f>
        <v/>
      </c>
      <c r="B56" s="10">
        <f>IF($N56="","",INDEX('반배정'!B$7:B$156,$N56))</f>
        <v/>
      </c>
      <c r="C56" s="10">
        <f>IF($N56="","",INDEX('반배정'!C$7:C$156,$N56))</f>
        <v/>
      </c>
      <c r="D56" s="10">
        <f>IF($N56="","",INDEX('반배정'!D$7:D$156,$N56))</f>
        <v/>
      </c>
      <c r="E56" s="10">
        <f>IF($N56="","",INDEX('반배정'!E$7:E$156,$N56))</f>
        <v/>
      </c>
      <c r="F56" s="10">
        <f>IF($N56="","",INDEX('반배정'!G$7:G$156,$N56))</f>
        <v/>
      </c>
      <c r="G56" s="10">
        <f>IF($N56="","",INDEX('반배정'!H$7:H$156,$N56))</f>
        <v/>
      </c>
      <c r="H56" s="37">
        <f>IF($N56="","",INDEX('반배정'!I$7:I$156,$N56))</f>
        <v/>
      </c>
      <c r="I56" s="27">
        <f>IF($N56="","",INDEX('반배정'!O$7:O$156,$N56))</f>
        <v/>
      </c>
      <c r="J56" s="10">
        <f>IF($N56="","",INDEX('반배정'!N$7:N$156,$N56)&amp;"")</f>
        <v/>
      </c>
      <c r="K56" s="10">
        <f>IF($N56="","",INDEX('반배정'!L$7:L$156,$N56))</f>
        <v/>
      </c>
      <c r="L56" s="10">
        <f>IF($N56="","",INDEX('반배정'!P$7:P$156,$N56))</f>
        <v/>
      </c>
      <c r="M56" s="10">
        <f>IFERROR(SMALL('반배정'!$Q$7:$Q$156,50),"")</f>
        <v/>
      </c>
      <c r="N56" s="10">
        <f>IF(M56="","",MATCH(M56,'반배정'!$Q$7:$Q$156,0))</f>
        <v/>
      </c>
    </row>
    <row r="57">
      <c r="A57" s="10">
        <f>IF($N57="","",INDEX('반배정'!J$7:J$156,$N57))</f>
        <v/>
      </c>
      <c r="B57" s="10">
        <f>IF($N57="","",INDEX('반배정'!B$7:B$156,$N57))</f>
        <v/>
      </c>
      <c r="C57" s="10">
        <f>IF($N57="","",INDEX('반배정'!C$7:C$156,$N57))</f>
        <v/>
      </c>
      <c r="D57" s="10">
        <f>IF($N57="","",INDEX('반배정'!D$7:D$156,$N57))</f>
        <v/>
      </c>
      <c r="E57" s="10">
        <f>IF($N57="","",INDEX('반배정'!E$7:E$156,$N57))</f>
        <v/>
      </c>
      <c r="F57" s="10">
        <f>IF($N57="","",INDEX('반배정'!G$7:G$156,$N57))</f>
        <v/>
      </c>
      <c r="G57" s="10">
        <f>IF($N57="","",INDEX('반배정'!H$7:H$156,$N57))</f>
        <v/>
      </c>
      <c r="H57" s="37">
        <f>IF($N57="","",INDEX('반배정'!I$7:I$156,$N57))</f>
        <v/>
      </c>
      <c r="I57" s="27">
        <f>IF($N57="","",INDEX('반배정'!O$7:O$156,$N57))</f>
        <v/>
      </c>
      <c r="J57" s="10">
        <f>IF($N57="","",INDEX('반배정'!N$7:N$156,$N57)&amp;"")</f>
        <v/>
      </c>
      <c r="K57" s="10">
        <f>IF($N57="","",INDEX('반배정'!L$7:L$156,$N57))</f>
        <v/>
      </c>
      <c r="L57" s="10">
        <f>IF($N57="","",INDEX('반배정'!P$7:P$156,$N57))</f>
        <v/>
      </c>
      <c r="M57" s="10">
        <f>IFERROR(SMALL('반배정'!$Q$7:$Q$156,51),"")</f>
        <v/>
      </c>
      <c r="N57" s="10">
        <f>IF(M57="","",MATCH(M57,'반배정'!$Q$7:$Q$156,0))</f>
        <v/>
      </c>
    </row>
    <row r="58">
      <c r="A58" s="10">
        <f>IF($N58="","",INDEX('반배정'!J$7:J$156,$N58))</f>
        <v/>
      </c>
      <c r="B58" s="10">
        <f>IF($N58="","",INDEX('반배정'!B$7:B$156,$N58))</f>
        <v/>
      </c>
      <c r="C58" s="10">
        <f>IF($N58="","",INDEX('반배정'!C$7:C$156,$N58))</f>
        <v/>
      </c>
      <c r="D58" s="10">
        <f>IF($N58="","",INDEX('반배정'!D$7:D$156,$N58))</f>
        <v/>
      </c>
      <c r="E58" s="10">
        <f>IF($N58="","",INDEX('반배정'!E$7:E$156,$N58))</f>
        <v/>
      </c>
      <c r="F58" s="10">
        <f>IF($N58="","",INDEX('반배정'!G$7:G$156,$N58))</f>
        <v/>
      </c>
      <c r="G58" s="10">
        <f>IF($N58="","",INDEX('반배정'!H$7:H$156,$N58))</f>
        <v/>
      </c>
      <c r="H58" s="37">
        <f>IF($N58="","",INDEX('반배정'!I$7:I$156,$N58))</f>
        <v/>
      </c>
      <c r="I58" s="27">
        <f>IF($N58="","",INDEX('반배정'!O$7:O$156,$N58))</f>
        <v/>
      </c>
      <c r="J58" s="10">
        <f>IF($N58="","",INDEX('반배정'!N$7:N$156,$N58)&amp;"")</f>
        <v/>
      </c>
      <c r="K58" s="10">
        <f>IF($N58="","",INDEX('반배정'!L$7:L$156,$N58))</f>
        <v/>
      </c>
      <c r="L58" s="10">
        <f>IF($N58="","",INDEX('반배정'!P$7:P$156,$N58))</f>
        <v/>
      </c>
      <c r="M58" s="10">
        <f>IFERROR(SMALL('반배정'!$Q$7:$Q$156,52),"")</f>
        <v/>
      </c>
      <c r="N58" s="10">
        <f>IF(M58="","",MATCH(M58,'반배정'!$Q$7:$Q$156,0))</f>
        <v/>
      </c>
    </row>
    <row r="59">
      <c r="A59" s="10">
        <f>IF($N59="","",INDEX('반배정'!J$7:J$156,$N59))</f>
        <v/>
      </c>
      <c r="B59" s="10">
        <f>IF($N59="","",INDEX('반배정'!B$7:B$156,$N59))</f>
        <v/>
      </c>
      <c r="C59" s="10">
        <f>IF($N59="","",INDEX('반배정'!C$7:C$156,$N59))</f>
        <v/>
      </c>
      <c r="D59" s="10">
        <f>IF($N59="","",INDEX('반배정'!D$7:D$156,$N59))</f>
        <v/>
      </c>
      <c r="E59" s="10">
        <f>IF($N59="","",INDEX('반배정'!E$7:E$156,$N59))</f>
        <v/>
      </c>
      <c r="F59" s="10">
        <f>IF($N59="","",INDEX('반배정'!G$7:G$156,$N59))</f>
        <v/>
      </c>
      <c r="G59" s="10">
        <f>IF($N59="","",INDEX('반배정'!H$7:H$156,$N59))</f>
        <v/>
      </c>
      <c r="H59" s="37">
        <f>IF($N59="","",INDEX('반배정'!I$7:I$156,$N59))</f>
        <v/>
      </c>
      <c r="I59" s="27">
        <f>IF($N59="","",INDEX('반배정'!O$7:O$156,$N59))</f>
        <v/>
      </c>
      <c r="J59" s="10">
        <f>IF($N59="","",INDEX('반배정'!N$7:N$156,$N59)&amp;"")</f>
        <v/>
      </c>
      <c r="K59" s="10">
        <f>IF($N59="","",INDEX('반배정'!L$7:L$156,$N59))</f>
        <v/>
      </c>
      <c r="L59" s="10">
        <f>IF($N59="","",INDEX('반배정'!P$7:P$156,$N59))</f>
        <v/>
      </c>
      <c r="M59" s="10">
        <f>IFERROR(SMALL('반배정'!$Q$7:$Q$156,53),"")</f>
        <v/>
      </c>
      <c r="N59" s="10">
        <f>IF(M59="","",MATCH(M59,'반배정'!$Q$7:$Q$156,0))</f>
        <v/>
      </c>
    </row>
    <row r="60">
      <c r="A60" s="10">
        <f>IF($N60="","",INDEX('반배정'!J$7:J$156,$N60))</f>
        <v/>
      </c>
      <c r="B60" s="10">
        <f>IF($N60="","",INDEX('반배정'!B$7:B$156,$N60))</f>
        <v/>
      </c>
      <c r="C60" s="10">
        <f>IF($N60="","",INDEX('반배정'!C$7:C$156,$N60))</f>
        <v/>
      </c>
      <c r="D60" s="10">
        <f>IF($N60="","",INDEX('반배정'!D$7:D$156,$N60))</f>
        <v/>
      </c>
      <c r="E60" s="10">
        <f>IF($N60="","",INDEX('반배정'!E$7:E$156,$N60))</f>
        <v/>
      </c>
      <c r="F60" s="10">
        <f>IF($N60="","",INDEX('반배정'!G$7:G$156,$N60))</f>
        <v/>
      </c>
      <c r="G60" s="10">
        <f>IF($N60="","",INDEX('반배정'!H$7:H$156,$N60))</f>
        <v/>
      </c>
      <c r="H60" s="37">
        <f>IF($N60="","",INDEX('반배정'!I$7:I$156,$N60))</f>
        <v/>
      </c>
      <c r="I60" s="27">
        <f>IF($N60="","",INDEX('반배정'!O$7:O$156,$N60))</f>
        <v/>
      </c>
      <c r="J60" s="10">
        <f>IF($N60="","",INDEX('반배정'!N$7:N$156,$N60)&amp;"")</f>
        <v/>
      </c>
      <c r="K60" s="10">
        <f>IF($N60="","",INDEX('반배정'!L$7:L$156,$N60))</f>
        <v/>
      </c>
      <c r="L60" s="10">
        <f>IF($N60="","",INDEX('반배정'!P$7:P$156,$N60))</f>
        <v/>
      </c>
      <c r="M60" s="10">
        <f>IFERROR(SMALL('반배정'!$Q$7:$Q$156,54),"")</f>
        <v/>
      </c>
      <c r="N60" s="10">
        <f>IF(M60="","",MATCH(M60,'반배정'!$Q$7:$Q$156,0))</f>
        <v/>
      </c>
    </row>
    <row r="61">
      <c r="A61" s="10">
        <f>IF($N61="","",INDEX('반배정'!J$7:J$156,$N61))</f>
        <v/>
      </c>
      <c r="B61" s="10">
        <f>IF($N61="","",INDEX('반배정'!B$7:B$156,$N61))</f>
        <v/>
      </c>
      <c r="C61" s="10">
        <f>IF($N61="","",INDEX('반배정'!C$7:C$156,$N61))</f>
        <v/>
      </c>
      <c r="D61" s="10">
        <f>IF($N61="","",INDEX('반배정'!D$7:D$156,$N61))</f>
        <v/>
      </c>
      <c r="E61" s="10">
        <f>IF($N61="","",INDEX('반배정'!E$7:E$156,$N61))</f>
        <v/>
      </c>
      <c r="F61" s="10">
        <f>IF($N61="","",INDEX('반배정'!G$7:G$156,$N61))</f>
        <v/>
      </c>
      <c r="G61" s="10">
        <f>IF($N61="","",INDEX('반배정'!H$7:H$156,$N61))</f>
        <v/>
      </c>
      <c r="H61" s="37">
        <f>IF($N61="","",INDEX('반배정'!I$7:I$156,$N61))</f>
        <v/>
      </c>
      <c r="I61" s="27">
        <f>IF($N61="","",INDEX('반배정'!O$7:O$156,$N61))</f>
        <v/>
      </c>
      <c r="J61" s="10">
        <f>IF($N61="","",INDEX('반배정'!N$7:N$156,$N61)&amp;"")</f>
        <v/>
      </c>
      <c r="K61" s="10">
        <f>IF($N61="","",INDEX('반배정'!L$7:L$156,$N61))</f>
        <v/>
      </c>
      <c r="L61" s="10">
        <f>IF($N61="","",INDEX('반배정'!P$7:P$156,$N61))</f>
        <v/>
      </c>
      <c r="M61" s="10">
        <f>IFERROR(SMALL('반배정'!$Q$7:$Q$156,55),"")</f>
        <v/>
      </c>
      <c r="N61" s="10">
        <f>IF(M61="","",MATCH(M61,'반배정'!$Q$7:$Q$156,0))</f>
        <v/>
      </c>
    </row>
    <row r="62">
      <c r="A62" s="10">
        <f>IF($N62="","",INDEX('반배정'!J$7:J$156,$N62))</f>
        <v/>
      </c>
      <c r="B62" s="10">
        <f>IF($N62="","",INDEX('반배정'!B$7:B$156,$N62))</f>
        <v/>
      </c>
      <c r="C62" s="10">
        <f>IF($N62="","",INDEX('반배정'!C$7:C$156,$N62))</f>
        <v/>
      </c>
      <c r="D62" s="10">
        <f>IF($N62="","",INDEX('반배정'!D$7:D$156,$N62))</f>
        <v/>
      </c>
      <c r="E62" s="10">
        <f>IF($N62="","",INDEX('반배정'!E$7:E$156,$N62))</f>
        <v/>
      </c>
      <c r="F62" s="10">
        <f>IF($N62="","",INDEX('반배정'!G$7:G$156,$N62))</f>
        <v/>
      </c>
      <c r="G62" s="10">
        <f>IF($N62="","",INDEX('반배정'!H$7:H$156,$N62))</f>
        <v/>
      </c>
      <c r="H62" s="37">
        <f>IF($N62="","",INDEX('반배정'!I$7:I$156,$N62))</f>
        <v/>
      </c>
      <c r="I62" s="27">
        <f>IF($N62="","",INDEX('반배정'!O$7:O$156,$N62))</f>
        <v/>
      </c>
      <c r="J62" s="10">
        <f>IF($N62="","",INDEX('반배정'!N$7:N$156,$N62)&amp;"")</f>
        <v/>
      </c>
      <c r="K62" s="10">
        <f>IF($N62="","",INDEX('반배정'!L$7:L$156,$N62))</f>
        <v/>
      </c>
      <c r="L62" s="10">
        <f>IF($N62="","",INDEX('반배정'!P$7:P$156,$N62))</f>
        <v/>
      </c>
      <c r="M62" s="10">
        <f>IFERROR(SMALL('반배정'!$Q$7:$Q$156,56),"")</f>
        <v/>
      </c>
      <c r="N62" s="10">
        <f>IF(M62="","",MATCH(M62,'반배정'!$Q$7:$Q$156,0))</f>
        <v/>
      </c>
    </row>
    <row r="63">
      <c r="A63" s="10">
        <f>IF($N63="","",INDEX('반배정'!J$7:J$156,$N63))</f>
        <v/>
      </c>
      <c r="B63" s="10">
        <f>IF($N63="","",INDEX('반배정'!B$7:B$156,$N63))</f>
        <v/>
      </c>
      <c r="C63" s="10">
        <f>IF($N63="","",INDEX('반배정'!C$7:C$156,$N63))</f>
        <v/>
      </c>
      <c r="D63" s="10">
        <f>IF($N63="","",INDEX('반배정'!D$7:D$156,$N63))</f>
        <v/>
      </c>
      <c r="E63" s="10">
        <f>IF($N63="","",INDEX('반배정'!E$7:E$156,$N63))</f>
        <v/>
      </c>
      <c r="F63" s="10">
        <f>IF($N63="","",INDEX('반배정'!G$7:G$156,$N63))</f>
        <v/>
      </c>
      <c r="G63" s="10">
        <f>IF($N63="","",INDEX('반배정'!H$7:H$156,$N63))</f>
        <v/>
      </c>
      <c r="H63" s="37">
        <f>IF($N63="","",INDEX('반배정'!I$7:I$156,$N63))</f>
        <v/>
      </c>
      <c r="I63" s="27">
        <f>IF($N63="","",INDEX('반배정'!O$7:O$156,$N63))</f>
        <v/>
      </c>
      <c r="J63" s="10">
        <f>IF($N63="","",INDEX('반배정'!N$7:N$156,$N63)&amp;"")</f>
        <v/>
      </c>
      <c r="K63" s="10">
        <f>IF($N63="","",INDEX('반배정'!L$7:L$156,$N63))</f>
        <v/>
      </c>
      <c r="L63" s="10">
        <f>IF($N63="","",INDEX('반배정'!P$7:P$156,$N63))</f>
        <v/>
      </c>
      <c r="M63" s="10">
        <f>IFERROR(SMALL('반배정'!$Q$7:$Q$156,57),"")</f>
        <v/>
      </c>
      <c r="N63" s="10">
        <f>IF(M63="","",MATCH(M63,'반배정'!$Q$7:$Q$156,0))</f>
        <v/>
      </c>
    </row>
    <row r="64">
      <c r="A64" s="10">
        <f>IF($N64="","",INDEX('반배정'!J$7:J$156,$N64))</f>
        <v/>
      </c>
      <c r="B64" s="10">
        <f>IF($N64="","",INDEX('반배정'!B$7:B$156,$N64))</f>
        <v/>
      </c>
      <c r="C64" s="10">
        <f>IF($N64="","",INDEX('반배정'!C$7:C$156,$N64))</f>
        <v/>
      </c>
      <c r="D64" s="10">
        <f>IF($N64="","",INDEX('반배정'!D$7:D$156,$N64))</f>
        <v/>
      </c>
      <c r="E64" s="10">
        <f>IF($N64="","",INDEX('반배정'!E$7:E$156,$N64))</f>
        <v/>
      </c>
      <c r="F64" s="10">
        <f>IF($N64="","",INDEX('반배정'!G$7:G$156,$N64))</f>
        <v/>
      </c>
      <c r="G64" s="10">
        <f>IF($N64="","",INDEX('반배정'!H$7:H$156,$N64))</f>
        <v/>
      </c>
      <c r="H64" s="37">
        <f>IF($N64="","",INDEX('반배정'!I$7:I$156,$N64))</f>
        <v/>
      </c>
      <c r="I64" s="27">
        <f>IF($N64="","",INDEX('반배정'!O$7:O$156,$N64))</f>
        <v/>
      </c>
      <c r="J64" s="10">
        <f>IF($N64="","",INDEX('반배정'!N$7:N$156,$N64)&amp;"")</f>
        <v/>
      </c>
      <c r="K64" s="10">
        <f>IF($N64="","",INDEX('반배정'!L$7:L$156,$N64))</f>
        <v/>
      </c>
      <c r="L64" s="10">
        <f>IF($N64="","",INDEX('반배정'!P$7:P$156,$N64))</f>
        <v/>
      </c>
      <c r="M64" s="10">
        <f>IFERROR(SMALL('반배정'!$Q$7:$Q$156,58),"")</f>
        <v/>
      </c>
      <c r="N64" s="10">
        <f>IF(M64="","",MATCH(M64,'반배정'!$Q$7:$Q$156,0))</f>
        <v/>
      </c>
    </row>
    <row r="65">
      <c r="A65" s="10">
        <f>IF($N65="","",INDEX('반배정'!J$7:J$156,$N65))</f>
        <v/>
      </c>
      <c r="B65" s="10">
        <f>IF($N65="","",INDEX('반배정'!B$7:B$156,$N65))</f>
        <v/>
      </c>
      <c r="C65" s="10">
        <f>IF($N65="","",INDEX('반배정'!C$7:C$156,$N65))</f>
        <v/>
      </c>
      <c r="D65" s="10">
        <f>IF($N65="","",INDEX('반배정'!D$7:D$156,$N65))</f>
        <v/>
      </c>
      <c r="E65" s="10">
        <f>IF($N65="","",INDEX('반배정'!E$7:E$156,$N65))</f>
        <v/>
      </c>
      <c r="F65" s="10">
        <f>IF($N65="","",INDEX('반배정'!G$7:G$156,$N65))</f>
        <v/>
      </c>
      <c r="G65" s="10">
        <f>IF($N65="","",INDEX('반배정'!H$7:H$156,$N65))</f>
        <v/>
      </c>
      <c r="H65" s="37">
        <f>IF($N65="","",INDEX('반배정'!I$7:I$156,$N65))</f>
        <v/>
      </c>
      <c r="I65" s="27">
        <f>IF($N65="","",INDEX('반배정'!O$7:O$156,$N65))</f>
        <v/>
      </c>
      <c r="J65" s="10">
        <f>IF($N65="","",INDEX('반배정'!N$7:N$156,$N65)&amp;"")</f>
        <v/>
      </c>
      <c r="K65" s="10">
        <f>IF($N65="","",INDEX('반배정'!L$7:L$156,$N65))</f>
        <v/>
      </c>
      <c r="L65" s="10">
        <f>IF($N65="","",INDEX('반배정'!P$7:P$156,$N65))</f>
        <v/>
      </c>
      <c r="M65" s="10">
        <f>IFERROR(SMALL('반배정'!$Q$7:$Q$156,59),"")</f>
        <v/>
      </c>
      <c r="N65" s="10">
        <f>IF(M65="","",MATCH(M65,'반배정'!$Q$7:$Q$156,0))</f>
        <v/>
      </c>
    </row>
    <row r="66">
      <c r="A66" s="10">
        <f>IF($N66="","",INDEX('반배정'!J$7:J$156,$N66))</f>
        <v/>
      </c>
      <c r="B66" s="10">
        <f>IF($N66="","",INDEX('반배정'!B$7:B$156,$N66))</f>
        <v/>
      </c>
      <c r="C66" s="10">
        <f>IF($N66="","",INDEX('반배정'!C$7:C$156,$N66))</f>
        <v/>
      </c>
      <c r="D66" s="10">
        <f>IF($N66="","",INDEX('반배정'!D$7:D$156,$N66))</f>
        <v/>
      </c>
      <c r="E66" s="10">
        <f>IF($N66="","",INDEX('반배정'!E$7:E$156,$N66))</f>
        <v/>
      </c>
      <c r="F66" s="10">
        <f>IF($N66="","",INDEX('반배정'!G$7:G$156,$N66))</f>
        <v/>
      </c>
      <c r="G66" s="10">
        <f>IF($N66="","",INDEX('반배정'!H$7:H$156,$N66))</f>
        <v/>
      </c>
      <c r="H66" s="37">
        <f>IF($N66="","",INDEX('반배정'!I$7:I$156,$N66))</f>
        <v/>
      </c>
      <c r="I66" s="27">
        <f>IF($N66="","",INDEX('반배정'!O$7:O$156,$N66))</f>
        <v/>
      </c>
      <c r="J66" s="10">
        <f>IF($N66="","",INDEX('반배정'!N$7:N$156,$N66)&amp;"")</f>
        <v/>
      </c>
      <c r="K66" s="10">
        <f>IF($N66="","",INDEX('반배정'!L$7:L$156,$N66))</f>
        <v/>
      </c>
      <c r="L66" s="10">
        <f>IF($N66="","",INDEX('반배정'!P$7:P$156,$N66))</f>
        <v/>
      </c>
      <c r="M66" s="10">
        <f>IFERROR(SMALL('반배정'!$Q$7:$Q$156,60),"")</f>
        <v/>
      </c>
      <c r="N66" s="10">
        <f>IF(M66="","",MATCH(M66,'반배정'!$Q$7:$Q$156,0))</f>
        <v/>
      </c>
    </row>
    <row r="67">
      <c r="A67" s="10">
        <f>IF($N67="","",INDEX('반배정'!J$7:J$156,$N67))</f>
        <v/>
      </c>
      <c r="B67" s="10">
        <f>IF($N67="","",INDEX('반배정'!B$7:B$156,$N67))</f>
        <v/>
      </c>
      <c r="C67" s="10">
        <f>IF($N67="","",INDEX('반배정'!C$7:C$156,$N67))</f>
        <v/>
      </c>
      <c r="D67" s="10">
        <f>IF($N67="","",INDEX('반배정'!D$7:D$156,$N67))</f>
        <v/>
      </c>
      <c r="E67" s="10">
        <f>IF($N67="","",INDEX('반배정'!E$7:E$156,$N67))</f>
        <v/>
      </c>
      <c r="F67" s="10">
        <f>IF($N67="","",INDEX('반배정'!G$7:G$156,$N67))</f>
        <v/>
      </c>
      <c r="G67" s="10">
        <f>IF($N67="","",INDEX('반배정'!H$7:H$156,$N67))</f>
        <v/>
      </c>
      <c r="H67" s="37">
        <f>IF($N67="","",INDEX('반배정'!I$7:I$156,$N67))</f>
        <v/>
      </c>
      <c r="I67" s="27">
        <f>IF($N67="","",INDEX('반배정'!O$7:O$156,$N67))</f>
        <v/>
      </c>
      <c r="J67" s="10">
        <f>IF($N67="","",INDEX('반배정'!N$7:N$156,$N67)&amp;"")</f>
        <v/>
      </c>
      <c r="K67" s="10">
        <f>IF($N67="","",INDEX('반배정'!L$7:L$156,$N67))</f>
        <v/>
      </c>
      <c r="L67" s="10">
        <f>IF($N67="","",INDEX('반배정'!P$7:P$156,$N67))</f>
        <v/>
      </c>
      <c r="M67" s="10">
        <f>IFERROR(SMALL('반배정'!$Q$7:$Q$156,61),"")</f>
        <v/>
      </c>
      <c r="N67" s="10">
        <f>IF(M67="","",MATCH(M67,'반배정'!$Q$7:$Q$156,0))</f>
        <v/>
      </c>
    </row>
    <row r="68">
      <c r="A68" s="10">
        <f>IF($N68="","",INDEX('반배정'!J$7:J$156,$N68))</f>
        <v/>
      </c>
      <c r="B68" s="10">
        <f>IF($N68="","",INDEX('반배정'!B$7:B$156,$N68))</f>
        <v/>
      </c>
      <c r="C68" s="10">
        <f>IF($N68="","",INDEX('반배정'!C$7:C$156,$N68))</f>
        <v/>
      </c>
      <c r="D68" s="10">
        <f>IF($N68="","",INDEX('반배정'!D$7:D$156,$N68))</f>
        <v/>
      </c>
      <c r="E68" s="10">
        <f>IF($N68="","",INDEX('반배정'!E$7:E$156,$N68))</f>
        <v/>
      </c>
      <c r="F68" s="10">
        <f>IF($N68="","",INDEX('반배정'!G$7:G$156,$N68))</f>
        <v/>
      </c>
      <c r="G68" s="10">
        <f>IF($N68="","",INDEX('반배정'!H$7:H$156,$N68))</f>
        <v/>
      </c>
      <c r="H68" s="37">
        <f>IF($N68="","",INDEX('반배정'!I$7:I$156,$N68))</f>
        <v/>
      </c>
      <c r="I68" s="27">
        <f>IF($N68="","",INDEX('반배정'!O$7:O$156,$N68))</f>
        <v/>
      </c>
      <c r="J68" s="10">
        <f>IF($N68="","",INDEX('반배정'!N$7:N$156,$N68)&amp;"")</f>
        <v/>
      </c>
      <c r="K68" s="10">
        <f>IF($N68="","",INDEX('반배정'!L$7:L$156,$N68))</f>
        <v/>
      </c>
      <c r="L68" s="10">
        <f>IF($N68="","",INDEX('반배정'!P$7:P$156,$N68))</f>
        <v/>
      </c>
      <c r="M68" s="10">
        <f>IFERROR(SMALL('반배정'!$Q$7:$Q$156,62),"")</f>
        <v/>
      </c>
      <c r="N68" s="10">
        <f>IF(M68="","",MATCH(M68,'반배정'!$Q$7:$Q$156,0))</f>
        <v/>
      </c>
    </row>
    <row r="69">
      <c r="A69" s="10">
        <f>IF($N69="","",INDEX('반배정'!J$7:J$156,$N69))</f>
        <v/>
      </c>
      <c r="B69" s="10">
        <f>IF($N69="","",INDEX('반배정'!B$7:B$156,$N69))</f>
        <v/>
      </c>
      <c r="C69" s="10">
        <f>IF($N69="","",INDEX('반배정'!C$7:C$156,$N69))</f>
        <v/>
      </c>
      <c r="D69" s="10">
        <f>IF($N69="","",INDEX('반배정'!D$7:D$156,$N69))</f>
        <v/>
      </c>
      <c r="E69" s="10">
        <f>IF($N69="","",INDEX('반배정'!E$7:E$156,$N69))</f>
        <v/>
      </c>
      <c r="F69" s="10">
        <f>IF($N69="","",INDEX('반배정'!G$7:G$156,$N69))</f>
        <v/>
      </c>
      <c r="G69" s="10">
        <f>IF($N69="","",INDEX('반배정'!H$7:H$156,$N69))</f>
        <v/>
      </c>
      <c r="H69" s="37">
        <f>IF($N69="","",INDEX('반배정'!I$7:I$156,$N69))</f>
        <v/>
      </c>
      <c r="I69" s="27">
        <f>IF($N69="","",INDEX('반배정'!O$7:O$156,$N69))</f>
        <v/>
      </c>
      <c r="J69" s="10">
        <f>IF($N69="","",INDEX('반배정'!N$7:N$156,$N69)&amp;"")</f>
        <v/>
      </c>
      <c r="K69" s="10">
        <f>IF($N69="","",INDEX('반배정'!L$7:L$156,$N69))</f>
        <v/>
      </c>
      <c r="L69" s="10">
        <f>IF($N69="","",INDEX('반배정'!P$7:P$156,$N69))</f>
        <v/>
      </c>
      <c r="M69" s="10">
        <f>IFERROR(SMALL('반배정'!$Q$7:$Q$156,63),"")</f>
        <v/>
      </c>
      <c r="N69" s="10">
        <f>IF(M69="","",MATCH(M69,'반배정'!$Q$7:$Q$156,0))</f>
        <v/>
      </c>
    </row>
    <row r="70">
      <c r="A70" s="10">
        <f>IF($N70="","",INDEX('반배정'!J$7:J$156,$N70))</f>
        <v/>
      </c>
      <c r="B70" s="10">
        <f>IF($N70="","",INDEX('반배정'!B$7:B$156,$N70))</f>
        <v/>
      </c>
      <c r="C70" s="10">
        <f>IF($N70="","",INDEX('반배정'!C$7:C$156,$N70))</f>
        <v/>
      </c>
      <c r="D70" s="10">
        <f>IF($N70="","",INDEX('반배정'!D$7:D$156,$N70))</f>
        <v/>
      </c>
      <c r="E70" s="10">
        <f>IF($N70="","",INDEX('반배정'!E$7:E$156,$N70))</f>
        <v/>
      </c>
      <c r="F70" s="10">
        <f>IF($N70="","",INDEX('반배정'!G$7:G$156,$N70))</f>
        <v/>
      </c>
      <c r="G70" s="10">
        <f>IF($N70="","",INDEX('반배정'!H$7:H$156,$N70))</f>
        <v/>
      </c>
      <c r="H70" s="37">
        <f>IF($N70="","",INDEX('반배정'!I$7:I$156,$N70))</f>
        <v/>
      </c>
      <c r="I70" s="27">
        <f>IF($N70="","",INDEX('반배정'!O$7:O$156,$N70))</f>
        <v/>
      </c>
      <c r="J70" s="10">
        <f>IF($N70="","",INDEX('반배정'!N$7:N$156,$N70)&amp;"")</f>
        <v/>
      </c>
      <c r="K70" s="10">
        <f>IF($N70="","",INDEX('반배정'!L$7:L$156,$N70))</f>
        <v/>
      </c>
      <c r="L70" s="10">
        <f>IF($N70="","",INDEX('반배정'!P$7:P$156,$N70))</f>
        <v/>
      </c>
      <c r="M70" s="10">
        <f>IFERROR(SMALL('반배정'!$Q$7:$Q$156,64),"")</f>
        <v/>
      </c>
      <c r="N70" s="10">
        <f>IF(M70="","",MATCH(M70,'반배정'!$Q$7:$Q$156,0))</f>
        <v/>
      </c>
    </row>
    <row r="71">
      <c r="A71" s="10">
        <f>IF($N71="","",INDEX('반배정'!J$7:J$156,$N71))</f>
        <v/>
      </c>
      <c r="B71" s="10">
        <f>IF($N71="","",INDEX('반배정'!B$7:B$156,$N71))</f>
        <v/>
      </c>
      <c r="C71" s="10">
        <f>IF($N71="","",INDEX('반배정'!C$7:C$156,$N71))</f>
        <v/>
      </c>
      <c r="D71" s="10">
        <f>IF($N71="","",INDEX('반배정'!D$7:D$156,$N71))</f>
        <v/>
      </c>
      <c r="E71" s="10">
        <f>IF($N71="","",INDEX('반배정'!E$7:E$156,$N71))</f>
        <v/>
      </c>
      <c r="F71" s="10">
        <f>IF($N71="","",INDEX('반배정'!G$7:G$156,$N71))</f>
        <v/>
      </c>
      <c r="G71" s="10">
        <f>IF($N71="","",INDEX('반배정'!H$7:H$156,$N71))</f>
        <v/>
      </c>
      <c r="H71" s="37">
        <f>IF($N71="","",INDEX('반배정'!I$7:I$156,$N71))</f>
        <v/>
      </c>
      <c r="I71" s="27">
        <f>IF($N71="","",INDEX('반배정'!O$7:O$156,$N71))</f>
        <v/>
      </c>
      <c r="J71" s="10">
        <f>IF($N71="","",INDEX('반배정'!N$7:N$156,$N71)&amp;"")</f>
        <v/>
      </c>
      <c r="K71" s="10">
        <f>IF($N71="","",INDEX('반배정'!L$7:L$156,$N71))</f>
        <v/>
      </c>
      <c r="L71" s="10">
        <f>IF($N71="","",INDEX('반배정'!P$7:P$156,$N71))</f>
        <v/>
      </c>
      <c r="M71" s="10">
        <f>IFERROR(SMALL('반배정'!$Q$7:$Q$156,65),"")</f>
        <v/>
      </c>
      <c r="N71" s="10">
        <f>IF(M71="","",MATCH(M71,'반배정'!$Q$7:$Q$156,0))</f>
        <v/>
      </c>
    </row>
    <row r="72">
      <c r="A72" s="10">
        <f>IF($N72="","",INDEX('반배정'!J$7:J$156,$N72))</f>
        <v/>
      </c>
      <c r="B72" s="10">
        <f>IF($N72="","",INDEX('반배정'!B$7:B$156,$N72))</f>
        <v/>
      </c>
      <c r="C72" s="10">
        <f>IF($N72="","",INDEX('반배정'!C$7:C$156,$N72))</f>
        <v/>
      </c>
      <c r="D72" s="10">
        <f>IF($N72="","",INDEX('반배정'!D$7:D$156,$N72))</f>
        <v/>
      </c>
      <c r="E72" s="10">
        <f>IF($N72="","",INDEX('반배정'!E$7:E$156,$N72))</f>
        <v/>
      </c>
      <c r="F72" s="10">
        <f>IF($N72="","",INDEX('반배정'!G$7:G$156,$N72))</f>
        <v/>
      </c>
      <c r="G72" s="10">
        <f>IF($N72="","",INDEX('반배정'!H$7:H$156,$N72))</f>
        <v/>
      </c>
      <c r="H72" s="37">
        <f>IF($N72="","",INDEX('반배정'!I$7:I$156,$N72))</f>
        <v/>
      </c>
      <c r="I72" s="27">
        <f>IF($N72="","",INDEX('반배정'!O$7:O$156,$N72))</f>
        <v/>
      </c>
      <c r="J72" s="10">
        <f>IF($N72="","",INDEX('반배정'!N$7:N$156,$N72)&amp;"")</f>
        <v/>
      </c>
      <c r="K72" s="10">
        <f>IF($N72="","",INDEX('반배정'!L$7:L$156,$N72))</f>
        <v/>
      </c>
      <c r="L72" s="10">
        <f>IF($N72="","",INDEX('반배정'!P$7:P$156,$N72))</f>
        <v/>
      </c>
      <c r="M72" s="10">
        <f>IFERROR(SMALL('반배정'!$Q$7:$Q$156,66),"")</f>
        <v/>
      </c>
      <c r="N72" s="10">
        <f>IF(M72="","",MATCH(M72,'반배정'!$Q$7:$Q$156,0))</f>
        <v/>
      </c>
    </row>
    <row r="73">
      <c r="A73" s="10">
        <f>IF($N73="","",INDEX('반배정'!J$7:J$156,$N73))</f>
        <v/>
      </c>
      <c r="B73" s="10">
        <f>IF($N73="","",INDEX('반배정'!B$7:B$156,$N73))</f>
        <v/>
      </c>
      <c r="C73" s="10">
        <f>IF($N73="","",INDEX('반배정'!C$7:C$156,$N73))</f>
        <v/>
      </c>
      <c r="D73" s="10">
        <f>IF($N73="","",INDEX('반배정'!D$7:D$156,$N73))</f>
        <v/>
      </c>
      <c r="E73" s="10">
        <f>IF($N73="","",INDEX('반배정'!E$7:E$156,$N73))</f>
        <v/>
      </c>
      <c r="F73" s="10">
        <f>IF($N73="","",INDEX('반배정'!G$7:G$156,$N73))</f>
        <v/>
      </c>
      <c r="G73" s="10">
        <f>IF($N73="","",INDEX('반배정'!H$7:H$156,$N73))</f>
        <v/>
      </c>
      <c r="H73" s="37">
        <f>IF($N73="","",INDEX('반배정'!I$7:I$156,$N73))</f>
        <v/>
      </c>
      <c r="I73" s="27">
        <f>IF($N73="","",INDEX('반배정'!O$7:O$156,$N73))</f>
        <v/>
      </c>
      <c r="J73" s="10">
        <f>IF($N73="","",INDEX('반배정'!N$7:N$156,$N73)&amp;"")</f>
        <v/>
      </c>
      <c r="K73" s="10">
        <f>IF($N73="","",INDEX('반배정'!L$7:L$156,$N73))</f>
        <v/>
      </c>
      <c r="L73" s="10">
        <f>IF($N73="","",INDEX('반배정'!P$7:P$156,$N73))</f>
        <v/>
      </c>
      <c r="M73" s="10">
        <f>IFERROR(SMALL('반배정'!$Q$7:$Q$156,67),"")</f>
        <v/>
      </c>
      <c r="N73" s="10">
        <f>IF(M73="","",MATCH(M73,'반배정'!$Q$7:$Q$156,0))</f>
        <v/>
      </c>
    </row>
    <row r="74">
      <c r="A74" s="10">
        <f>IF($N74="","",INDEX('반배정'!J$7:J$156,$N74))</f>
        <v/>
      </c>
      <c r="B74" s="10">
        <f>IF($N74="","",INDEX('반배정'!B$7:B$156,$N74))</f>
        <v/>
      </c>
      <c r="C74" s="10">
        <f>IF($N74="","",INDEX('반배정'!C$7:C$156,$N74))</f>
        <v/>
      </c>
      <c r="D74" s="10">
        <f>IF($N74="","",INDEX('반배정'!D$7:D$156,$N74))</f>
        <v/>
      </c>
      <c r="E74" s="10">
        <f>IF($N74="","",INDEX('반배정'!E$7:E$156,$N74))</f>
        <v/>
      </c>
      <c r="F74" s="10">
        <f>IF($N74="","",INDEX('반배정'!G$7:G$156,$N74))</f>
        <v/>
      </c>
      <c r="G74" s="10">
        <f>IF($N74="","",INDEX('반배정'!H$7:H$156,$N74))</f>
        <v/>
      </c>
      <c r="H74" s="37">
        <f>IF($N74="","",INDEX('반배정'!I$7:I$156,$N74))</f>
        <v/>
      </c>
      <c r="I74" s="27">
        <f>IF($N74="","",INDEX('반배정'!O$7:O$156,$N74))</f>
        <v/>
      </c>
      <c r="J74" s="10">
        <f>IF($N74="","",INDEX('반배정'!N$7:N$156,$N74)&amp;"")</f>
        <v/>
      </c>
      <c r="K74" s="10">
        <f>IF($N74="","",INDEX('반배정'!L$7:L$156,$N74))</f>
        <v/>
      </c>
      <c r="L74" s="10">
        <f>IF($N74="","",INDEX('반배정'!P$7:P$156,$N74))</f>
        <v/>
      </c>
      <c r="M74" s="10">
        <f>IFERROR(SMALL('반배정'!$Q$7:$Q$156,68),"")</f>
        <v/>
      </c>
      <c r="N74" s="10">
        <f>IF(M74="","",MATCH(M74,'반배정'!$Q$7:$Q$156,0))</f>
        <v/>
      </c>
    </row>
    <row r="75">
      <c r="A75" s="10">
        <f>IF($N75="","",INDEX('반배정'!J$7:J$156,$N75))</f>
        <v/>
      </c>
      <c r="B75" s="10">
        <f>IF($N75="","",INDEX('반배정'!B$7:B$156,$N75))</f>
        <v/>
      </c>
      <c r="C75" s="10">
        <f>IF($N75="","",INDEX('반배정'!C$7:C$156,$N75))</f>
        <v/>
      </c>
      <c r="D75" s="10">
        <f>IF($N75="","",INDEX('반배정'!D$7:D$156,$N75))</f>
        <v/>
      </c>
      <c r="E75" s="10">
        <f>IF($N75="","",INDEX('반배정'!E$7:E$156,$N75))</f>
        <v/>
      </c>
      <c r="F75" s="10">
        <f>IF($N75="","",INDEX('반배정'!G$7:G$156,$N75))</f>
        <v/>
      </c>
      <c r="G75" s="10">
        <f>IF($N75="","",INDEX('반배정'!H$7:H$156,$N75))</f>
        <v/>
      </c>
      <c r="H75" s="37">
        <f>IF($N75="","",INDEX('반배정'!I$7:I$156,$N75))</f>
        <v/>
      </c>
      <c r="I75" s="27">
        <f>IF($N75="","",INDEX('반배정'!O$7:O$156,$N75))</f>
        <v/>
      </c>
      <c r="J75" s="10">
        <f>IF($N75="","",INDEX('반배정'!N$7:N$156,$N75)&amp;"")</f>
        <v/>
      </c>
      <c r="K75" s="10">
        <f>IF($N75="","",INDEX('반배정'!L$7:L$156,$N75))</f>
        <v/>
      </c>
      <c r="L75" s="10">
        <f>IF($N75="","",INDEX('반배정'!P$7:P$156,$N75))</f>
        <v/>
      </c>
      <c r="M75" s="10">
        <f>IFERROR(SMALL('반배정'!$Q$7:$Q$156,69),"")</f>
        <v/>
      </c>
      <c r="N75" s="10">
        <f>IF(M75="","",MATCH(M75,'반배정'!$Q$7:$Q$156,0))</f>
        <v/>
      </c>
    </row>
    <row r="76">
      <c r="A76" s="10">
        <f>IF($N76="","",INDEX('반배정'!J$7:J$156,$N76))</f>
        <v/>
      </c>
      <c r="B76" s="10">
        <f>IF($N76="","",INDEX('반배정'!B$7:B$156,$N76))</f>
        <v/>
      </c>
      <c r="C76" s="10">
        <f>IF($N76="","",INDEX('반배정'!C$7:C$156,$N76))</f>
        <v/>
      </c>
      <c r="D76" s="10">
        <f>IF($N76="","",INDEX('반배정'!D$7:D$156,$N76))</f>
        <v/>
      </c>
      <c r="E76" s="10">
        <f>IF($N76="","",INDEX('반배정'!E$7:E$156,$N76))</f>
        <v/>
      </c>
      <c r="F76" s="10">
        <f>IF($N76="","",INDEX('반배정'!G$7:G$156,$N76))</f>
        <v/>
      </c>
      <c r="G76" s="10">
        <f>IF($N76="","",INDEX('반배정'!H$7:H$156,$N76))</f>
        <v/>
      </c>
      <c r="H76" s="37">
        <f>IF($N76="","",INDEX('반배정'!I$7:I$156,$N76))</f>
        <v/>
      </c>
      <c r="I76" s="27">
        <f>IF($N76="","",INDEX('반배정'!O$7:O$156,$N76))</f>
        <v/>
      </c>
      <c r="J76" s="10">
        <f>IF($N76="","",INDEX('반배정'!N$7:N$156,$N76)&amp;"")</f>
        <v/>
      </c>
      <c r="K76" s="10">
        <f>IF($N76="","",INDEX('반배정'!L$7:L$156,$N76))</f>
        <v/>
      </c>
      <c r="L76" s="10">
        <f>IF($N76="","",INDEX('반배정'!P$7:P$156,$N76))</f>
        <v/>
      </c>
      <c r="M76" s="10">
        <f>IFERROR(SMALL('반배정'!$Q$7:$Q$156,70),"")</f>
        <v/>
      </c>
      <c r="N76" s="10">
        <f>IF(M76="","",MATCH(M76,'반배정'!$Q$7:$Q$156,0))</f>
        <v/>
      </c>
    </row>
    <row r="77">
      <c r="A77" s="10">
        <f>IF($N77="","",INDEX('반배정'!J$7:J$156,$N77))</f>
        <v/>
      </c>
      <c r="B77" s="10">
        <f>IF($N77="","",INDEX('반배정'!B$7:B$156,$N77))</f>
        <v/>
      </c>
      <c r="C77" s="10">
        <f>IF($N77="","",INDEX('반배정'!C$7:C$156,$N77))</f>
        <v/>
      </c>
      <c r="D77" s="10">
        <f>IF($N77="","",INDEX('반배정'!D$7:D$156,$N77))</f>
        <v/>
      </c>
      <c r="E77" s="10">
        <f>IF($N77="","",INDEX('반배정'!E$7:E$156,$N77))</f>
        <v/>
      </c>
      <c r="F77" s="10">
        <f>IF($N77="","",INDEX('반배정'!G$7:G$156,$N77))</f>
        <v/>
      </c>
      <c r="G77" s="10">
        <f>IF($N77="","",INDEX('반배정'!H$7:H$156,$N77))</f>
        <v/>
      </c>
      <c r="H77" s="37">
        <f>IF($N77="","",INDEX('반배정'!I$7:I$156,$N77))</f>
        <v/>
      </c>
      <c r="I77" s="27">
        <f>IF($N77="","",INDEX('반배정'!O$7:O$156,$N77))</f>
        <v/>
      </c>
      <c r="J77" s="10">
        <f>IF($N77="","",INDEX('반배정'!N$7:N$156,$N77)&amp;"")</f>
        <v/>
      </c>
      <c r="K77" s="10">
        <f>IF($N77="","",INDEX('반배정'!L$7:L$156,$N77))</f>
        <v/>
      </c>
      <c r="L77" s="10">
        <f>IF($N77="","",INDEX('반배정'!P$7:P$156,$N77))</f>
        <v/>
      </c>
      <c r="M77" s="10">
        <f>IFERROR(SMALL('반배정'!$Q$7:$Q$156,71),"")</f>
        <v/>
      </c>
      <c r="N77" s="10">
        <f>IF(M77="","",MATCH(M77,'반배정'!$Q$7:$Q$156,0))</f>
        <v/>
      </c>
    </row>
    <row r="78">
      <c r="A78" s="10">
        <f>IF($N78="","",INDEX('반배정'!J$7:J$156,$N78))</f>
        <v/>
      </c>
      <c r="B78" s="10">
        <f>IF($N78="","",INDEX('반배정'!B$7:B$156,$N78))</f>
        <v/>
      </c>
      <c r="C78" s="10">
        <f>IF($N78="","",INDEX('반배정'!C$7:C$156,$N78))</f>
        <v/>
      </c>
      <c r="D78" s="10">
        <f>IF($N78="","",INDEX('반배정'!D$7:D$156,$N78))</f>
        <v/>
      </c>
      <c r="E78" s="10">
        <f>IF($N78="","",INDEX('반배정'!E$7:E$156,$N78))</f>
        <v/>
      </c>
      <c r="F78" s="10">
        <f>IF($N78="","",INDEX('반배정'!G$7:G$156,$N78))</f>
        <v/>
      </c>
      <c r="G78" s="10">
        <f>IF($N78="","",INDEX('반배정'!H$7:H$156,$N78))</f>
        <v/>
      </c>
      <c r="H78" s="37">
        <f>IF($N78="","",INDEX('반배정'!I$7:I$156,$N78))</f>
        <v/>
      </c>
      <c r="I78" s="27">
        <f>IF($N78="","",INDEX('반배정'!O$7:O$156,$N78))</f>
        <v/>
      </c>
      <c r="J78" s="10">
        <f>IF($N78="","",INDEX('반배정'!N$7:N$156,$N78)&amp;"")</f>
        <v/>
      </c>
      <c r="K78" s="10">
        <f>IF($N78="","",INDEX('반배정'!L$7:L$156,$N78))</f>
        <v/>
      </c>
      <c r="L78" s="10">
        <f>IF($N78="","",INDEX('반배정'!P$7:P$156,$N78))</f>
        <v/>
      </c>
      <c r="M78" s="10">
        <f>IFERROR(SMALL('반배정'!$Q$7:$Q$156,72),"")</f>
        <v/>
      </c>
      <c r="N78" s="10">
        <f>IF(M78="","",MATCH(M78,'반배정'!$Q$7:$Q$156,0))</f>
        <v/>
      </c>
    </row>
    <row r="79">
      <c r="A79" s="10">
        <f>IF($N79="","",INDEX('반배정'!J$7:J$156,$N79))</f>
        <v/>
      </c>
      <c r="B79" s="10">
        <f>IF($N79="","",INDEX('반배정'!B$7:B$156,$N79))</f>
        <v/>
      </c>
      <c r="C79" s="10">
        <f>IF($N79="","",INDEX('반배정'!C$7:C$156,$N79))</f>
        <v/>
      </c>
      <c r="D79" s="10">
        <f>IF($N79="","",INDEX('반배정'!D$7:D$156,$N79))</f>
        <v/>
      </c>
      <c r="E79" s="10">
        <f>IF($N79="","",INDEX('반배정'!E$7:E$156,$N79))</f>
        <v/>
      </c>
      <c r="F79" s="10">
        <f>IF($N79="","",INDEX('반배정'!G$7:G$156,$N79))</f>
        <v/>
      </c>
      <c r="G79" s="10">
        <f>IF($N79="","",INDEX('반배정'!H$7:H$156,$N79))</f>
        <v/>
      </c>
      <c r="H79" s="37">
        <f>IF($N79="","",INDEX('반배정'!I$7:I$156,$N79))</f>
        <v/>
      </c>
      <c r="I79" s="27">
        <f>IF($N79="","",INDEX('반배정'!O$7:O$156,$N79))</f>
        <v/>
      </c>
      <c r="J79" s="10">
        <f>IF($N79="","",INDEX('반배정'!N$7:N$156,$N79)&amp;"")</f>
        <v/>
      </c>
      <c r="K79" s="10">
        <f>IF($N79="","",INDEX('반배정'!L$7:L$156,$N79))</f>
        <v/>
      </c>
      <c r="L79" s="10">
        <f>IF($N79="","",INDEX('반배정'!P$7:P$156,$N79))</f>
        <v/>
      </c>
      <c r="M79" s="10">
        <f>IFERROR(SMALL('반배정'!$Q$7:$Q$156,73),"")</f>
        <v/>
      </c>
      <c r="N79" s="10">
        <f>IF(M79="","",MATCH(M79,'반배정'!$Q$7:$Q$156,0))</f>
        <v/>
      </c>
    </row>
    <row r="80">
      <c r="A80" s="10">
        <f>IF($N80="","",INDEX('반배정'!J$7:J$156,$N80))</f>
        <v/>
      </c>
      <c r="B80" s="10">
        <f>IF($N80="","",INDEX('반배정'!B$7:B$156,$N80))</f>
        <v/>
      </c>
      <c r="C80" s="10">
        <f>IF($N80="","",INDEX('반배정'!C$7:C$156,$N80))</f>
        <v/>
      </c>
      <c r="D80" s="10">
        <f>IF($N80="","",INDEX('반배정'!D$7:D$156,$N80))</f>
        <v/>
      </c>
      <c r="E80" s="10">
        <f>IF($N80="","",INDEX('반배정'!E$7:E$156,$N80))</f>
        <v/>
      </c>
      <c r="F80" s="10">
        <f>IF($N80="","",INDEX('반배정'!G$7:G$156,$N80))</f>
        <v/>
      </c>
      <c r="G80" s="10">
        <f>IF($N80="","",INDEX('반배정'!H$7:H$156,$N80))</f>
        <v/>
      </c>
      <c r="H80" s="37">
        <f>IF($N80="","",INDEX('반배정'!I$7:I$156,$N80))</f>
        <v/>
      </c>
      <c r="I80" s="27">
        <f>IF($N80="","",INDEX('반배정'!O$7:O$156,$N80))</f>
        <v/>
      </c>
      <c r="J80" s="10">
        <f>IF($N80="","",INDEX('반배정'!N$7:N$156,$N80)&amp;"")</f>
        <v/>
      </c>
      <c r="K80" s="10">
        <f>IF($N80="","",INDEX('반배정'!L$7:L$156,$N80))</f>
        <v/>
      </c>
      <c r="L80" s="10">
        <f>IF($N80="","",INDEX('반배정'!P$7:P$156,$N80))</f>
        <v/>
      </c>
      <c r="M80" s="10">
        <f>IFERROR(SMALL('반배정'!$Q$7:$Q$156,74),"")</f>
        <v/>
      </c>
      <c r="N80" s="10">
        <f>IF(M80="","",MATCH(M80,'반배정'!$Q$7:$Q$156,0))</f>
        <v/>
      </c>
    </row>
    <row r="81">
      <c r="A81" s="10">
        <f>IF($N81="","",INDEX('반배정'!J$7:J$156,$N81))</f>
        <v/>
      </c>
      <c r="B81" s="10">
        <f>IF($N81="","",INDEX('반배정'!B$7:B$156,$N81))</f>
        <v/>
      </c>
      <c r="C81" s="10">
        <f>IF($N81="","",INDEX('반배정'!C$7:C$156,$N81))</f>
        <v/>
      </c>
      <c r="D81" s="10">
        <f>IF($N81="","",INDEX('반배정'!D$7:D$156,$N81))</f>
        <v/>
      </c>
      <c r="E81" s="10">
        <f>IF($N81="","",INDEX('반배정'!E$7:E$156,$N81))</f>
        <v/>
      </c>
      <c r="F81" s="10">
        <f>IF($N81="","",INDEX('반배정'!G$7:G$156,$N81))</f>
        <v/>
      </c>
      <c r="G81" s="10">
        <f>IF($N81="","",INDEX('반배정'!H$7:H$156,$N81))</f>
        <v/>
      </c>
      <c r="H81" s="37">
        <f>IF($N81="","",INDEX('반배정'!I$7:I$156,$N81))</f>
        <v/>
      </c>
      <c r="I81" s="27">
        <f>IF($N81="","",INDEX('반배정'!O$7:O$156,$N81))</f>
        <v/>
      </c>
      <c r="J81" s="10">
        <f>IF($N81="","",INDEX('반배정'!N$7:N$156,$N81)&amp;"")</f>
        <v/>
      </c>
      <c r="K81" s="10">
        <f>IF($N81="","",INDEX('반배정'!L$7:L$156,$N81))</f>
        <v/>
      </c>
      <c r="L81" s="10">
        <f>IF($N81="","",INDEX('반배정'!P$7:P$156,$N81))</f>
        <v/>
      </c>
      <c r="M81" s="10">
        <f>IFERROR(SMALL('반배정'!$Q$7:$Q$156,75),"")</f>
        <v/>
      </c>
      <c r="N81" s="10">
        <f>IF(M81="","",MATCH(M81,'반배정'!$Q$7:$Q$156,0))</f>
        <v/>
      </c>
    </row>
    <row r="82">
      <c r="A82" s="10">
        <f>IF($N82="","",INDEX('반배정'!J$7:J$156,$N82))</f>
        <v/>
      </c>
      <c r="B82" s="10">
        <f>IF($N82="","",INDEX('반배정'!B$7:B$156,$N82))</f>
        <v/>
      </c>
      <c r="C82" s="10">
        <f>IF($N82="","",INDEX('반배정'!C$7:C$156,$N82))</f>
        <v/>
      </c>
      <c r="D82" s="10">
        <f>IF($N82="","",INDEX('반배정'!D$7:D$156,$N82))</f>
        <v/>
      </c>
      <c r="E82" s="10">
        <f>IF($N82="","",INDEX('반배정'!E$7:E$156,$N82))</f>
        <v/>
      </c>
      <c r="F82" s="10">
        <f>IF($N82="","",INDEX('반배정'!G$7:G$156,$N82))</f>
        <v/>
      </c>
      <c r="G82" s="10">
        <f>IF($N82="","",INDEX('반배정'!H$7:H$156,$N82))</f>
        <v/>
      </c>
      <c r="H82" s="37">
        <f>IF($N82="","",INDEX('반배정'!I$7:I$156,$N82))</f>
        <v/>
      </c>
      <c r="I82" s="27">
        <f>IF($N82="","",INDEX('반배정'!O$7:O$156,$N82))</f>
        <v/>
      </c>
      <c r="J82" s="10">
        <f>IF($N82="","",INDEX('반배정'!N$7:N$156,$N82)&amp;"")</f>
        <v/>
      </c>
      <c r="K82" s="10">
        <f>IF($N82="","",INDEX('반배정'!L$7:L$156,$N82))</f>
        <v/>
      </c>
      <c r="L82" s="10">
        <f>IF($N82="","",INDEX('반배정'!P$7:P$156,$N82))</f>
        <v/>
      </c>
      <c r="M82" s="10">
        <f>IFERROR(SMALL('반배정'!$Q$7:$Q$156,76),"")</f>
        <v/>
      </c>
      <c r="N82" s="10">
        <f>IF(M82="","",MATCH(M82,'반배정'!$Q$7:$Q$156,0))</f>
        <v/>
      </c>
    </row>
    <row r="83">
      <c r="A83" s="10">
        <f>IF($N83="","",INDEX('반배정'!J$7:J$156,$N83))</f>
        <v/>
      </c>
      <c r="B83" s="10">
        <f>IF($N83="","",INDEX('반배정'!B$7:B$156,$N83))</f>
        <v/>
      </c>
      <c r="C83" s="10">
        <f>IF($N83="","",INDEX('반배정'!C$7:C$156,$N83))</f>
        <v/>
      </c>
      <c r="D83" s="10">
        <f>IF($N83="","",INDEX('반배정'!D$7:D$156,$N83))</f>
        <v/>
      </c>
      <c r="E83" s="10">
        <f>IF($N83="","",INDEX('반배정'!E$7:E$156,$N83))</f>
        <v/>
      </c>
      <c r="F83" s="10">
        <f>IF($N83="","",INDEX('반배정'!G$7:G$156,$N83))</f>
        <v/>
      </c>
      <c r="G83" s="10">
        <f>IF($N83="","",INDEX('반배정'!H$7:H$156,$N83))</f>
        <v/>
      </c>
      <c r="H83" s="37">
        <f>IF($N83="","",INDEX('반배정'!I$7:I$156,$N83))</f>
        <v/>
      </c>
      <c r="I83" s="27">
        <f>IF($N83="","",INDEX('반배정'!O$7:O$156,$N83))</f>
        <v/>
      </c>
      <c r="J83" s="10">
        <f>IF($N83="","",INDEX('반배정'!N$7:N$156,$N83)&amp;"")</f>
        <v/>
      </c>
      <c r="K83" s="10">
        <f>IF($N83="","",INDEX('반배정'!L$7:L$156,$N83))</f>
        <v/>
      </c>
      <c r="L83" s="10">
        <f>IF($N83="","",INDEX('반배정'!P$7:P$156,$N83))</f>
        <v/>
      </c>
      <c r="M83" s="10">
        <f>IFERROR(SMALL('반배정'!$Q$7:$Q$156,77),"")</f>
        <v/>
      </c>
      <c r="N83" s="10">
        <f>IF(M83="","",MATCH(M83,'반배정'!$Q$7:$Q$156,0))</f>
        <v/>
      </c>
    </row>
    <row r="84">
      <c r="A84" s="10">
        <f>IF($N84="","",INDEX('반배정'!J$7:J$156,$N84))</f>
        <v/>
      </c>
      <c r="B84" s="10">
        <f>IF($N84="","",INDEX('반배정'!B$7:B$156,$N84))</f>
        <v/>
      </c>
      <c r="C84" s="10">
        <f>IF($N84="","",INDEX('반배정'!C$7:C$156,$N84))</f>
        <v/>
      </c>
      <c r="D84" s="10">
        <f>IF($N84="","",INDEX('반배정'!D$7:D$156,$N84))</f>
        <v/>
      </c>
      <c r="E84" s="10">
        <f>IF($N84="","",INDEX('반배정'!E$7:E$156,$N84))</f>
        <v/>
      </c>
      <c r="F84" s="10">
        <f>IF($N84="","",INDEX('반배정'!G$7:G$156,$N84))</f>
        <v/>
      </c>
      <c r="G84" s="10">
        <f>IF($N84="","",INDEX('반배정'!H$7:H$156,$N84))</f>
        <v/>
      </c>
      <c r="H84" s="37">
        <f>IF($N84="","",INDEX('반배정'!I$7:I$156,$N84))</f>
        <v/>
      </c>
      <c r="I84" s="27">
        <f>IF($N84="","",INDEX('반배정'!O$7:O$156,$N84))</f>
        <v/>
      </c>
      <c r="J84" s="10">
        <f>IF($N84="","",INDEX('반배정'!N$7:N$156,$N84)&amp;"")</f>
        <v/>
      </c>
      <c r="K84" s="10">
        <f>IF($N84="","",INDEX('반배정'!L$7:L$156,$N84))</f>
        <v/>
      </c>
      <c r="L84" s="10">
        <f>IF($N84="","",INDEX('반배정'!P$7:P$156,$N84))</f>
        <v/>
      </c>
      <c r="M84" s="10">
        <f>IFERROR(SMALL('반배정'!$Q$7:$Q$156,78),"")</f>
        <v/>
      </c>
      <c r="N84" s="10">
        <f>IF(M84="","",MATCH(M84,'반배정'!$Q$7:$Q$156,0))</f>
        <v/>
      </c>
    </row>
    <row r="85">
      <c r="A85" s="10">
        <f>IF($N85="","",INDEX('반배정'!J$7:J$156,$N85))</f>
        <v/>
      </c>
      <c r="B85" s="10">
        <f>IF($N85="","",INDEX('반배정'!B$7:B$156,$N85))</f>
        <v/>
      </c>
      <c r="C85" s="10">
        <f>IF($N85="","",INDEX('반배정'!C$7:C$156,$N85))</f>
        <v/>
      </c>
      <c r="D85" s="10">
        <f>IF($N85="","",INDEX('반배정'!D$7:D$156,$N85))</f>
        <v/>
      </c>
      <c r="E85" s="10">
        <f>IF($N85="","",INDEX('반배정'!E$7:E$156,$N85))</f>
        <v/>
      </c>
      <c r="F85" s="10">
        <f>IF($N85="","",INDEX('반배정'!G$7:G$156,$N85))</f>
        <v/>
      </c>
      <c r="G85" s="10">
        <f>IF($N85="","",INDEX('반배정'!H$7:H$156,$N85))</f>
        <v/>
      </c>
      <c r="H85" s="37">
        <f>IF($N85="","",INDEX('반배정'!I$7:I$156,$N85))</f>
        <v/>
      </c>
      <c r="I85" s="27">
        <f>IF($N85="","",INDEX('반배정'!O$7:O$156,$N85))</f>
        <v/>
      </c>
      <c r="J85" s="10">
        <f>IF($N85="","",INDEX('반배정'!N$7:N$156,$N85)&amp;"")</f>
        <v/>
      </c>
      <c r="K85" s="10">
        <f>IF($N85="","",INDEX('반배정'!L$7:L$156,$N85))</f>
        <v/>
      </c>
      <c r="L85" s="10">
        <f>IF($N85="","",INDEX('반배정'!P$7:P$156,$N85))</f>
        <v/>
      </c>
      <c r="M85" s="10">
        <f>IFERROR(SMALL('반배정'!$Q$7:$Q$156,79),"")</f>
        <v/>
      </c>
      <c r="N85" s="10">
        <f>IF(M85="","",MATCH(M85,'반배정'!$Q$7:$Q$156,0))</f>
        <v/>
      </c>
    </row>
    <row r="86">
      <c r="A86" s="10">
        <f>IF($N86="","",INDEX('반배정'!J$7:J$156,$N86))</f>
        <v/>
      </c>
      <c r="B86" s="10">
        <f>IF($N86="","",INDEX('반배정'!B$7:B$156,$N86))</f>
        <v/>
      </c>
      <c r="C86" s="10">
        <f>IF($N86="","",INDEX('반배정'!C$7:C$156,$N86))</f>
        <v/>
      </c>
      <c r="D86" s="10">
        <f>IF($N86="","",INDEX('반배정'!D$7:D$156,$N86))</f>
        <v/>
      </c>
      <c r="E86" s="10">
        <f>IF($N86="","",INDEX('반배정'!E$7:E$156,$N86))</f>
        <v/>
      </c>
      <c r="F86" s="10">
        <f>IF($N86="","",INDEX('반배정'!G$7:G$156,$N86))</f>
        <v/>
      </c>
      <c r="G86" s="10">
        <f>IF($N86="","",INDEX('반배정'!H$7:H$156,$N86))</f>
        <v/>
      </c>
      <c r="H86" s="37">
        <f>IF($N86="","",INDEX('반배정'!I$7:I$156,$N86))</f>
        <v/>
      </c>
      <c r="I86" s="27">
        <f>IF($N86="","",INDEX('반배정'!O$7:O$156,$N86))</f>
        <v/>
      </c>
      <c r="J86" s="10">
        <f>IF($N86="","",INDEX('반배정'!N$7:N$156,$N86)&amp;"")</f>
        <v/>
      </c>
      <c r="K86" s="10">
        <f>IF($N86="","",INDEX('반배정'!L$7:L$156,$N86))</f>
        <v/>
      </c>
      <c r="L86" s="10">
        <f>IF($N86="","",INDEX('반배정'!P$7:P$156,$N86))</f>
        <v/>
      </c>
      <c r="M86" s="10">
        <f>IFERROR(SMALL('반배정'!$Q$7:$Q$156,80),"")</f>
        <v/>
      </c>
      <c r="N86" s="10">
        <f>IF(M86="","",MATCH(M86,'반배정'!$Q$7:$Q$156,0))</f>
        <v/>
      </c>
    </row>
    <row r="87">
      <c r="A87" s="10">
        <f>IF($N87="","",INDEX('반배정'!J$7:J$156,$N87))</f>
        <v/>
      </c>
      <c r="B87" s="10">
        <f>IF($N87="","",INDEX('반배정'!B$7:B$156,$N87))</f>
        <v/>
      </c>
      <c r="C87" s="10">
        <f>IF($N87="","",INDEX('반배정'!C$7:C$156,$N87))</f>
        <v/>
      </c>
      <c r="D87" s="10">
        <f>IF($N87="","",INDEX('반배정'!D$7:D$156,$N87))</f>
        <v/>
      </c>
      <c r="E87" s="10">
        <f>IF($N87="","",INDEX('반배정'!E$7:E$156,$N87))</f>
        <v/>
      </c>
      <c r="F87" s="10">
        <f>IF($N87="","",INDEX('반배정'!G$7:G$156,$N87))</f>
        <v/>
      </c>
      <c r="G87" s="10">
        <f>IF($N87="","",INDEX('반배정'!H$7:H$156,$N87))</f>
        <v/>
      </c>
      <c r="H87" s="37">
        <f>IF($N87="","",INDEX('반배정'!I$7:I$156,$N87))</f>
        <v/>
      </c>
      <c r="I87" s="27">
        <f>IF($N87="","",INDEX('반배정'!O$7:O$156,$N87))</f>
        <v/>
      </c>
      <c r="J87" s="10">
        <f>IF($N87="","",INDEX('반배정'!N$7:N$156,$N87)&amp;"")</f>
        <v/>
      </c>
      <c r="K87" s="10">
        <f>IF($N87="","",INDEX('반배정'!L$7:L$156,$N87))</f>
        <v/>
      </c>
      <c r="L87" s="10">
        <f>IF($N87="","",INDEX('반배정'!P$7:P$156,$N87))</f>
        <v/>
      </c>
      <c r="M87" s="10">
        <f>IFERROR(SMALL('반배정'!$Q$7:$Q$156,81),"")</f>
        <v/>
      </c>
      <c r="N87" s="10">
        <f>IF(M87="","",MATCH(M87,'반배정'!$Q$7:$Q$156,0))</f>
        <v/>
      </c>
    </row>
    <row r="88">
      <c r="A88" s="10">
        <f>IF($N88="","",INDEX('반배정'!J$7:J$156,$N88))</f>
        <v/>
      </c>
      <c r="B88" s="10">
        <f>IF($N88="","",INDEX('반배정'!B$7:B$156,$N88))</f>
        <v/>
      </c>
      <c r="C88" s="10">
        <f>IF($N88="","",INDEX('반배정'!C$7:C$156,$N88))</f>
        <v/>
      </c>
      <c r="D88" s="10">
        <f>IF($N88="","",INDEX('반배정'!D$7:D$156,$N88))</f>
        <v/>
      </c>
      <c r="E88" s="10">
        <f>IF($N88="","",INDEX('반배정'!E$7:E$156,$N88))</f>
        <v/>
      </c>
      <c r="F88" s="10">
        <f>IF($N88="","",INDEX('반배정'!G$7:G$156,$N88))</f>
        <v/>
      </c>
      <c r="G88" s="10">
        <f>IF($N88="","",INDEX('반배정'!H$7:H$156,$N88))</f>
        <v/>
      </c>
      <c r="H88" s="37">
        <f>IF($N88="","",INDEX('반배정'!I$7:I$156,$N88))</f>
        <v/>
      </c>
      <c r="I88" s="27">
        <f>IF($N88="","",INDEX('반배정'!O$7:O$156,$N88))</f>
        <v/>
      </c>
      <c r="J88" s="10">
        <f>IF($N88="","",INDEX('반배정'!N$7:N$156,$N88)&amp;"")</f>
        <v/>
      </c>
      <c r="K88" s="10">
        <f>IF($N88="","",INDEX('반배정'!L$7:L$156,$N88))</f>
        <v/>
      </c>
      <c r="L88" s="10">
        <f>IF($N88="","",INDEX('반배정'!P$7:P$156,$N88))</f>
        <v/>
      </c>
      <c r="M88" s="10">
        <f>IFERROR(SMALL('반배정'!$Q$7:$Q$156,82),"")</f>
        <v/>
      </c>
      <c r="N88" s="10">
        <f>IF(M88="","",MATCH(M88,'반배정'!$Q$7:$Q$156,0))</f>
        <v/>
      </c>
    </row>
    <row r="89">
      <c r="A89" s="10">
        <f>IF($N89="","",INDEX('반배정'!J$7:J$156,$N89))</f>
        <v/>
      </c>
      <c r="B89" s="10">
        <f>IF($N89="","",INDEX('반배정'!B$7:B$156,$N89))</f>
        <v/>
      </c>
      <c r="C89" s="10">
        <f>IF($N89="","",INDEX('반배정'!C$7:C$156,$N89))</f>
        <v/>
      </c>
      <c r="D89" s="10">
        <f>IF($N89="","",INDEX('반배정'!D$7:D$156,$N89))</f>
        <v/>
      </c>
      <c r="E89" s="10">
        <f>IF($N89="","",INDEX('반배정'!E$7:E$156,$N89))</f>
        <v/>
      </c>
      <c r="F89" s="10">
        <f>IF($N89="","",INDEX('반배정'!G$7:G$156,$N89))</f>
        <v/>
      </c>
      <c r="G89" s="10">
        <f>IF($N89="","",INDEX('반배정'!H$7:H$156,$N89))</f>
        <v/>
      </c>
      <c r="H89" s="37">
        <f>IF($N89="","",INDEX('반배정'!I$7:I$156,$N89))</f>
        <v/>
      </c>
      <c r="I89" s="27">
        <f>IF($N89="","",INDEX('반배정'!O$7:O$156,$N89))</f>
        <v/>
      </c>
      <c r="J89" s="10">
        <f>IF($N89="","",INDEX('반배정'!N$7:N$156,$N89)&amp;"")</f>
        <v/>
      </c>
      <c r="K89" s="10">
        <f>IF($N89="","",INDEX('반배정'!L$7:L$156,$N89))</f>
        <v/>
      </c>
      <c r="L89" s="10">
        <f>IF($N89="","",INDEX('반배정'!P$7:P$156,$N89))</f>
        <v/>
      </c>
      <c r="M89" s="10">
        <f>IFERROR(SMALL('반배정'!$Q$7:$Q$156,83),"")</f>
        <v/>
      </c>
      <c r="N89" s="10">
        <f>IF(M89="","",MATCH(M89,'반배정'!$Q$7:$Q$156,0))</f>
        <v/>
      </c>
    </row>
    <row r="90">
      <c r="A90" s="10">
        <f>IF($N90="","",INDEX('반배정'!J$7:J$156,$N90))</f>
        <v/>
      </c>
      <c r="B90" s="10">
        <f>IF($N90="","",INDEX('반배정'!B$7:B$156,$N90))</f>
        <v/>
      </c>
      <c r="C90" s="10">
        <f>IF($N90="","",INDEX('반배정'!C$7:C$156,$N90))</f>
        <v/>
      </c>
      <c r="D90" s="10">
        <f>IF($N90="","",INDEX('반배정'!D$7:D$156,$N90))</f>
        <v/>
      </c>
      <c r="E90" s="10">
        <f>IF($N90="","",INDEX('반배정'!E$7:E$156,$N90))</f>
        <v/>
      </c>
      <c r="F90" s="10">
        <f>IF($N90="","",INDEX('반배정'!G$7:G$156,$N90))</f>
        <v/>
      </c>
      <c r="G90" s="10">
        <f>IF($N90="","",INDEX('반배정'!H$7:H$156,$N90))</f>
        <v/>
      </c>
      <c r="H90" s="37">
        <f>IF($N90="","",INDEX('반배정'!I$7:I$156,$N90))</f>
        <v/>
      </c>
      <c r="I90" s="27">
        <f>IF($N90="","",INDEX('반배정'!O$7:O$156,$N90))</f>
        <v/>
      </c>
      <c r="J90" s="10">
        <f>IF($N90="","",INDEX('반배정'!N$7:N$156,$N90)&amp;"")</f>
        <v/>
      </c>
      <c r="K90" s="10">
        <f>IF($N90="","",INDEX('반배정'!L$7:L$156,$N90))</f>
        <v/>
      </c>
      <c r="L90" s="10">
        <f>IF($N90="","",INDEX('반배정'!P$7:P$156,$N90))</f>
        <v/>
      </c>
      <c r="M90" s="10">
        <f>IFERROR(SMALL('반배정'!$Q$7:$Q$156,84),"")</f>
        <v/>
      </c>
      <c r="N90" s="10">
        <f>IF(M90="","",MATCH(M90,'반배정'!$Q$7:$Q$156,0))</f>
        <v/>
      </c>
    </row>
    <row r="91">
      <c r="A91" s="10">
        <f>IF($N91="","",INDEX('반배정'!J$7:J$156,$N91))</f>
        <v/>
      </c>
      <c r="B91" s="10">
        <f>IF($N91="","",INDEX('반배정'!B$7:B$156,$N91))</f>
        <v/>
      </c>
      <c r="C91" s="10">
        <f>IF($N91="","",INDEX('반배정'!C$7:C$156,$N91))</f>
        <v/>
      </c>
      <c r="D91" s="10">
        <f>IF($N91="","",INDEX('반배정'!D$7:D$156,$N91))</f>
        <v/>
      </c>
      <c r="E91" s="10">
        <f>IF($N91="","",INDEX('반배정'!E$7:E$156,$N91))</f>
        <v/>
      </c>
      <c r="F91" s="10">
        <f>IF($N91="","",INDEX('반배정'!G$7:G$156,$N91))</f>
        <v/>
      </c>
      <c r="G91" s="10">
        <f>IF($N91="","",INDEX('반배정'!H$7:H$156,$N91))</f>
        <v/>
      </c>
      <c r="H91" s="37">
        <f>IF($N91="","",INDEX('반배정'!I$7:I$156,$N91))</f>
        <v/>
      </c>
      <c r="I91" s="27">
        <f>IF($N91="","",INDEX('반배정'!O$7:O$156,$N91))</f>
        <v/>
      </c>
      <c r="J91" s="10">
        <f>IF($N91="","",INDEX('반배정'!N$7:N$156,$N91)&amp;"")</f>
        <v/>
      </c>
      <c r="K91" s="10">
        <f>IF($N91="","",INDEX('반배정'!L$7:L$156,$N91))</f>
        <v/>
      </c>
      <c r="L91" s="10">
        <f>IF($N91="","",INDEX('반배정'!P$7:P$156,$N91))</f>
        <v/>
      </c>
      <c r="M91" s="10">
        <f>IFERROR(SMALL('반배정'!$Q$7:$Q$156,85),"")</f>
        <v/>
      </c>
      <c r="N91" s="10">
        <f>IF(M91="","",MATCH(M91,'반배정'!$Q$7:$Q$156,0))</f>
        <v/>
      </c>
    </row>
    <row r="92">
      <c r="A92" s="10">
        <f>IF($N92="","",INDEX('반배정'!J$7:J$156,$N92))</f>
        <v/>
      </c>
      <c r="B92" s="10">
        <f>IF($N92="","",INDEX('반배정'!B$7:B$156,$N92))</f>
        <v/>
      </c>
      <c r="C92" s="10">
        <f>IF($N92="","",INDEX('반배정'!C$7:C$156,$N92))</f>
        <v/>
      </c>
      <c r="D92" s="10">
        <f>IF($N92="","",INDEX('반배정'!D$7:D$156,$N92))</f>
        <v/>
      </c>
      <c r="E92" s="10">
        <f>IF($N92="","",INDEX('반배정'!E$7:E$156,$N92))</f>
        <v/>
      </c>
      <c r="F92" s="10">
        <f>IF($N92="","",INDEX('반배정'!G$7:G$156,$N92))</f>
        <v/>
      </c>
      <c r="G92" s="10">
        <f>IF($N92="","",INDEX('반배정'!H$7:H$156,$N92))</f>
        <v/>
      </c>
      <c r="H92" s="37">
        <f>IF($N92="","",INDEX('반배정'!I$7:I$156,$N92))</f>
        <v/>
      </c>
      <c r="I92" s="27">
        <f>IF($N92="","",INDEX('반배정'!O$7:O$156,$N92))</f>
        <v/>
      </c>
      <c r="J92" s="10">
        <f>IF($N92="","",INDEX('반배정'!N$7:N$156,$N92)&amp;"")</f>
        <v/>
      </c>
      <c r="K92" s="10">
        <f>IF($N92="","",INDEX('반배정'!L$7:L$156,$N92))</f>
        <v/>
      </c>
      <c r="L92" s="10">
        <f>IF($N92="","",INDEX('반배정'!P$7:P$156,$N92))</f>
        <v/>
      </c>
      <c r="M92" s="10">
        <f>IFERROR(SMALL('반배정'!$Q$7:$Q$156,86),"")</f>
        <v/>
      </c>
      <c r="N92" s="10">
        <f>IF(M92="","",MATCH(M92,'반배정'!$Q$7:$Q$156,0))</f>
        <v/>
      </c>
    </row>
    <row r="93">
      <c r="A93" s="10">
        <f>IF($N93="","",INDEX('반배정'!J$7:J$156,$N93))</f>
        <v/>
      </c>
      <c r="B93" s="10">
        <f>IF($N93="","",INDEX('반배정'!B$7:B$156,$N93))</f>
        <v/>
      </c>
      <c r="C93" s="10">
        <f>IF($N93="","",INDEX('반배정'!C$7:C$156,$N93))</f>
        <v/>
      </c>
      <c r="D93" s="10">
        <f>IF($N93="","",INDEX('반배정'!D$7:D$156,$N93))</f>
        <v/>
      </c>
      <c r="E93" s="10">
        <f>IF($N93="","",INDEX('반배정'!E$7:E$156,$N93))</f>
        <v/>
      </c>
      <c r="F93" s="10">
        <f>IF($N93="","",INDEX('반배정'!G$7:G$156,$N93))</f>
        <v/>
      </c>
      <c r="G93" s="10">
        <f>IF($N93="","",INDEX('반배정'!H$7:H$156,$N93))</f>
        <v/>
      </c>
      <c r="H93" s="37">
        <f>IF($N93="","",INDEX('반배정'!I$7:I$156,$N93))</f>
        <v/>
      </c>
      <c r="I93" s="27">
        <f>IF($N93="","",INDEX('반배정'!O$7:O$156,$N93))</f>
        <v/>
      </c>
      <c r="J93" s="10">
        <f>IF($N93="","",INDEX('반배정'!N$7:N$156,$N93)&amp;"")</f>
        <v/>
      </c>
      <c r="K93" s="10">
        <f>IF($N93="","",INDEX('반배정'!L$7:L$156,$N93))</f>
        <v/>
      </c>
      <c r="L93" s="10">
        <f>IF($N93="","",INDEX('반배정'!P$7:P$156,$N93))</f>
        <v/>
      </c>
      <c r="M93" s="10">
        <f>IFERROR(SMALL('반배정'!$Q$7:$Q$156,87),"")</f>
        <v/>
      </c>
      <c r="N93" s="10">
        <f>IF(M93="","",MATCH(M93,'반배정'!$Q$7:$Q$156,0))</f>
        <v/>
      </c>
    </row>
    <row r="94">
      <c r="A94" s="10">
        <f>IF($N94="","",INDEX('반배정'!J$7:J$156,$N94))</f>
        <v/>
      </c>
      <c r="B94" s="10">
        <f>IF($N94="","",INDEX('반배정'!B$7:B$156,$N94))</f>
        <v/>
      </c>
      <c r="C94" s="10">
        <f>IF($N94="","",INDEX('반배정'!C$7:C$156,$N94))</f>
        <v/>
      </c>
      <c r="D94" s="10">
        <f>IF($N94="","",INDEX('반배정'!D$7:D$156,$N94))</f>
        <v/>
      </c>
      <c r="E94" s="10">
        <f>IF($N94="","",INDEX('반배정'!E$7:E$156,$N94))</f>
        <v/>
      </c>
      <c r="F94" s="10">
        <f>IF($N94="","",INDEX('반배정'!G$7:G$156,$N94))</f>
        <v/>
      </c>
      <c r="G94" s="10">
        <f>IF($N94="","",INDEX('반배정'!H$7:H$156,$N94))</f>
        <v/>
      </c>
      <c r="H94" s="37">
        <f>IF($N94="","",INDEX('반배정'!I$7:I$156,$N94))</f>
        <v/>
      </c>
      <c r="I94" s="27">
        <f>IF($N94="","",INDEX('반배정'!O$7:O$156,$N94))</f>
        <v/>
      </c>
      <c r="J94" s="10">
        <f>IF($N94="","",INDEX('반배정'!N$7:N$156,$N94)&amp;"")</f>
        <v/>
      </c>
      <c r="K94" s="10">
        <f>IF($N94="","",INDEX('반배정'!L$7:L$156,$N94))</f>
        <v/>
      </c>
      <c r="L94" s="10">
        <f>IF($N94="","",INDEX('반배정'!P$7:P$156,$N94))</f>
        <v/>
      </c>
      <c r="M94" s="10">
        <f>IFERROR(SMALL('반배정'!$Q$7:$Q$156,88),"")</f>
        <v/>
      </c>
      <c r="N94" s="10">
        <f>IF(M94="","",MATCH(M94,'반배정'!$Q$7:$Q$156,0))</f>
        <v/>
      </c>
    </row>
    <row r="95">
      <c r="A95" s="10">
        <f>IF($N95="","",INDEX('반배정'!J$7:J$156,$N95))</f>
        <v/>
      </c>
      <c r="B95" s="10">
        <f>IF($N95="","",INDEX('반배정'!B$7:B$156,$N95))</f>
        <v/>
      </c>
      <c r="C95" s="10">
        <f>IF($N95="","",INDEX('반배정'!C$7:C$156,$N95))</f>
        <v/>
      </c>
      <c r="D95" s="10">
        <f>IF($N95="","",INDEX('반배정'!D$7:D$156,$N95))</f>
        <v/>
      </c>
      <c r="E95" s="10">
        <f>IF($N95="","",INDEX('반배정'!E$7:E$156,$N95))</f>
        <v/>
      </c>
      <c r="F95" s="10">
        <f>IF($N95="","",INDEX('반배정'!G$7:G$156,$N95))</f>
        <v/>
      </c>
      <c r="G95" s="10">
        <f>IF($N95="","",INDEX('반배정'!H$7:H$156,$N95))</f>
        <v/>
      </c>
      <c r="H95" s="37">
        <f>IF($N95="","",INDEX('반배정'!I$7:I$156,$N95))</f>
        <v/>
      </c>
      <c r="I95" s="27">
        <f>IF($N95="","",INDEX('반배정'!O$7:O$156,$N95))</f>
        <v/>
      </c>
      <c r="J95" s="10">
        <f>IF($N95="","",INDEX('반배정'!N$7:N$156,$N95)&amp;"")</f>
        <v/>
      </c>
      <c r="K95" s="10">
        <f>IF($N95="","",INDEX('반배정'!L$7:L$156,$N95))</f>
        <v/>
      </c>
      <c r="L95" s="10">
        <f>IF($N95="","",INDEX('반배정'!P$7:P$156,$N95))</f>
        <v/>
      </c>
      <c r="M95" s="10">
        <f>IFERROR(SMALL('반배정'!$Q$7:$Q$156,89),"")</f>
        <v/>
      </c>
      <c r="N95" s="10">
        <f>IF(M95="","",MATCH(M95,'반배정'!$Q$7:$Q$156,0))</f>
        <v/>
      </c>
    </row>
    <row r="96">
      <c r="A96" s="10">
        <f>IF($N96="","",INDEX('반배정'!J$7:J$156,$N96))</f>
        <v/>
      </c>
      <c r="B96" s="10">
        <f>IF($N96="","",INDEX('반배정'!B$7:B$156,$N96))</f>
        <v/>
      </c>
      <c r="C96" s="10">
        <f>IF($N96="","",INDEX('반배정'!C$7:C$156,$N96))</f>
        <v/>
      </c>
      <c r="D96" s="10">
        <f>IF($N96="","",INDEX('반배정'!D$7:D$156,$N96))</f>
        <v/>
      </c>
      <c r="E96" s="10">
        <f>IF($N96="","",INDEX('반배정'!E$7:E$156,$N96))</f>
        <v/>
      </c>
      <c r="F96" s="10">
        <f>IF($N96="","",INDEX('반배정'!G$7:G$156,$N96))</f>
        <v/>
      </c>
      <c r="G96" s="10">
        <f>IF($N96="","",INDEX('반배정'!H$7:H$156,$N96))</f>
        <v/>
      </c>
      <c r="H96" s="37">
        <f>IF($N96="","",INDEX('반배정'!I$7:I$156,$N96))</f>
        <v/>
      </c>
      <c r="I96" s="27">
        <f>IF($N96="","",INDEX('반배정'!O$7:O$156,$N96))</f>
        <v/>
      </c>
      <c r="J96" s="10">
        <f>IF($N96="","",INDEX('반배정'!N$7:N$156,$N96)&amp;"")</f>
        <v/>
      </c>
      <c r="K96" s="10">
        <f>IF($N96="","",INDEX('반배정'!L$7:L$156,$N96))</f>
        <v/>
      </c>
      <c r="L96" s="10">
        <f>IF($N96="","",INDEX('반배정'!P$7:P$156,$N96))</f>
        <v/>
      </c>
      <c r="M96" s="10">
        <f>IFERROR(SMALL('반배정'!$Q$7:$Q$156,90),"")</f>
        <v/>
      </c>
      <c r="N96" s="10">
        <f>IF(M96="","",MATCH(M96,'반배정'!$Q$7:$Q$156,0))</f>
        <v/>
      </c>
    </row>
    <row r="97">
      <c r="A97" s="10">
        <f>IF($N97="","",INDEX('반배정'!J$7:J$156,$N97))</f>
        <v/>
      </c>
      <c r="B97" s="10">
        <f>IF($N97="","",INDEX('반배정'!B$7:B$156,$N97))</f>
        <v/>
      </c>
      <c r="C97" s="10">
        <f>IF($N97="","",INDEX('반배정'!C$7:C$156,$N97))</f>
        <v/>
      </c>
      <c r="D97" s="10">
        <f>IF($N97="","",INDEX('반배정'!D$7:D$156,$N97))</f>
        <v/>
      </c>
      <c r="E97" s="10">
        <f>IF($N97="","",INDEX('반배정'!E$7:E$156,$N97))</f>
        <v/>
      </c>
      <c r="F97" s="10">
        <f>IF($N97="","",INDEX('반배정'!G$7:G$156,$N97))</f>
        <v/>
      </c>
      <c r="G97" s="10">
        <f>IF($N97="","",INDEX('반배정'!H$7:H$156,$N97))</f>
        <v/>
      </c>
      <c r="H97" s="37">
        <f>IF($N97="","",INDEX('반배정'!I$7:I$156,$N97))</f>
        <v/>
      </c>
      <c r="I97" s="27">
        <f>IF($N97="","",INDEX('반배정'!O$7:O$156,$N97))</f>
        <v/>
      </c>
      <c r="J97" s="10">
        <f>IF($N97="","",INDEX('반배정'!N$7:N$156,$N97)&amp;"")</f>
        <v/>
      </c>
      <c r="K97" s="10">
        <f>IF($N97="","",INDEX('반배정'!L$7:L$156,$N97))</f>
        <v/>
      </c>
      <c r="L97" s="10">
        <f>IF($N97="","",INDEX('반배정'!P$7:P$156,$N97))</f>
        <v/>
      </c>
      <c r="M97" s="10">
        <f>IFERROR(SMALL('반배정'!$Q$7:$Q$156,91),"")</f>
        <v/>
      </c>
      <c r="N97" s="10">
        <f>IF(M97="","",MATCH(M97,'반배정'!$Q$7:$Q$156,0))</f>
        <v/>
      </c>
    </row>
    <row r="98">
      <c r="A98" s="10">
        <f>IF($N98="","",INDEX('반배정'!J$7:J$156,$N98))</f>
        <v/>
      </c>
      <c r="B98" s="10">
        <f>IF($N98="","",INDEX('반배정'!B$7:B$156,$N98))</f>
        <v/>
      </c>
      <c r="C98" s="10">
        <f>IF($N98="","",INDEX('반배정'!C$7:C$156,$N98))</f>
        <v/>
      </c>
      <c r="D98" s="10">
        <f>IF($N98="","",INDEX('반배정'!D$7:D$156,$N98))</f>
        <v/>
      </c>
      <c r="E98" s="10">
        <f>IF($N98="","",INDEX('반배정'!E$7:E$156,$N98))</f>
        <v/>
      </c>
      <c r="F98" s="10">
        <f>IF($N98="","",INDEX('반배정'!G$7:G$156,$N98))</f>
        <v/>
      </c>
      <c r="G98" s="10">
        <f>IF($N98="","",INDEX('반배정'!H$7:H$156,$N98))</f>
        <v/>
      </c>
      <c r="H98" s="37">
        <f>IF($N98="","",INDEX('반배정'!I$7:I$156,$N98))</f>
        <v/>
      </c>
      <c r="I98" s="27">
        <f>IF($N98="","",INDEX('반배정'!O$7:O$156,$N98))</f>
        <v/>
      </c>
      <c r="J98" s="10">
        <f>IF($N98="","",INDEX('반배정'!N$7:N$156,$N98)&amp;"")</f>
        <v/>
      </c>
      <c r="K98" s="10">
        <f>IF($N98="","",INDEX('반배정'!L$7:L$156,$N98))</f>
        <v/>
      </c>
      <c r="L98" s="10">
        <f>IF($N98="","",INDEX('반배정'!P$7:P$156,$N98))</f>
        <v/>
      </c>
      <c r="M98" s="10">
        <f>IFERROR(SMALL('반배정'!$Q$7:$Q$156,92),"")</f>
        <v/>
      </c>
      <c r="N98" s="10">
        <f>IF(M98="","",MATCH(M98,'반배정'!$Q$7:$Q$156,0))</f>
        <v/>
      </c>
    </row>
    <row r="99">
      <c r="A99" s="10">
        <f>IF($N99="","",INDEX('반배정'!J$7:J$156,$N99))</f>
        <v/>
      </c>
      <c r="B99" s="10">
        <f>IF($N99="","",INDEX('반배정'!B$7:B$156,$N99))</f>
        <v/>
      </c>
      <c r="C99" s="10">
        <f>IF($N99="","",INDEX('반배정'!C$7:C$156,$N99))</f>
        <v/>
      </c>
      <c r="D99" s="10">
        <f>IF($N99="","",INDEX('반배정'!D$7:D$156,$N99))</f>
        <v/>
      </c>
      <c r="E99" s="10">
        <f>IF($N99="","",INDEX('반배정'!E$7:E$156,$N99))</f>
        <v/>
      </c>
      <c r="F99" s="10">
        <f>IF($N99="","",INDEX('반배정'!G$7:G$156,$N99))</f>
        <v/>
      </c>
      <c r="G99" s="10">
        <f>IF($N99="","",INDEX('반배정'!H$7:H$156,$N99))</f>
        <v/>
      </c>
      <c r="H99" s="37">
        <f>IF($N99="","",INDEX('반배정'!I$7:I$156,$N99))</f>
        <v/>
      </c>
      <c r="I99" s="27">
        <f>IF($N99="","",INDEX('반배정'!O$7:O$156,$N99))</f>
        <v/>
      </c>
      <c r="J99" s="10">
        <f>IF($N99="","",INDEX('반배정'!N$7:N$156,$N99)&amp;"")</f>
        <v/>
      </c>
      <c r="K99" s="10">
        <f>IF($N99="","",INDEX('반배정'!L$7:L$156,$N99))</f>
        <v/>
      </c>
      <c r="L99" s="10">
        <f>IF($N99="","",INDEX('반배정'!P$7:P$156,$N99))</f>
        <v/>
      </c>
      <c r="M99" s="10">
        <f>IFERROR(SMALL('반배정'!$Q$7:$Q$156,93),"")</f>
        <v/>
      </c>
      <c r="N99" s="10">
        <f>IF(M99="","",MATCH(M99,'반배정'!$Q$7:$Q$156,0))</f>
        <v/>
      </c>
    </row>
    <row r="100">
      <c r="A100" s="10">
        <f>IF($N100="","",INDEX('반배정'!J$7:J$156,$N100))</f>
        <v/>
      </c>
      <c r="B100" s="10">
        <f>IF($N100="","",INDEX('반배정'!B$7:B$156,$N100))</f>
        <v/>
      </c>
      <c r="C100" s="10">
        <f>IF($N100="","",INDEX('반배정'!C$7:C$156,$N100))</f>
        <v/>
      </c>
      <c r="D100" s="10">
        <f>IF($N100="","",INDEX('반배정'!D$7:D$156,$N100))</f>
        <v/>
      </c>
      <c r="E100" s="10">
        <f>IF($N100="","",INDEX('반배정'!E$7:E$156,$N100))</f>
        <v/>
      </c>
      <c r="F100" s="10">
        <f>IF($N100="","",INDEX('반배정'!G$7:G$156,$N100))</f>
        <v/>
      </c>
      <c r="G100" s="10">
        <f>IF($N100="","",INDEX('반배정'!H$7:H$156,$N100))</f>
        <v/>
      </c>
      <c r="H100" s="37">
        <f>IF($N100="","",INDEX('반배정'!I$7:I$156,$N100))</f>
        <v/>
      </c>
      <c r="I100" s="27">
        <f>IF($N100="","",INDEX('반배정'!O$7:O$156,$N100))</f>
        <v/>
      </c>
      <c r="J100" s="10">
        <f>IF($N100="","",INDEX('반배정'!N$7:N$156,$N100)&amp;"")</f>
        <v/>
      </c>
      <c r="K100" s="10">
        <f>IF($N100="","",INDEX('반배정'!L$7:L$156,$N100))</f>
        <v/>
      </c>
      <c r="L100" s="10">
        <f>IF($N100="","",INDEX('반배정'!P$7:P$156,$N100))</f>
        <v/>
      </c>
      <c r="M100" s="10">
        <f>IFERROR(SMALL('반배정'!$Q$7:$Q$156,94),"")</f>
        <v/>
      </c>
      <c r="N100" s="10">
        <f>IF(M100="","",MATCH(M100,'반배정'!$Q$7:$Q$156,0))</f>
        <v/>
      </c>
    </row>
    <row r="101">
      <c r="A101" s="10">
        <f>IF($N101="","",INDEX('반배정'!J$7:J$156,$N101))</f>
        <v/>
      </c>
      <c r="B101" s="10">
        <f>IF($N101="","",INDEX('반배정'!B$7:B$156,$N101))</f>
        <v/>
      </c>
      <c r="C101" s="10">
        <f>IF($N101="","",INDEX('반배정'!C$7:C$156,$N101))</f>
        <v/>
      </c>
      <c r="D101" s="10">
        <f>IF($N101="","",INDEX('반배정'!D$7:D$156,$N101))</f>
        <v/>
      </c>
      <c r="E101" s="10">
        <f>IF($N101="","",INDEX('반배정'!E$7:E$156,$N101))</f>
        <v/>
      </c>
      <c r="F101" s="10">
        <f>IF($N101="","",INDEX('반배정'!G$7:G$156,$N101))</f>
        <v/>
      </c>
      <c r="G101" s="10">
        <f>IF($N101="","",INDEX('반배정'!H$7:H$156,$N101))</f>
        <v/>
      </c>
      <c r="H101" s="37">
        <f>IF($N101="","",INDEX('반배정'!I$7:I$156,$N101))</f>
        <v/>
      </c>
      <c r="I101" s="27">
        <f>IF($N101="","",INDEX('반배정'!O$7:O$156,$N101))</f>
        <v/>
      </c>
      <c r="J101" s="10">
        <f>IF($N101="","",INDEX('반배정'!N$7:N$156,$N101)&amp;"")</f>
        <v/>
      </c>
      <c r="K101" s="10">
        <f>IF($N101="","",INDEX('반배정'!L$7:L$156,$N101))</f>
        <v/>
      </c>
      <c r="L101" s="10">
        <f>IF($N101="","",INDEX('반배정'!P$7:P$156,$N101))</f>
        <v/>
      </c>
      <c r="M101" s="10">
        <f>IFERROR(SMALL('반배정'!$Q$7:$Q$156,95),"")</f>
        <v/>
      </c>
      <c r="N101" s="10">
        <f>IF(M101="","",MATCH(M101,'반배정'!$Q$7:$Q$156,0))</f>
        <v/>
      </c>
    </row>
    <row r="102">
      <c r="A102" s="10">
        <f>IF($N102="","",INDEX('반배정'!J$7:J$156,$N102))</f>
        <v/>
      </c>
      <c r="B102" s="10">
        <f>IF($N102="","",INDEX('반배정'!B$7:B$156,$N102))</f>
        <v/>
      </c>
      <c r="C102" s="10">
        <f>IF($N102="","",INDEX('반배정'!C$7:C$156,$N102))</f>
        <v/>
      </c>
      <c r="D102" s="10">
        <f>IF($N102="","",INDEX('반배정'!D$7:D$156,$N102))</f>
        <v/>
      </c>
      <c r="E102" s="10">
        <f>IF($N102="","",INDEX('반배정'!E$7:E$156,$N102))</f>
        <v/>
      </c>
      <c r="F102" s="10">
        <f>IF($N102="","",INDEX('반배정'!G$7:G$156,$N102))</f>
        <v/>
      </c>
      <c r="G102" s="10">
        <f>IF($N102="","",INDEX('반배정'!H$7:H$156,$N102))</f>
        <v/>
      </c>
      <c r="H102" s="37">
        <f>IF($N102="","",INDEX('반배정'!I$7:I$156,$N102))</f>
        <v/>
      </c>
      <c r="I102" s="27">
        <f>IF($N102="","",INDEX('반배정'!O$7:O$156,$N102))</f>
        <v/>
      </c>
      <c r="J102" s="10">
        <f>IF($N102="","",INDEX('반배정'!N$7:N$156,$N102)&amp;"")</f>
        <v/>
      </c>
      <c r="K102" s="10">
        <f>IF($N102="","",INDEX('반배정'!L$7:L$156,$N102))</f>
        <v/>
      </c>
      <c r="L102" s="10">
        <f>IF($N102="","",INDEX('반배정'!P$7:P$156,$N102))</f>
        <v/>
      </c>
      <c r="M102" s="10">
        <f>IFERROR(SMALL('반배정'!$Q$7:$Q$156,96),"")</f>
        <v/>
      </c>
      <c r="N102" s="10">
        <f>IF(M102="","",MATCH(M102,'반배정'!$Q$7:$Q$156,0))</f>
        <v/>
      </c>
    </row>
    <row r="103">
      <c r="A103" s="10">
        <f>IF($N103="","",INDEX('반배정'!J$7:J$156,$N103))</f>
        <v/>
      </c>
      <c r="B103" s="10">
        <f>IF($N103="","",INDEX('반배정'!B$7:B$156,$N103))</f>
        <v/>
      </c>
      <c r="C103" s="10">
        <f>IF($N103="","",INDEX('반배정'!C$7:C$156,$N103))</f>
        <v/>
      </c>
      <c r="D103" s="10">
        <f>IF($N103="","",INDEX('반배정'!D$7:D$156,$N103))</f>
        <v/>
      </c>
      <c r="E103" s="10">
        <f>IF($N103="","",INDEX('반배정'!E$7:E$156,$N103))</f>
        <v/>
      </c>
      <c r="F103" s="10">
        <f>IF($N103="","",INDEX('반배정'!G$7:G$156,$N103))</f>
        <v/>
      </c>
      <c r="G103" s="10">
        <f>IF($N103="","",INDEX('반배정'!H$7:H$156,$N103))</f>
        <v/>
      </c>
      <c r="H103" s="37">
        <f>IF($N103="","",INDEX('반배정'!I$7:I$156,$N103))</f>
        <v/>
      </c>
      <c r="I103" s="27">
        <f>IF($N103="","",INDEX('반배정'!O$7:O$156,$N103))</f>
        <v/>
      </c>
      <c r="J103" s="10">
        <f>IF($N103="","",INDEX('반배정'!N$7:N$156,$N103)&amp;"")</f>
        <v/>
      </c>
      <c r="K103" s="10">
        <f>IF($N103="","",INDEX('반배정'!L$7:L$156,$N103))</f>
        <v/>
      </c>
      <c r="L103" s="10">
        <f>IF($N103="","",INDEX('반배정'!P$7:P$156,$N103))</f>
        <v/>
      </c>
      <c r="M103" s="10">
        <f>IFERROR(SMALL('반배정'!$Q$7:$Q$156,97),"")</f>
        <v/>
      </c>
      <c r="N103" s="10">
        <f>IF(M103="","",MATCH(M103,'반배정'!$Q$7:$Q$156,0))</f>
        <v/>
      </c>
    </row>
    <row r="104">
      <c r="A104" s="10">
        <f>IF($N104="","",INDEX('반배정'!J$7:J$156,$N104))</f>
        <v/>
      </c>
      <c r="B104" s="10">
        <f>IF($N104="","",INDEX('반배정'!B$7:B$156,$N104))</f>
        <v/>
      </c>
      <c r="C104" s="10">
        <f>IF($N104="","",INDEX('반배정'!C$7:C$156,$N104))</f>
        <v/>
      </c>
      <c r="D104" s="10">
        <f>IF($N104="","",INDEX('반배정'!D$7:D$156,$N104))</f>
        <v/>
      </c>
      <c r="E104" s="10">
        <f>IF($N104="","",INDEX('반배정'!E$7:E$156,$N104))</f>
        <v/>
      </c>
      <c r="F104" s="10">
        <f>IF($N104="","",INDEX('반배정'!G$7:G$156,$N104))</f>
        <v/>
      </c>
      <c r="G104" s="10">
        <f>IF($N104="","",INDEX('반배정'!H$7:H$156,$N104))</f>
        <v/>
      </c>
      <c r="H104" s="37">
        <f>IF($N104="","",INDEX('반배정'!I$7:I$156,$N104))</f>
        <v/>
      </c>
      <c r="I104" s="27">
        <f>IF($N104="","",INDEX('반배정'!O$7:O$156,$N104))</f>
        <v/>
      </c>
      <c r="J104" s="10">
        <f>IF($N104="","",INDEX('반배정'!N$7:N$156,$N104)&amp;"")</f>
        <v/>
      </c>
      <c r="K104" s="10">
        <f>IF($N104="","",INDEX('반배정'!L$7:L$156,$N104))</f>
        <v/>
      </c>
      <c r="L104" s="10">
        <f>IF($N104="","",INDEX('반배정'!P$7:P$156,$N104))</f>
        <v/>
      </c>
      <c r="M104" s="10">
        <f>IFERROR(SMALL('반배정'!$Q$7:$Q$156,98),"")</f>
        <v/>
      </c>
      <c r="N104" s="10">
        <f>IF(M104="","",MATCH(M104,'반배정'!$Q$7:$Q$156,0))</f>
        <v/>
      </c>
    </row>
    <row r="105">
      <c r="A105" s="10">
        <f>IF($N105="","",INDEX('반배정'!J$7:J$156,$N105))</f>
        <v/>
      </c>
      <c r="B105" s="10">
        <f>IF($N105="","",INDEX('반배정'!B$7:B$156,$N105))</f>
        <v/>
      </c>
      <c r="C105" s="10">
        <f>IF($N105="","",INDEX('반배정'!C$7:C$156,$N105))</f>
        <v/>
      </c>
      <c r="D105" s="10">
        <f>IF($N105="","",INDEX('반배정'!D$7:D$156,$N105))</f>
        <v/>
      </c>
      <c r="E105" s="10">
        <f>IF($N105="","",INDEX('반배정'!E$7:E$156,$N105))</f>
        <v/>
      </c>
      <c r="F105" s="10">
        <f>IF($N105="","",INDEX('반배정'!G$7:G$156,$N105))</f>
        <v/>
      </c>
      <c r="G105" s="10">
        <f>IF($N105="","",INDEX('반배정'!H$7:H$156,$N105))</f>
        <v/>
      </c>
      <c r="H105" s="37">
        <f>IF($N105="","",INDEX('반배정'!I$7:I$156,$N105))</f>
        <v/>
      </c>
      <c r="I105" s="27">
        <f>IF($N105="","",INDEX('반배정'!O$7:O$156,$N105))</f>
        <v/>
      </c>
      <c r="J105" s="10">
        <f>IF($N105="","",INDEX('반배정'!N$7:N$156,$N105)&amp;"")</f>
        <v/>
      </c>
      <c r="K105" s="10">
        <f>IF($N105="","",INDEX('반배정'!L$7:L$156,$N105))</f>
        <v/>
      </c>
      <c r="L105" s="10">
        <f>IF($N105="","",INDEX('반배정'!P$7:P$156,$N105))</f>
        <v/>
      </c>
      <c r="M105" s="10">
        <f>IFERROR(SMALL('반배정'!$Q$7:$Q$156,99),"")</f>
        <v/>
      </c>
      <c r="N105" s="10">
        <f>IF(M105="","",MATCH(M105,'반배정'!$Q$7:$Q$156,0))</f>
        <v/>
      </c>
    </row>
    <row r="106">
      <c r="A106" s="10">
        <f>IF($N106="","",INDEX('반배정'!J$7:J$156,$N106))</f>
        <v/>
      </c>
      <c r="B106" s="10">
        <f>IF($N106="","",INDEX('반배정'!B$7:B$156,$N106))</f>
        <v/>
      </c>
      <c r="C106" s="10">
        <f>IF($N106="","",INDEX('반배정'!C$7:C$156,$N106))</f>
        <v/>
      </c>
      <c r="D106" s="10">
        <f>IF($N106="","",INDEX('반배정'!D$7:D$156,$N106))</f>
        <v/>
      </c>
      <c r="E106" s="10">
        <f>IF($N106="","",INDEX('반배정'!E$7:E$156,$N106))</f>
        <v/>
      </c>
      <c r="F106" s="10">
        <f>IF($N106="","",INDEX('반배정'!G$7:G$156,$N106))</f>
        <v/>
      </c>
      <c r="G106" s="10">
        <f>IF($N106="","",INDEX('반배정'!H$7:H$156,$N106))</f>
        <v/>
      </c>
      <c r="H106" s="37">
        <f>IF($N106="","",INDEX('반배정'!I$7:I$156,$N106))</f>
        <v/>
      </c>
      <c r="I106" s="27">
        <f>IF($N106="","",INDEX('반배정'!O$7:O$156,$N106))</f>
        <v/>
      </c>
      <c r="J106" s="10">
        <f>IF($N106="","",INDEX('반배정'!N$7:N$156,$N106)&amp;"")</f>
        <v/>
      </c>
      <c r="K106" s="10">
        <f>IF($N106="","",INDEX('반배정'!L$7:L$156,$N106))</f>
        <v/>
      </c>
      <c r="L106" s="10">
        <f>IF($N106="","",INDEX('반배정'!P$7:P$156,$N106))</f>
        <v/>
      </c>
      <c r="M106" s="10">
        <f>IFERROR(SMALL('반배정'!$Q$7:$Q$156,100),"")</f>
        <v/>
      </c>
      <c r="N106" s="10">
        <f>IF(M106="","",MATCH(M106,'반배정'!$Q$7:$Q$156,0))</f>
        <v/>
      </c>
    </row>
    <row r="107">
      <c r="A107" s="10">
        <f>IF($N107="","",INDEX('반배정'!J$7:J$156,$N107))</f>
        <v/>
      </c>
      <c r="B107" s="10">
        <f>IF($N107="","",INDEX('반배정'!B$7:B$156,$N107))</f>
        <v/>
      </c>
      <c r="C107" s="10">
        <f>IF($N107="","",INDEX('반배정'!C$7:C$156,$N107))</f>
        <v/>
      </c>
      <c r="D107" s="10">
        <f>IF($N107="","",INDEX('반배정'!D$7:D$156,$N107))</f>
        <v/>
      </c>
      <c r="E107" s="10">
        <f>IF($N107="","",INDEX('반배정'!E$7:E$156,$N107))</f>
        <v/>
      </c>
      <c r="F107" s="10">
        <f>IF($N107="","",INDEX('반배정'!G$7:G$156,$N107))</f>
        <v/>
      </c>
      <c r="G107" s="10">
        <f>IF($N107="","",INDEX('반배정'!H$7:H$156,$N107))</f>
        <v/>
      </c>
      <c r="H107" s="37">
        <f>IF($N107="","",INDEX('반배정'!I$7:I$156,$N107))</f>
        <v/>
      </c>
      <c r="I107" s="27">
        <f>IF($N107="","",INDEX('반배정'!O$7:O$156,$N107))</f>
        <v/>
      </c>
      <c r="J107" s="10">
        <f>IF($N107="","",INDEX('반배정'!N$7:N$156,$N107)&amp;"")</f>
        <v/>
      </c>
      <c r="K107" s="10">
        <f>IF($N107="","",INDEX('반배정'!L$7:L$156,$N107))</f>
        <v/>
      </c>
      <c r="L107" s="10">
        <f>IF($N107="","",INDEX('반배정'!P$7:P$156,$N107))</f>
        <v/>
      </c>
      <c r="M107" s="10">
        <f>IFERROR(SMALL('반배정'!$Q$7:$Q$156,101),"")</f>
        <v/>
      </c>
      <c r="N107" s="10">
        <f>IF(M107="","",MATCH(M107,'반배정'!$Q$7:$Q$156,0))</f>
        <v/>
      </c>
    </row>
    <row r="108">
      <c r="A108" s="10">
        <f>IF($N108="","",INDEX('반배정'!J$7:J$156,$N108))</f>
        <v/>
      </c>
      <c r="B108" s="10">
        <f>IF($N108="","",INDEX('반배정'!B$7:B$156,$N108))</f>
        <v/>
      </c>
      <c r="C108" s="10">
        <f>IF($N108="","",INDEX('반배정'!C$7:C$156,$N108))</f>
        <v/>
      </c>
      <c r="D108" s="10">
        <f>IF($N108="","",INDEX('반배정'!D$7:D$156,$N108))</f>
        <v/>
      </c>
      <c r="E108" s="10">
        <f>IF($N108="","",INDEX('반배정'!E$7:E$156,$N108))</f>
        <v/>
      </c>
      <c r="F108" s="10">
        <f>IF($N108="","",INDEX('반배정'!G$7:G$156,$N108))</f>
        <v/>
      </c>
      <c r="G108" s="10">
        <f>IF($N108="","",INDEX('반배정'!H$7:H$156,$N108))</f>
        <v/>
      </c>
      <c r="H108" s="37">
        <f>IF($N108="","",INDEX('반배정'!I$7:I$156,$N108))</f>
        <v/>
      </c>
      <c r="I108" s="27">
        <f>IF($N108="","",INDEX('반배정'!O$7:O$156,$N108))</f>
        <v/>
      </c>
      <c r="J108" s="10">
        <f>IF($N108="","",INDEX('반배정'!N$7:N$156,$N108)&amp;"")</f>
        <v/>
      </c>
      <c r="K108" s="10">
        <f>IF($N108="","",INDEX('반배정'!L$7:L$156,$N108))</f>
        <v/>
      </c>
      <c r="L108" s="10">
        <f>IF($N108="","",INDEX('반배정'!P$7:P$156,$N108))</f>
        <v/>
      </c>
      <c r="M108" s="10">
        <f>IFERROR(SMALL('반배정'!$Q$7:$Q$156,102),"")</f>
        <v/>
      </c>
      <c r="N108" s="10">
        <f>IF(M108="","",MATCH(M108,'반배정'!$Q$7:$Q$156,0))</f>
        <v/>
      </c>
    </row>
    <row r="109">
      <c r="A109" s="10">
        <f>IF($N109="","",INDEX('반배정'!J$7:J$156,$N109))</f>
        <v/>
      </c>
      <c r="B109" s="10">
        <f>IF($N109="","",INDEX('반배정'!B$7:B$156,$N109))</f>
        <v/>
      </c>
      <c r="C109" s="10">
        <f>IF($N109="","",INDEX('반배정'!C$7:C$156,$N109))</f>
        <v/>
      </c>
      <c r="D109" s="10">
        <f>IF($N109="","",INDEX('반배정'!D$7:D$156,$N109))</f>
        <v/>
      </c>
      <c r="E109" s="10">
        <f>IF($N109="","",INDEX('반배정'!E$7:E$156,$N109))</f>
        <v/>
      </c>
      <c r="F109" s="10">
        <f>IF($N109="","",INDEX('반배정'!G$7:G$156,$N109))</f>
        <v/>
      </c>
      <c r="G109" s="10">
        <f>IF($N109="","",INDEX('반배정'!H$7:H$156,$N109))</f>
        <v/>
      </c>
      <c r="H109" s="37">
        <f>IF($N109="","",INDEX('반배정'!I$7:I$156,$N109))</f>
        <v/>
      </c>
      <c r="I109" s="27">
        <f>IF($N109="","",INDEX('반배정'!O$7:O$156,$N109))</f>
        <v/>
      </c>
      <c r="J109" s="10">
        <f>IF($N109="","",INDEX('반배정'!N$7:N$156,$N109)&amp;"")</f>
        <v/>
      </c>
      <c r="K109" s="10">
        <f>IF($N109="","",INDEX('반배정'!L$7:L$156,$N109))</f>
        <v/>
      </c>
      <c r="L109" s="10">
        <f>IF($N109="","",INDEX('반배정'!P$7:P$156,$N109))</f>
        <v/>
      </c>
      <c r="M109" s="10">
        <f>IFERROR(SMALL('반배정'!$Q$7:$Q$156,103),"")</f>
        <v/>
      </c>
      <c r="N109" s="10">
        <f>IF(M109="","",MATCH(M109,'반배정'!$Q$7:$Q$156,0))</f>
        <v/>
      </c>
    </row>
    <row r="110">
      <c r="A110" s="10">
        <f>IF($N110="","",INDEX('반배정'!J$7:J$156,$N110))</f>
        <v/>
      </c>
      <c r="B110" s="10">
        <f>IF($N110="","",INDEX('반배정'!B$7:B$156,$N110))</f>
        <v/>
      </c>
      <c r="C110" s="10">
        <f>IF($N110="","",INDEX('반배정'!C$7:C$156,$N110))</f>
        <v/>
      </c>
      <c r="D110" s="10">
        <f>IF($N110="","",INDEX('반배정'!D$7:D$156,$N110))</f>
        <v/>
      </c>
      <c r="E110" s="10">
        <f>IF($N110="","",INDEX('반배정'!E$7:E$156,$N110))</f>
        <v/>
      </c>
      <c r="F110" s="10">
        <f>IF($N110="","",INDEX('반배정'!G$7:G$156,$N110))</f>
        <v/>
      </c>
      <c r="G110" s="10">
        <f>IF($N110="","",INDEX('반배정'!H$7:H$156,$N110))</f>
        <v/>
      </c>
      <c r="H110" s="37">
        <f>IF($N110="","",INDEX('반배정'!I$7:I$156,$N110))</f>
        <v/>
      </c>
      <c r="I110" s="27">
        <f>IF($N110="","",INDEX('반배정'!O$7:O$156,$N110))</f>
        <v/>
      </c>
      <c r="J110" s="10">
        <f>IF($N110="","",INDEX('반배정'!N$7:N$156,$N110)&amp;"")</f>
        <v/>
      </c>
      <c r="K110" s="10">
        <f>IF($N110="","",INDEX('반배정'!L$7:L$156,$N110))</f>
        <v/>
      </c>
      <c r="L110" s="10">
        <f>IF($N110="","",INDEX('반배정'!P$7:P$156,$N110))</f>
        <v/>
      </c>
      <c r="M110" s="10">
        <f>IFERROR(SMALL('반배정'!$Q$7:$Q$156,104),"")</f>
        <v/>
      </c>
      <c r="N110" s="10">
        <f>IF(M110="","",MATCH(M110,'반배정'!$Q$7:$Q$156,0))</f>
        <v/>
      </c>
    </row>
    <row r="111">
      <c r="A111" s="10">
        <f>IF($N111="","",INDEX('반배정'!J$7:J$156,$N111))</f>
        <v/>
      </c>
      <c r="B111" s="10">
        <f>IF($N111="","",INDEX('반배정'!B$7:B$156,$N111))</f>
        <v/>
      </c>
      <c r="C111" s="10">
        <f>IF($N111="","",INDEX('반배정'!C$7:C$156,$N111))</f>
        <v/>
      </c>
      <c r="D111" s="10">
        <f>IF($N111="","",INDEX('반배정'!D$7:D$156,$N111))</f>
        <v/>
      </c>
      <c r="E111" s="10">
        <f>IF($N111="","",INDEX('반배정'!E$7:E$156,$N111))</f>
        <v/>
      </c>
      <c r="F111" s="10">
        <f>IF($N111="","",INDEX('반배정'!G$7:G$156,$N111))</f>
        <v/>
      </c>
      <c r="G111" s="10">
        <f>IF($N111="","",INDEX('반배정'!H$7:H$156,$N111))</f>
        <v/>
      </c>
      <c r="H111" s="37">
        <f>IF($N111="","",INDEX('반배정'!I$7:I$156,$N111))</f>
        <v/>
      </c>
      <c r="I111" s="27">
        <f>IF($N111="","",INDEX('반배정'!O$7:O$156,$N111))</f>
        <v/>
      </c>
      <c r="J111" s="10">
        <f>IF($N111="","",INDEX('반배정'!N$7:N$156,$N111)&amp;"")</f>
        <v/>
      </c>
      <c r="K111" s="10">
        <f>IF($N111="","",INDEX('반배정'!L$7:L$156,$N111))</f>
        <v/>
      </c>
      <c r="L111" s="10">
        <f>IF($N111="","",INDEX('반배정'!P$7:P$156,$N111))</f>
        <v/>
      </c>
      <c r="M111" s="10">
        <f>IFERROR(SMALL('반배정'!$Q$7:$Q$156,105),"")</f>
        <v/>
      </c>
      <c r="N111" s="10">
        <f>IF(M111="","",MATCH(M111,'반배정'!$Q$7:$Q$156,0))</f>
        <v/>
      </c>
    </row>
    <row r="112">
      <c r="A112" s="10">
        <f>IF($N112="","",INDEX('반배정'!J$7:J$156,$N112))</f>
        <v/>
      </c>
      <c r="B112" s="10">
        <f>IF($N112="","",INDEX('반배정'!B$7:B$156,$N112))</f>
        <v/>
      </c>
      <c r="C112" s="10">
        <f>IF($N112="","",INDEX('반배정'!C$7:C$156,$N112))</f>
        <v/>
      </c>
      <c r="D112" s="10">
        <f>IF($N112="","",INDEX('반배정'!D$7:D$156,$N112))</f>
        <v/>
      </c>
      <c r="E112" s="10">
        <f>IF($N112="","",INDEX('반배정'!E$7:E$156,$N112))</f>
        <v/>
      </c>
      <c r="F112" s="10">
        <f>IF($N112="","",INDEX('반배정'!G$7:G$156,$N112))</f>
        <v/>
      </c>
      <c r="G112" s="10">
        <f>IF($N112="","",INDEX('반배정'!H$7:H$156,$N112))</f>
        <v/>
      </c>
      <c r="H112" s="37">
        <f>IF($N112="","",INDEX('반배정'!I$7:I$156,$N112))</f>
        <v/>
      </c>
      <c r="I112" s="27">
        <f>IF($N112="","",INDEX('반배정'!O$7:O$156,$N112))</f>
        <v/>
      </c>
      <c r="J112" s="10">
        <f>IF($N112="","",INDEX('반배정'!N$7:N$156,$N112)&amp;"")</f>
        <v/>
      </c>
      <c r="K112" s="10">
        <f>IF($N112="","",INDEX('반배정'!L$7:L$156,$N112))</f>
        <v/>
      </c>
      <c r="L112" s="10">
        <f>IF($N112="","",INDEX('반배정'!P$7:P$156,$N112))</f>
        <v/>
      </c>
      <c r="M112" s="10">
        <f>IFERROR(SMALL('반배정'!$Q$7:$Q$156,106),"")</f>
        <v/>
      </c>
      <c r="N112" s="10">
        <f>IF(M112="","",MATCH(M112,'반배정'!$Q$7:$Q$156,0))</f>
        <v/>
      </c>
    </row>
    <row r="113">
      <c r="A113" s="10">
        <f>IF($N113="","",INDEX('반배정'!J$7:J$156,$N113))</f>
        <v/>
      </c>
      <c r="B113" s="10">
        <f>IF($N113="","",INDEX('반배정'!B$7:B$156,$N113))</f>
        <v/>
      </c>
      <c r="C113" s="10">
        <f>IF($N113="","",INDEX('반배정'!C$7:C$156,$N113))</f>
        <v/>
      </c>
      <c r="D113" s="10">
        <f>IF($N113="","",INDEX('반배정'!D$7:D$156,$N113))</f>
        <v/>
      </c>
      <c r="E113" s="10">
        <f>IF($N113="","",INDEX('반배정'!E$7:E$156,$N113))</f>
        <v/>
      </c>
      <c r="F113" s="10">
        <f>IF($N113="","",INDEX('반배정'!G$7:G$156,$N113))</f>
        <v/>
      </c>
      <c r="G113" s="10">
        <f>IF($N113="","",INDEX('반배정'!H$7:H$156,$N113))</f>
        <v/>
      </c>
      <c r="H113" s="37">
        <f>IF($N113="","",INDEX('반배정'!I$7:I$156,$N113))</f>
        <v/>
      </c>
      <c r="I113" s="27">
        <f>IF($N113="","",INDEX('반배정'!O$7:O$156,$N113))</f>
        <v/>
      </c>
      <c r="J113" s="10">
        <f>IF($N113="","",INDEX('반배정'!N$7:N$156,$N113)&amp;"")</f>
        <v/>
      </c>
      <c r="K113" s="10">
        <f>IF($N113="","",INDEX('반배정'!L$7:L$156,$N113))</f>
        <v/>
      </c>
      <c r="L113" s="10">
        <f>IF($N113="","",INDEX('반배정'!P$7:P$156,$N113))</f>
        <v/>
      </c>
      <c r="M113" s="10">
        <f>IFERROR(SMALL('반배정'!$Q$7:$Q$156,107),"")</f>
        <v/>
      </c>
      <c r="N113" s="10">
        <f>IF(M113="","",MATCH(M113,'반배정'!$Q$7:$Q$156,0))</f>
        <v/>
      </c>
    </row>
    <row r="114">
      <c r="A114" s="10">
        <f>IF($N114="","",INDEX('반배정'!J$7:J$156,$N114))</f>
        <v/>
      </c>
      <c r="B114" s="10">
        <f>IF($N114="","",INDEX('반배정'!B$7:B$156,$N114))</f>
        <v/>
      </c>
      <c r="C114" s="10">
        <f>IF($N114="","",INDEX('반배정'!C$7:C$156,$N114))</f>
        <v/>
      </c>
      <c r="D114" s="10">
        <f>IF($N114="","",INDEX('반배정'!D$7:D$156,$N114))</f>
        <v/>
      </c>
      <c r="E114" s="10">
        <f>IF($N114="","",INDEX('반배정'!E$7:E$156,$N114))</f>
        <v/>
      </c>
      <c r="F114" s="10">
        <f>IF($N114="","",INDEX('반배정'!G$7:G$156,$N114))</f>
        <v/>
      </c>
      <c r="G114" s="10">
        <f>IF($N114="","",INDEX('반배정'!H$7:H$156,$N114))</f>
        <v/>
      </c>
      <c r="H114" s="37">
        <f>IF($N114="","",INDEX('반배정'!I$7:I$156,$N114))</f>
        <v/>
      </c>
      <c r="I114" s="27">
        <f>IF($N114="","",INDEX('반배정'!O$7:O$156,$N114))</f>
        <v/>
      </c>
      <c r="J114" s="10">
        <f>IF($N114="","",INDEX('반배정'!N$7:N$156,$N114)&amp;"")</f>
        <v/>
      </c>
      <c r="K114" s="10">
        <f>IF($N114="","",INDEX('반배정'!L$7:L$156,$N114))</f>
        <v/>
      </c>
      <c r="L114" s="10">
        <f>IF($N114="","",INDEX('반배정'!P$7:P$156,$N114))</f>
        <v/>
      </c>
      <c r="M114" s="10">
        <f>IFERROR(SMALL('반배정'!$Q$7:$Q$156,108),"")</f>
        <v/>
      </c>
      <c r="N114" s="10">
        <f>IF(M114="","",MATCH(M114,'반배정'!$Q$7:$Q$156,0))</f>
        <v/>
      </c>
    </row>
    <row r="115">
      <c r="A115" s="10">
        <f>IF($N115="","",INDEX('반배정'!J$7:J$156,$N115))</f>
        <v/>
      </c>
      <c r="B115" s="10">
        <f>IF($N115="","",INDEX('반배정'!B$7:B$156,$N115))</f>
        <v/>
      </c>
      <c r="C115" s="10">
        <f>IF($N115="","",INDEX('반배정'!C$7:C$156,$N115))</f>
        <v/>
      </c>
      <c r="D115" s="10">
        <f>IF($N115="","",INDEX('반배정'!D$7:D$156,$N115))</f>
        <v/>
      </c>
      <c r="E115" s="10">
        <f>IF($N115="","",INDEX('반배정'!E$7:E$156,$N115))</f>
        <v/>
      </c>
      <c r="F115" s="10">
        <f>IF($N115="","",INDEX('반배정'!G$7:G$156,$N115))</f>
        <v/>
      </c>
      <c r="G115" s="10">
        <f>IF($N115="","",INDEX('반배정'!H$7:H$156,$N115))</f>
        <v/>
      </c>
      <c r="H115" s="37">
        <f>IF($N115="","",INDEX('반배정'!I$7:I$156,$N115))</f>
        <v/>
      </c>
      <c r="I115" s="27">
        <f>IF($N115="","",INDEX('반배정'!O$7:O$156,$N115))</f>
        <v/>
      </c>
      <c r="J115" s="10">
        <f>IF($N115="","",INDEX('반배정'!N$7:N$156,$N115)&amp;"")</f>
        <v/>
      </c>
      <c r="K115" s="10">
        <f>IF($N115="","",INDEX('반배정'!L$7:L$156,$N115))</f>
        <v/>
      </c>
      <c r="L115" s="10">
        <f>IF($N115="","",INDEX('반배정'!P$7:P$156,$N115))</f>
        <v/>
      </c>
      <c r="M115" s="10">
        <f>IFERROR(SMALL('반배정'!$Q$7:$Q$156,109),"")</f>
        <v/>
      </c>
      <c r="N115" s="10">
        <f>IF(M115="","",MATCH(M115,'반배정'!$Q$7:$Q$156,0))</f>
        <v/>
      </c>
    </row>
    <row r="116">
      <c r="A116" s="10">
        <f>IF($N116="","",INDEX('반배정'!J$7:J$156,$N116))</f>
        <v/>
      </c>
      <c r="B116" s="10">
        <f>IF($N116="","",INDEX('반배정'!B$7:B$156,$N116))</f>
        <v/>
      </c>
      <c r="C116" s="10">
        <f>IF($N116="","",INDEX('반배정'!C$7:C$156,$N116))</f>
        <v/>
      </c>
      <c r="D116" s="10">
        <f>IF($N116="","",INDEX('반배정'!D$7:D$156,$N116))</f>
        <v/>
      </c>
      <c r="E116" s="10">
        <f>IF($N116="","",INDEX('반배정'!E$7:E$156,$N116))</f>
        <v/>
      </c>
      <c r="F116" s="10">
        <f>IF($N116="","",INDEX('반배정'!G$7:G$156,$N116))</f>
        <v/>
      </c>
      <c r="G116" s="10">
        <f>IF($N116="","",INDEX('반배정'!H$7:H$156,$N116))</f>
        <v/>
      </c>
      <c r="H116" s="37">
        <f>IF($N116="","",INDEX('반배정'!I$7:I$156,$N116))</f>
        <v/>
      </c>
      <c r="I116" s="27">
        <f>IF($N116="","",INDEX('반배정'!O$7:O$156,$N116))</f>
        <v/>
      </c>
      <c r="J116" s="10">
        <f>IF($N116="","",INDEX('반배정'!N$7:N$156,$N116)&amp;"")</f>
        <v/>
      </c>
      <c r="K116" s="10">
        <f>IF($N116="","",INDEX('반배정'!L$7:L$156,$N116))</f>
        <v/>
      </c>
      <c r="L116" s="10">
        <f>IF($N116="","",INDEX('반배정'!P$7:P$156,$N116))</f>
        <v/>
      </c>
      <c r="M116" s="10">
        <f>IFERROR(SMALL('반배정'!$Q$7:$Q$156,110),"")</f>
        <v/>
      </c>
      <c r="N116" s="10">
        <f>IF(M116="","",MATCH(M116,'반배정'!$Q$7:$Q$156,0))</f>
        <v/>
      </c>
    </row>
    <row r="117">
      <c r="A117" s="10">
        <f>IF($N117="","",INDEX('반배정'!J$7:J$156,$N117))</f>
        <v/>
      </c>
      <c r="B117" s="10">
        <f>IF($N117="","",INDEX('반배정'!B$7:B$156,$N117))</f>
        <v/>
      </c>
      <c r="C117" s="10">
        <f>IF($N117="","",INDEX('반배정'!C$7:C$156,$N117))</f>
        <v/>
      </c>
      <c r="D117" s="10">
        <f>IF($N117="","",INDEX('반배정'!D$7:D$156,$N117))</f>
        <v/>
      </c>
      <c r="E117" s="10">
        <f>IF($N117="","",INDEX('반배정'!E$7:E$156,$N117))</f>
        <v/>
      </c>
      <c r="F117" s="10">
        <f>IF($N117="","",INDEX('반배정'!G$7:G$156,$N117))</f>
        <v/>
      </c>
      <c r="G117" s="10">
        <f>IF($N117="","",INDEX('반배정'!H$7:H$156,$N117))</f>
        <v/>
      </c>
      <c r="H117" s="37">
        <f>IF($N117="","",INDEX('반배정'!I$7:I$156,$N117))</f>
        <v/>
      </c>
      <c r="I117" s="27">
        <f>IF($N117="","",INDEX('반배정'!O$7:O$156,$N117))</f>
        <v/>
      </c>
      <c r="J117" s="10">
        <f>IF($N117="","",INDEX('반배정'!N$7:N$156,$N117)&amp;"")</f>
        <v/>
      </c>
      <c r="K117" s="10">
        <f>IF($N117="","",INDEX('반배정'!L$7:L$156,$N117))</f>
        <v/>
      </c>
      <c r="L117" s="10">
        <f>IF($N117="","",INDEX('반배정'!P$7:P$156,$N117))</f>
        <v/>
      </c>
      <c r="M117" s="10">
        <f>IFERROR(SMALL('반배정'!$Q$7:$Q$156,111),"")</f>
        <v/>
      </c>
      <c r="N117" s="10">
        <f>IF(M117="","",MATCH(M117,'반배정'!$Q$7:$Q$156,0))</f>
        <v/>
      </c>
    </row>
    <row r="118">
      <c r="A118" s="10">
        <f>IF($N118="","",INDEX('반배정'!J$7:J$156,$N118))</f>
        <v/>
      </c>
      <c r="B118" s="10">
        <f>IF($N118="","",INDEX('반배정'!B$7:B$156,$N118))</f>
        <v/>
      </c>
      <c r="C118" s="10">
        <f>IF($N118="","",INDEX('반배정'!C$7:C$156,$N118))</f>
        <v/>
      </c>
      <c r="D118" s="10">
        <f>IF($N118="","",INDEX('반배정'!D$7:D$156,$N118))</f>
        <v/>
      </c>
      <c r="E118" s="10">
        <f>IF($N118="","",INDEX('반배정'!E$7:E$156,$N118))</f>
        <v/>
      </c>
      <c r="F118" s="10">
        <f>IF($N118="","",INDEX('반배정'!G$7:G$156,$N118))</f>
        <v/>
      </c>
      <c r="G118" s="10">
        <f>IF($N118="","",INDEX('반배정'!H$7:H$156,$N118))</f>
        <v/>
      </c>
      <c r="H118" s="37">
        <f>IF($N118="","",INDEX('반배정'!I$7:I$156,$N118))</f>
        <v/>
      </c>
      <c r="I118" s="27">
        <f>IF($N118="","",INDEX('반배정'!O$7:O$156,$N118))</f>
        <v/>
      </c>
      <c r="J118" s="10">
        <f>IF($N118="","",INDEX('반배정'!N$7:N$156,$N118)&amp;"")</f>
        <v/>
      </c>
      <c r="K118" s="10">
        <f>IF($N118="","",INDEX('반배정'!L$7:L$156,$N118))</f>
        <v/>
      </c>
      <c r="L118" s="10">
        <f>IF($N118="","",INDEX('반배정'!P$7:P$156,$N118))</f>
        <v/>
      </c>
      <c r="M118" s="10">
        <f>IFERROR(SMALL('반배정'!$Q$7:$Q$156,112),"")</f>
        <v/>
      </c>
      <c r="N118" s="10">
        <f>IF(M118="","",MATCH(M118,'반배정'!$Q$7:$Q$156,0))</f>
        <v/>
      </c>
    </row>
    <row r="119">
      <c r="A119" s="10">
        <f>IF($N119="","",INDEX('반배정'!J$7:J$156,$N119))</f>
        <v/>
      </c>
      <c r="B119" s="10">
        <f>IF($N119="","",INDEX('반배정'!B$7:B$156,$N119))</f>
        <v/>
      </c>
      <c r="C119" s="10">
        <f>IF($N119="","",INDEX('반배정'!C$7:C$156,$N119))</f>
        <v/>
      </c>
      <c r="D119" s="10">
        <f>IF($N119="","",INDEX('반배정'!D$7:D$156,$N119))</f>
        <v/>
      </c>
      <c r="E119" s="10">
        <f>IF($N119="","",INDEX('반배정'!E$7:E$156,$N119))</f>
        <v/>
      </c>
      <c r="F119" s="10">
        <f>IF($N119="","",INDEX('반배정'!G$7:G$156,$N119))</f>
        <v/>
      </c>
      <c r="G119" s="10">
        <f>IF($N119="","",INDEX('반배정'!H$7:H$156,$N119))</f>
        <v/>
      </c>
      <c r="H119" s="37">
        <f>IF($N119="","",INDEX('반배정'!I$7:I$156,$N119))</f>
        <v/>
      </c>
      <c r="I119" s="27">
        <f>IF($N119="","",INDEX('반배정'!O$7:O$156,$N119))</f>
        <v/>
      </c>
      <c r="J119" s="10">
        <f>IF($N119="","",INDEX('반배정'!N$7:N$156,$N119)&amp;"")</f>
        <v/>
      </c>
      <c r="K119" s="10">
        <f>IF($N119="","",INDEX('반배정'!L$7:L$156,$N119))</f>
        <v/>
      </c>
      <c r="L119" s="10">
        <f>IF($N119="","",INDEX('반배정'!P$7:P$156,$N119))</f>
        <v/>
      </c>
      <c r="M119" s="10">
        <f>IFERROR(SMALL('반배정'!$Q$7:$Q$156,113),"")</f>
        <v/>
      </c>
      <c r="N119" s="10">
        <f>IF(M119="","",MATCH(M119,'반배정'!$Q$7:$Q$156,0))</f>
        <v/>
      </c>
    </row>
    <row r="120">
      <c r="A120" s="10">
        <f>IF($N120="","",INDEX('반배정'!J$7:J$156,$N120))</f>
        <v/>
      </c>
      <c r="B120" s="10">
        <f>IF($N120="","",INDEX('반배정'!B$7:B$156,$N120))</f>
        <v/>
      </c>
      <c r="C120" s="10">
        <f>IF($N120="","",INDEX('반배정'!C$7:C$156,$N120))</f>
        <v/>
      </c>
      <c r="D120" s="10">
        <f>IF($N120="","",INDEX('반배정'!D$7:D$156,$N120))</f>
        <v/>
      </c>
      <c r="E120" s="10">
        <f>IF($N120="","",INDEX('반배정'!E$7:E$156,$N120))</f>
        <v/>
      </c>
      <c r="F120" s="10">
        <f>IF($N120="","",INDEX('반배정'!G$7:G$156,$N120))</f>
        <v/>
      </c>
      <c r="G120" s="10">
        <f>IF($N120="","",INDEX('반배정'!H$7:H$156,$N120))</f>
        <v/>
      </c>
      <c r="H120" s="37">
        <f>IF($N120="","",INDEX('반배정'!I$7:I$156,$N120))</f>
        <v/>
      </c>
      <c r="I120" s="27">
        <f>IF($N120="","",INDEX('반배정'!O$7:O$156,$N120))</f>
        <v/>
      </c>
      <c r="J120" s="10">
        <f>IF($N120="","",INDEX('반배정'!N$7:N$156,$N120)&amp;"")</f>
        <v/>
      </c>
      <c r="K120" s="10">
        <f>IF($N120="","",INDEX('반배정'!L$7:L$156,$N120))</f>
        <v/>
      </c>
      <c r="L120" s="10">
        <f>IF($N120="","",INDEX('반배정'!P$7:P$156,$N120))</f>
        <v/>
      </c>
      <c r="M120" s="10">
        <f>IFERROR(SMALL('반배정'!$Q$7:$Q$156,114),"")</f>
        <v/>
      </c>
      <c r="N120" s="10">
        <f>IF(M120="","",MATCH(M120,'반배정'!$Q$7:$Q$156,0))</f>
        <v/>
      </c>
    </row>
    <row r="121">
      <c r="A121" s="10">
        <f>IF($N121="","",INDEX('반배정'!J$7:J$156,$N121))</f>
        <v/>
      </c>
      <c r="B121" s="10">
        <f>IF($N121="","",INDEX('반배정'!B$7:B$156,$N121))</f>
        <v/>
      </c>
      <c r="C121" s="10">
        <f>IF($N121="","",INDEX('반배정'!C$7:C$156,$N121))</f>
        <v/>
      </c>
      <c r="D121" s="10">
        <f>IF($N121="","",INDEX('반배정'!D$7:D$156,$N121))</f>
        <v/>
      </c>
      <c r="E121" s="10">
        <f>IF($N121="","",INDEX('반배정'!E$7:E$156,$N121))</f>
        <v/>
      </c>
      <c r="F121" s="10">
        <f>IF($N121="","",INDEX('반배정'!G$7:G$156,$N121))</f>
        <v/>
      </c>
      <c r="G121" s="10">
        <f>IF($N121="","",INDEX('반배정'!H$7:H$156,$N121))</f>
        <v/>
      </c>
      <c r="H121" s="37">
        <f>IF($N121="","",INDEX('반배정'!I$7:I$156,$N121))</f>
        <v/>
      </c>
      <c r="I121" s="27">
        <f>IF($N121="","",INDEX('반배정'!O$7:O$156,$N121))</f>
        <v/>
      </c>
      <c r="J121" s="10">
        <f>IF($N121="","",INDEX('반배정'!N$7:N$156,$N121)&amp;"")</f>
        <v/>
      </c>
      <c r="K121" s="10">
        <f>IF($N121="","",INDEX('반배정'!L$7:L$156,$N121))</f>
        <v/>
      </c>
      <c r="L121" s="10">
        <f>IF($N121="","",INDEX('반배정'!P$7:P$156,$N121))</f>
        <v/>
      </c>
      <c r="M121" s="10">
        <f>IFERROR(SMALL('반배정'!$Q$7:$Q$156,115),"")</f>
        <v/>
      </c>
      <c r="N121" s="10">
        <f>IF(M121="","",MATCH(M121,'반배정'!$Q$7:$Q$156,0))</f>
        <v/>
      </c>
    </row>
    <row r="122">
      <c r="A122" s="10">
        <f>IF($N122="","",INDEX('반배정'!J$7:J$156,$N122))</f>
        <v/>
      </c>
      <c r="B122" s="10">
        <f>IF($N122="","",INDEX('반배정'!B$7:B$156,$N122))</f>
        <v/>
      </c>
      <c r="C122" s="10">
        <f>IF($N122="","",INDEX('반배정'!C$7:C$156,$N122))</f>
        <v/>
      </c>
      <c r="D122" s="10">
        <f>IF($N122="","",INDEX('반배정'!D$7:D$156,$N122))</f>
        <v/>
      </c>
      <c r="E122" s="10">
        <f>IF($N122="","",INDEX('반배정'!E$7:E$156,$N122))</f>
        <v/>
      </c>
      <c r="F122" s="10">
        <f>IF($N122="","",INDEX('반배정'!G$7:G$156,$N122))</f>
        <v/>
      </c>
      <c r="G122" s="10">
        <f>IF($N122="","",INDEX('반배정'!H$7:H$156,$N122))</f>
        <v/>
      </c>
      <c r="H122" s="37">
        <f>IF($N122="","",INDEX('반배정'!I$7:I$156,$N122))</f>
        <v/>
      </c>
      <c r="I122" s="27">
        <f>IF($N122="","",INDEX('반배정'!O$7:O$156,$N122))</f>
        <v/>
      </c>
      <c r="J122" s="10">
        <f>IF($N122="","",INDEX('반배정'!N$7:N$156,$N122)&amp;"")</f>
        <v/>
      </c>
      <c r="K122" s="10">
        <f>IF($N122="","",INDEX('반배정'!L$7:L$156,$N122))</f>
        <v/>
      </c>
      <c r="L122" s="10">
        <f>IF($N122="","",INDEX('반배정'!P$7:P$156,$N122))</f>
        <v/>
      </c>
      <c r="M122" s="10">
        <f>IFERROR(SMALL('반배정'!$Q$7:$Q$156,116),"")</f>
        <v/>
      </c>
      <c r="N122" s="10">
        <f>IF(M122="","",MATCH(M122,'반배정'!$Q$7:$Q$156,0))</f>
        <v/>
      </c>
    </row>
    <row r="123">
      <c r="A123" s="10">
        <f>IF($N123="","",INDEX('반배정'!J$7:J$156,$N123))</f>
        <v/>
      </c>
      <c r="B123" s="10">
        <f>IF($N123="","",INDEX('반배정'!B$7:B$156,$N123))</f>
        <v/>
      </c>
      <c r="C123" s="10">
        <f>IF($N123="","",INDEX('반배정'!C$7:C$156,$N123))</f>
        <v/>
      </c>
      <c r="D123" s="10">
        <f>IF($N123="","",INDEX('반배정'!D$7:D$156,$N123))</f>
        <v/>
      </c>
      <c r="E123" s="10">
        <f>IF($N123="","",INDEX('반배정'!E$7:E$156,$N123))</f>
        <v/>
      </c>
      <c r="F123" s="10">
        <f>IF($N123="","",INDEX('반배정'!G$7:G$156,$N123))</f>
        <v/>
      </c>
      <c r="G123" s="10">
        <f>IF($N123="","",INDEX('반배정'!H$7:H$156,$N123))</f>
        <v/>
      </c>
      <c r="H123" s="37">
        <f>IF($N123="","",INDEX('반배정'!I$7:I$156,$N123))</f>
        <v/>
      </c>
      <c r="I123" s="27">
        <f>IF($N123="","",INDEX('반배정'!O$7:O$156,$N123))</f>
        <v/>
      </c>
      <c r="J123" s="10">
        <f>IF($N123="","",INDEX('반배정'!N$7:N$156,$N123)&amp;"")</f>
        <v/>
      </c>
      <c r="K123" s="10">
        <f>IF($N123="","",INDEX('반배정'!L$7:L$156,$N123))</f>
        <v/>
      </c>
      <c r="L123" s="10">
        <f>IF($N123="","",INDEX('반배정'!P$7:P$156,$N123))</f>
        <v/>
      </c>
      <c r="M123" s="10">
        <f>IFERROR(SMALL('반배정'!$Q$7:$Q$156,117),"")</f>
        <v/>
      </c>
      <c r="N123" s="10">
        <f>IF(M123="","",MATCH(M123,'반배정'!$Q$7:$Q$156,0))</f>
        <v/>
      </c>
    </row>
    <row r="124">
      <c r="A124" s="10">
        <f>IF($N124="","",INDEX('반배정'!J$7:J$156,$N124))</f>
        <v/>
      </c>
      <c r="B124" s="10">
        <f>IF($N124="","",INDEX('반배정'!B$7:B$156,$N124))</f>
        <v/>
      </c>
      <c r="C124" s="10">
        <f>IF($N124="","",INDEX('반배정'!C$7:C$156,$N124))</f>
        <v/>
      </c>
      <c r="D124" s="10">
        <f>IF($N124="","",INDEX('반배정'!D$7:D$156,$N124))</f>
        <v/>
      </c>
      <c r="E124" s="10">
        <f>IF($N124="","",INDEX('반배정'!E$7:E$156,$N124))</f>
        <v/>
      </c>
      <c r="F124" s="10">
        <f>IF($N124="","",INDEX('반배정'!G$7:G$156,$N124))</f>
        <v/>
      </c>
      <c r="G124" s="10">
        <f>IF($N124="","",INDEX('반배정'!H$7:H$156,$N124))</f>
        <v/>
      </c>
      <c r="H124" s="37">
        <f>IF($N124="","",INDEX('반배정'!I$7:I$156,$N124))</f>
        <v/>
      </c>
      <c r="I124" s="27">
        <f>IF($N124="","",INDEX('반배정'!O$7:O$156,$N124))</f>
        <v/>
      </c>
      <c r="J124" s="10">
        <f>IF($N124="","",INDEX('반배정'!N$7:N$156,$N124)&amp;"")</f>
        <v/>
      </c>
      <c r="K124" s="10">
        <f>IF($N124="","",INDEX('반배정'!L$7:L$156,$N124))</f>
        <v/>
      </c>
      <c r="L124" s="10">
        <f>IF($N124="","",INDEX('반배정'!P$7:P$156,$N124))</f>
        <v/>
      </c>
      <c r="M124" s="10">
        <f>IFERROR(SMALL('반배정'!$Q$7:$Q$156,118),"")</f>
        <v/>
      </c>
      <c r="N124" s="10">
        <f>IF(M124="","",MATCH(M124,'반배정'!$Q$7:$Q$156,0))</f>
        <v/>
      </c>
    </row>
    <row r="125">
      <c r="A125" s="10">
        <f>IF($N125="","",INDEX('반배정'!J$7:J$156,$N125))</f>
        <v/>
      </c>
      <c r="B125" s="10">
        <f>IF($N125="","",INDEX('반배정'!B$7:B$156,$N125))</f>
        <v/>
      </c>
      <c r="C125" s="10">
        <f>IF($N125="","",INDEX('반배정'!C$7:C$156,$N125))</f>
        <v/>
      </c>
      <c r="D125" s="10">
        <f>IF($N125="","",INDEX('반배정'!D$7:D$156,$N125))</f>
        <v/>
      </c>
      <c r="E125" s="10">
        <f>IF($N125="","",INDEX('반배정'!E$7:E$156,$N125))</f>
        <v/>
      </c>
      <c r="F125" s="10">
        <f>IF($N125="","",INDEX('반배정'!G$7:G$156,$N125))</f>
        <v/>
      </c>
      <c r="G125" s="10">
        <f>IF($N125="","",INDEX('반배정'!H$7:H$156,$N125))</f>
        <v/>
      </c>
      <c r="H125" s="37">
        <f>IF($N125="","",INDEX('반배정'!I$7:I$156,$N125))</f>
        <v/>
      </c>
      <c r="I125" s="27">
        <f>IF($N125="","",INDEX('반배정'!O$7:O$156,$N125))</f>
        <v/>
      </c>
      <c r="J125" s="10">
        <f>IF($N125="","",INDEX('반배정'!N$7:N$156,$N125)&amp;"")</f>
        <v/>
      </c>
      <c r="K125" s="10">
        <f>IF($N125="","",INDEX('반배정'!L$7:L$156,$N125))</f>
        <v/>
      </c>
      <c r="L125" s="10">
        <f>IF($N125="","",INDEX('반배정'!P$7:P$156,$N125))</f>
        <v/>
      </c>
      <c r="M125" s="10">
        <f>IFERROR(SMALL('반배정'!$Q$7:$Q$156,119),"")</f>
        <v/>
      </c>
      <c r="N125" s="10">
        <f>IF(M125="","",MATCH(M125,'반배정'!$Q$7:$Q$156,0))</f>
        <v/>
      </c>
    </row>
    <row r="126">
      <c r="A126" s="10">
        <f>IF($N126="","",INDEX('반배정'!J$7:J$156,$N126))</f>
        <v/>
      </c>
      <c r="B126" s="10">
        <f>IF($N126="","",INDEX('반배정'!B$7:B$156,$N126))</f>
        <v/>
      </c>
      <c r="C126" s="10">
        <f>IF($N126="","",INDEX('반배정'!C$7:C$156,$N126))</f>
        <v/>
      </c>
      <c r="D126" s="10">
        <f>IF($N126="","",INDEX('반배정'!D$7:D$156,$N126))</f>
        <v/>
      </c>
      <c r="E126" s="10">
        <f>IF($N126="","",INDEX('반배정'!E$7:E$156,$N126))</f>
        <v/>
      </c>
      <c r="F126" s="10">
        <f>IF($N126="","",INDEX('반배정'!G$7:G$156,$N126))</f>
        <v/>
      </c>
      <c r="G126" s="10">
        <f>IF($N126="","",INDEX('반배정'!H$7:H$156,$N126))</f>
        <v/>
      </c>
      <c r="H126" s="37">
        <f>IF($N126="","",INDEX('반배정'!I$7:I$156,$N126))</f>
        <v/>
      </c>
      <c r="I126" s="27">
        <f>IF($N126="","",INDEX('반배정'!O$7:O$156,$N126))</f>
        <v/>
      </c>
      <c r="J126" s="10">
        <f>IF($N126="","",INDEX('반배정'!N$7:N$156,$N126)&amp;"")</f>
        <v/>
      </c>
      <c r="K126" s="10">
        <f>IF($N126="","",INDEX('반배정'!L$7:L$156,$N126))</f>
        <v/>
      </c>
      <c r="L126" s="10">
        <f>IF($N126="","",INDEX('반배정'!P$7:P$156,$N126))</f>
        <v/>
      </c>
      <c r="M126" s="10">
        <f>IFERROR(SMALL('반배정'!$Q$7:$Q$156,120),"")</f>
        <v/>
      </c>
      <c r="N126" s="10">
        <f>IF(M126="","",MATCH(M126,'반배정'!$Q$7:$Q$156,0))</f>
        <v/>
      </c>
    </row>
    <row r="127">
      <c r="A127" s="10">
        <f>IF($N127="","",INDEX('반배정'!J$7:J$156,$N127))</f>
        <v/>
      </c>
      <c r="B127" s="10">
        <f>IF($N127="","",INDEX('반배정'!B$7:B$156,$N127))</f>
        <v/>
      </c>
      <c r="C127" s="10">
        <f>IF($N127="","",INDEX('반배정'!C$7:C$156,$N127))</f>
        <v/>
      </c>
      <c r="D127" s="10">
        <f>IF($N127="","",INDEX('반배정'!D$7:D$156,$N127))</f>
        <v/>
      </c>
      <c r="E127" s="10">
        <f>IF($N127="","",INDEX('반배정'!E$7:E$156,$N127))</f>
        <v/>
      </c>
      <c r="F127" s="10">
        <f>IF($N127="","",INDEX('반배정'!G$7:G$156,$N127))</f>
        <v/>
      </c>
      <c r="G127" s="10">
        <f>IF($N127="","",INDEX('반배정'!H$7:H$156,$N127))</f>
        <v/>
      </c>
      <c r="H127" s="37">
        <f>IF($N127="","",INDEX('반배정'!I$7:I$156,$N127))</f>
        <v/>
      </c>
      <c r="I127" s="27">
        <f>IF($N127="","",INDEX('반배정'!O$7:O$156,$N127))</f>
        <v/>
      </c>
      <c r="J127" s="10">
        <f>IF($N127="","",INDEX('반배정'!N$7:N$156,$N127)&amp;"")</f>
        <v/>
      </c>
      <c r="K127" s="10">
        <f>IF($N127="","",INDEX('반배정'!L$7:L$156,$N127))</f>
        <v/>
      </c>
      <c r="L127" s="10">
        <f>IF($N127="","",INDEX('반배정'!P$7:P$156,$N127))</f>
        <v/>
      </c>
      <c r="M127" s="10">
        <f>IFERROR(SMALL('반배정'!$Q$7:$Q$156,121),"")</f>
        <v/>
      </c>
      <c r="N127" s="10">
        <f>IF(M127="","",MATCH(M127,'반배정'!$Q$7:$Q$156,0))</f>
        <v/>
      </c>
    </row>
    <row r="128">
      <c r="A128" s="10">
        <f>IF($N128="","",INDEX('반배정'!J$7:J$156,$N128))</f>
        <v/>
      </c>
      <c r="B128" s="10">
        <f>IF($N128="","",INDEX('반배정'!B$7:B$156,$N128))</f>
        <v/>
      </c>
      <c r="C128" s="10">
        <f>IF($N128="","",INDEX('반배정'!C$7:C$156,$N128))</f>
        <v/>
      </c>
      <c r="D128" s="10">
        <f>IF($N128="","",INDEX('반배정'!D$7:D$156,$N128))</f>
        <v/>
      </c>
      <c r="E128" s="10">
        <f>IF($N128="","",INDEX('반배정'!E$7:E$156,$N128))</f>
        <v/>
      </c>
      <c r="F128" s="10">
        <f>IF($N128="","",INDEX('반배정'!G$7:G$156,$N128))</f>
        <v/>
      </c>
      <c r="G128" s="10">
        <f>IF($N128="","",INDEX('반배정'!H$7:H$156,$N128))</f>
        <v/>
      </c>
      <c r="H128" s="37">
        <f>IF($N128="","",INDEX('반배정'!I$7:I$156,$N128))</f>
        <v/>
      </c>
      <c r="I128" s="27">
        <f>IF($N128="","",INDEX('반배정'!O$7:O$156,$N128))</f>
        <v/>
      </c>
      <c r="J128" s="10">
        <f>IF($N128="","",INDEX('반배정'!N$7:N$156,$N128)&amp;"")</f>
        <v/>
      </c>
      <c r="K128" s="10">
        <f>IF($N128="","",INDEX('반배정'!L$7:L$156,$N128))</f>
        <v/>
      </c>
      <c r="L128" s="10">
        <f>IF($N128="","",INDEX('반배정'!P$7:P$156,$N128))</f>
        <v/>
      </c>
      <c r="M128" s="10">
        <f>IFERROR(SMALL('반배정'!$Q$7:$Q$156,122),"")</f>
        <v/>
      </c>
      <c r="N128" s="10">
        <f>IF(M128="","",MATCH(M128,'반배정'!$Q$7:$Q$156,0))</f>
        <v/>
      </c>
    </row>
    <row r="129">
      <c r="A129" s="10">
        <f>IF($N129="","",INDEX('반배정'!J$7:J$156,$N129))</f>
        <v/>
      </c>
      <c r="B129" s="10">
        <f>IF($N129="","",INDEX('반배정'!B$7:B$156,$N129))</f>
        <v/>
      </c>
      <c r="C129" s="10">
        <f>IF($N129="","",INDEX('반배정'!C$7:C$156,$N129))</f>
        <v/>
      </c>
      <c r="D129" s="10">
        <f>IF($N129="","",INDEX('반배정'!D$7:D$156,$N129))</f>
        <v/>
      </c>
      <c r="E129" s="10">
        <f>IF($N129="","",INDEX('반배정'!E$7:E$156,$N129))</f>
        <v/>
      </c>
      <c r="F129" s="10">
        <f>IF($N129="","",INDEX('반배정'!G$7:G$156,$N129))</f>
        <v/>
      </c>
      <c r="G129" s="10">
        <f>IF($N129="","",INDEX('반배정'!H$7:H$156,$N129))</f>
        <v/>
      </c>
      <c r="H129" s="37">
        <f>IF($N129="","",INDEX('반배정'!I$7:I$156,$N129))</f>
        <v/>
      </c>
      <c r="I129" s="27">
        <f>IF($N129="","",INDEX('반배정'!O$7:O$156,$N129))</f>
        <v/>
      </c>
      <c r="J129" s="10">
        <f>IF($N129="","",INDEX('반배정'!N$7:N$156,$N129)&amp;"")</f>
        <v/>
      </c>
      <c r="K129" s="10">
        <f>IF($N129="","",INDEX('반배정'!L$7:L$156,$N129))</f>
        <v/>
      </c>
      <c r="L129" s="10">
        <f>IF($N129="","",INDEX('반배정'!P$7:P$156,$N129))</f>
        <v/>
      </c>
      <c r="M129" s="10">
        <f>IFERROR(SMALL('반배정'!$Q$7:$Q$156,123),"")</f>
        <v/>
      </c>
      <c r="N129" s="10">
        <f>IF(M129="","",MATCH(M129,'반배정'!$Q$7:$Q$156,0))</f>
        <v/>
      </c>
    </row>
    <row r="130">
      <c r="A130" s="10">
        <f>IF($N130="","",INDEX('반배정'!J$7:J$156,$N130))</f>
        <v/>
      </c>
      <c r="B130" s="10">
        <f>IF($N130="","",INDEX('반배정'!B$7:B$156,$N130))</f>
        <v/>
      </c>
      <c r="C130" s="10">
        <f>IF($N130="","",INDEX('반배정'!C$7:C$156,$N130))</f>
        <v/>
      </c>
      <c r="D130" s="10">
        <f>IF($N130="","",INDEX('반배정'!D$7:D$156,$N130))</f>
        <v/>
      </c>
      <c r="E130" s="10">
        <f>IF($N130="","",INDEX('반배정'!E$7:E$156,$N130))</f>
        <v/>
      </c>
      <c r="F130" s="10">
        <f>IF($N130="","",INDEX('반배정'!G$7:G$156,$N130))</f>
        <v/>
      </c>
      <c r="G130" s="10">
        <f>IF($N130="","",INDEX('반배정'!H$7:H$156,$N130))</f>
        <v/>
      </c>
      <c r="H130" s="37">
        <f>IF($N130="","",INDEX('반배정'!I$7:I$156,$N130))</f>
        <v/>
      </c>
      <c r="I130" s="27">
        <f>IF($N130="","",INDEX('반배정'!O$7:O$156,$N130))</f>
        <v/>
      </c>
      <c r="J130" s="10">
        <f>IF($N130="","",INDEX('반배정'!N$7:N$156,$N130)&amp;"")</f>
        <v/>
      </c>
      <c r="K130" s="10">
        <f>IF($N130="","",INDEX('반배정'!L$7:L$156,$N130))</f>
        <v/>
      </c>
      <c r="L130" s="10">
        <f>IF($N130="","",INDEX('반배정'!P$7:P$156,$N130))</f>
        <v/>
      </c>
      <c r="M130" s="10">
        <f>IFERROR(SMALL('반배정'!$Q$7:$Q$156,124),"")</f>
        <v/>
      </c>
      <c r="N130" s="10">
        <f>IF(M130="","",MATCH(M130,'반배정'!$Q$7:$Q$156,0))</f>
        <v/>
      </c>
    </row>
    <row r="131">
      <c r="A131" s="10">
        <f>IF($N131="","",INDEX('반배정'!J$7:J$156,$N131))</f>
        <v/>
      </c>
      <c r="B131" s="10">
        <f>IF($N131="","",INDEX('반배정'!B$7:B$156,$N131))</f>
        <v/>
      </c>
      <c r="C131" s="10">
        <f>IF($N131="","",INDEX('반배정'!C$7:C$156,$N131))</f>
        <v/>
      </c>
      <c r="D131" s="10">
        <f>IF($N131="","",INDEX('반배정'!D$7:D$156,$N131))</f>
        <v/>
      </c>
      <c r="E131" s="10">
        <f>IF($N131="","",INDEX('반배정'!E$7:E$156,$N131))</f>
        <v/>
      </c>
      <c r="F131" s="10">
        <f>IF($N131="","",INDEX('반배정'!G$7:G$156,$N131))</f>
        <v/>
      </c>
      <c r="G131" s="10">
        <f>IF($N131="","",INDEX('반배정'!H$7:H$156,$N131))</f>
        <v/>
      </c>
      <c r="H131" s="37">
        <f>IF($N131="","",INDEX('반배정'!I$7:I$156,$N131))</f>
        <v/>
      </c>
      <c r="I131" s="27">
        <f>IF($N131="","",INDEX('반배정'!O$7:O$156,$N131))</f>
        <v/>
      </c>
      <c r="J131" s="10">
        <f>IF($N131="","",INDEX('반배정'!N$7:N$156,$N131)&amp;"")</f>
        <v/>
      </c>
      <c r="K131" s="10">
        <f>IF($N131="","",INDEX('반배정'!L$7:L$156,$N131))</f>
        <v/>
      </c>
      <c r="L131" s="10">
        <f>IF($N131="","",INDEX('반배정'!P$7:P$156,$N131))</f>
        <v/>
      </c>
      <c r="M131" s="10">
        <f>IFERROR(SMALL('반배정'!$Q$7:$Q$156,125),"")</f>
        <v/>
      </c>
      <c r="N131" s="10">
        <f>IF(M131="","",MATCH(M131,'반배정'!$Q$7:$Q$156,0))</f>
        <v/>
      </c>
    </row>
    <row r="132">
      <c r="A132" s="10">
        <f>IF($N132="","",INDEX('반배정'!J$7:J$156,$N132))</f>
        <v/>
      </c>
      <c r="B132" s="10">
        <f>IF($N132="","",INDEX('반배정'!B$7:B$156,$N132))</f>
        <v/>
      </c>
      <c r="C132" s="10">
        <f>IF($N132="","",INDEX('반배정'!C$7:C$156,$N132))</f>
        <v/>
      </c>
      <c r="D132" s="10">
        <f>IF($N132="","",INDEX('반배정'!D$7:D$156,$N132))</f>
        <v/>
      </c>
      <c r="E132" s="10">
        <f>IF($N132="","",INDEX('반배정'!E$7:E$156,$N132))</f>
        <v/>
      </c>
      <c r="F132" s="10">
        <f>IF($N132="","",INDEX('반배정'!G$7:G$156,$N132))</f>
        <v/>
      </c>
      <c r="G132" s="10">
        <f>IF($N132="","",INDEX('반배정'!H$7:H$156,$N132))</f>
        <v/>
      </c>
      <c r="H132" s="37">
        <f>IF($N132="","",INDEX('반배정'!I$7:I$156,$N132))</f>
        <v/>
      </c>
      <c r="I132" s="27">
        <f>IF($N132="","",INDEX('반배정'!O$7:O$156,$N132))</f>
        <v/>
      </c>
      <c r="J132" s="10">
        <f>IF($N132="","",INDEX('반배정'!N$7:N$156,$N132)&amp;"")</f>
        <v/>
      </c>
      <c r="K132" s="10">
        <f>IF($N132="","",INDEX('반배정'!L$7:L$156,$N132))</f>
        <v/>
      </c>
      <c r="L132" s="10">
        <f>IF($N132="","",INDEX('반배정'!P$7:P$156,$N132))</f>
        <v/>
      </c>
      <c r="M132" s="10">
        <f>IFERROR(SMALL('반배정'!$Q$7:$Q$156,126),"")</f>
        <v/>
      </c>
      <c r="N132" s="10">
        <f>IF(M132="","",MATCH(M132,'반배정'!$Q$7:$Q$156,0))</f>
        <v/>
      </c>
    </row>
    <row r="133">
      <c r="A133" s="10">
        <f>IF($N133="","",INDEX('반배정'!J$7:J$156,$N133))</f>
        <v/>
      </c>
      <c r="B133" s="10">
        <f>IF($N133="","",INDEX('반배정'!B$7:B$156,$N133))</f>
        <v/>
      </c>
      <c r="C133" s="10">
        <f>IF($N133="","",INDEX('반배정'!C$7:C$156,$N133))</f>
        <v/>
      </c>
      <c r="D133" s="10">
        <f>IF($N133="","",INDEX('반배정'!D$7:D$156,$N133))</f>
        <v/>
      </c>
      <c r="E133" s="10">
        <f>IF($N133="","",INDEX('반배정'!E$7:E$156,$N133))</f>
        <v/>
      </c>
      <c r="F133" s="10">
        <f>IF($N133="","",INDEX('반배정'!G$7:G$156,$N133))</f>
        <v/>
      </c>
      <c r="G133" s="10">
        <f>IF($N133="","",INDEX('반배정'!H$7:H$156,$N133))</f>
        <v/>
      </c>
      <c r="H133" s="37">
        <f>IF($N133="","",INDEX('반배정'!I$7:I$156,$N133))</f>
        <v/>
      </c>
      <c r="I133" s="27">
        <f>IF($N133="","",INDEX('반배정'!O$7:O$156,$N133))</f>
        <v/>
      </c>
      <c r="J133" s="10">
        <f>IF($N133="","",INDEX('반배정'!N$7:N$156,$N133)&amp;"")</f>
        <v/>
      </c>
      <c r="K133" s="10">
        <f>IF($N133="","",INDEX('반배정'!L$7:L$156,$N133))</f>
        <v/>
      </c>
      <c r="L133" s="10">
        <f>IF($N133="","",INDEX('반배정'!P$7:P$156,$N133))</f>
        <v/>
      </c>
      <c r="M133" s="10">
        <f>IFERROR(SMALL('반배정'!$Q$7:$Q$156,127),"")</f>
        <v/>
      </c>
      <c r="N133" s="10">
        <f>IF(M133="","",MATCH(M133,'반배정'!$Q$7:$Q$156,0))</f>
        <v/>
      </c>
    </row>
    <row r="134">
      <c r="A134" s="10">
        <f>IF($N134="","",INDEX('반배정'!J$7:J$156,$N134))</f>
        <v/>
      </c>
      <c r="B134" s="10">
        <f>IF($N134="","",INDEX('반배정'!B$7:B$156,$N134))</f>
        <v/>
      </c>
      <c r="C134" s="10">
        <f>IF($N134="","",INDEX('반배정'!C$7:C$156,$N134))</f>
        <v/>
      </c>
      <c r="D134" s="10">
        <f>IF($N134="","",INDEX('반배정'!D$7:D$156,$N134))</f>
        <v/>
      </c>
      <c r="E134" s="10">
        <f>IF($N134="","",INDEX('반배정'!E$7:E$156,$N134))</f>
        <v/>
      </c>
      <c r="F134" s="10">
        <f>IF($N134="","",INDEX('반배정'!G$7:G$156,$N134))</f>
        <v/>
      </c>
      <c r="G134" s="10">
        <f>IF($N134="","",INDEX('반배정'!H$7:H$156,$N134))</f>
        <v/>
      </c>
      <c r="H134" s="37">
        <f>IF($N134="","",INDEX('반배정'!I$7:I$156,$N134))</f>
        <v/>
      </c>
      <c r="I134" s="27">
        <f>IF($N134="","",INDEX('반배정'!O$7:O$156,$N134))</f>
        <v/>
      </c>
      <c r="J134" s="10">
        <f>IF($N134="","",INDEX('반배정'!N$7:N$156,$N134)&amp;"")</f>
        <v/>
      </c>
      <c r="K134" s="10">
        <f>IF($N134="","",INDEX('반배정'!L$7:L$156,$N134))</f>
        <v/>
      </c>
      <c r="L134" s="10">
        <f>IF($N134="","",INDEX('반배정'!P$7:P$156,$N134))</f>
        <v/>
      </c>
      <c r="M134" s="10">
        <f>IFERROR(SMALL('반배정'!$Q$7:$Q$156,128),"")</f>
        <v/>
      </c>
      <c r="N134" s="10">
        <f>IF(M134="","",MATCH(M134,'반배정'!$Q$7:$Q$156,0))</f>
        <v/>
      </c>
    </row>
    <row r="135">
      <c r="A135" s="10">
        <f>IF($N135="","",INDEX('반배정'!J$7:J$156,$N135))</f>
        <v/>
      </c>
      <c r="B135" s="10">
        <f>IF($N135="","",INDEX('반배정'!B$7:B$156,$N135))</f>
        <v/>
      </c>
      <c r="C135" s="10">
        <f>IF($N135="","",INDEX('반배정'!C$7:C$156,$N135))</f>
        <v/>
      </c>
      <c r="D135" s="10">
        <f>IF($N135="","",INDEX('반배정'!D$7:D$156,$N135))</f>
        <v/>
      </c>
      <c r="E135" s="10">
        <f>IF($N135="","",INDEX('반배정'!E$7:E$156,$N135))</f>
        <v/>
      </c>
      <c r="F135" s="10">
        <f>IF($N135="","",INDEX('반배정'!G$7:G$156,$N135))</f>
        <v/>
      </c>
      <c r="G135" s="10">
        <f>IF($N135="","",INDEX('반배정'!H$7:H$156,$N135))</f>
        <v/>
      </c>
      <c r="H135" s="37">
        <f>IF($N135="","",INDEX('반배정'!I$7:I$156,$N135))</f>
        <v/>
      </c>
      <c r="I135" s="27">
        <f>IF($N135="","",INDEX('반배정'!O$7:O$156,$N135))</f>
        <v/>
      </c>
      <c r="J135" s="10">
        <f>IF($N135="","",INDEX('반배정'!N$7:N$156,$N135)&amp;"")</f>
        <v/>
      </c>
      <c r="K135" s="10">
        <f>IF($N135="","",INDEX('반배정'!L$7:L$156,$N135))</f>
        <v/>
      </c>
      <c r="L135" s="10">
        <f>IF($N135="","",INDEX('반배정'!P$7:P$156,$N135))</f>
        <v/>
      </c>
      <c r="M135" s="10">
        <f>IFERROR(SMALL('반배정'!$Q$7:$Q$156,129),"")</f>
        <v/>
      </c>
      <c r="N135" s="10">
        <f>IF(M135="","",MATCH(M135,'반배정'!$Q$7:$Q$156,0))</f>
        <v/>
      </c>
    </row>
    <row r="136">
      <c r="A136" s="10">
        <f>IF($N136="","",INDEX('반배정'!J$7:J$156,$N136))</f>
        <v/>
      </c>
      <c r="B136" s="10">
        <f>IF($N136="","",INDEX('반배정'!B$7:B$156,$N136))</f>
        <v/>
      </c>
      <c r="C136" s="10">
        <f>IF($N136="","",INDEX('반배정'!C$7:C$156,$N136))</f>
        <v/>
      </c>
      <c r="D136" s="10">
        <f>IF($N136="","",INDEX('반배정'!D$7:D$156,$N136))</f>
        <v/>
      </c>
      <c r="E136" s="10">
        <f>IF($N136="","",INDEX('반배정'!E$7:E$156,$N136))</f>
        <v/>
      </c>
      <c r="F136" s="10">
        <f>IF($N136="","",INDEX('반배정'!G$7:G$156,$N136))</f>
        <v/>
      </c>
      <c r="G136" s="10">
        <f>IF($N136="","",INDEX('반배정'!H$7:H$156,$N136))</f>
        <v/>
      </c>
      <c r="H136" s="37">
        <f>IF($N136="","",INDEX('반배정'!I$7:I$156,$N136))</f>
        <v/>
      </c>
      <c r="I136" s="27">
        <f>IF($N136="","",INDEX('반배정'!O$7:O$156,$N136))</f>
        <v/>
      </c>
      <c r="J136" s="10">
        <f>IF($N136="","",INDEX('반배정'!N$7:N$156,$N136)&amp;"")</f>
        <v/>
      </c>
      <c r="K136" s="10">
        <f>IF($N136="","",INDEX('반배정'!L$7:L$156,$N136))</f>
        <v/>
      </c>
      <c r="L136" s="10">
        <f>IF($N136="","",INDEX('반배정'!P$7:P$156,$N136))</f>
        <v/>
      </c>
      <c r="M136" s="10">
        <f>IFERROR(SMALL('반배정'!$Q$7:$Q$156,130),"")</f>
        <v/>
      </c>
      <c r="N136" s="10">
        <f>IF(M136="","",MATCH(M136,'반배정'!$Q$7:$Q$156,0))</f>
        <v/>
      </c>
    </row>
    <row r="137">
      <c r="A137" s="10">
        <f>IF($N137="","",INDEX('반배정'!J$7:J$156,$N137))</f>
        <v/>
      </c>
      <c r="B137" s="10">
        <f>IF($N137="","",INDEX('반배정'!B$7:B$156,$N137))</f>
        <v/>
      </c>
      <c r="C137" s="10">
        <f>IF($N137="","",INDEX('반배정'!C$7:C$156,$N137))</f>
        <v/>
      </c>
      <c r="D137" s="10">
        <f>IF($N137="","",INDEX('반배정'!D$7:D$156,$N137))</f>
        <v/>
      </c>
      <c r="E137" s="10">
        <f>IF($N137="","",INDEX('반배정'!E$7:E$156,$N137))</f>
        <v/>
      </c>
      <c r="F137" s="10">
        <f>IF($N137="","",INDEX('반배정'!G$7:G$156,$N137))</f>
        <v/>
      </c>
      <c r="G137" s="10">
        <f>IF($N137="","",INDEX('반배정'!H$7:H$156,$N137))</f>
        <v/>
      </c>
      <c r="H137" s="37">
        <f>IF($N137="","",INDEX('반배정'!I$7:I$156,$N137))</f>
        <v/>
      </c>
      <c r="I137" s="27">
        <f>IF($N137="","",INDEX('반배정'!O$7:O$156,$N137))</f>
        <v/>
      </c>
      <c r="J137" s="10">
        <f>IF($N137="","",INDEX('반배정'!N$7:N$156,$N137)&amp;"")</f>
        <v/>
      </c>
      <c r="K137" s="10">
        <f>IF($N137="","",INDEX('반배정'!L$7:L$156,$N137))</f>
        <v/>
      </c>
      <c r="L137" s="10">
        <f>IF($N137="","",INDEX('반배정'!P$7:P$156,$N137))</f>
        <v/>
      </c>
      <c r="M137" s="10">
        <f>IFERROR(SMALL('반배정'!$Q$7:$Q$156,131),"")</f>
        <v/>
      </c>
      <c r="N137" s="10">
        <f>IF(M137="","",MATCH(M137,'반배정'!$Q$7:$Q$156,0))</f>
        <v/>
      </c>
    </row>
    <row r="138">
      <c r="A138" s="10">
        <f>IF($N138="","",INDEX('반배정'!J$7:J$156,$N138))</f>
        <v/>
      </c>
      <c r="B138" s="10">
        <f>IF($N138="","",INDEX('반배정'!B$7:B$156,$N138))</f>
        <v/>
      </c>
      <c r="C138" s="10">
        <f>IF($N138="","",INDEX('반배정'!C$7:C$156,$N138))</f>
        <v/>
      </c>
      <c r="D138" s="10">
        <f>IF($N138="","",INDEX('반배정'!D$7:D$156,$N138))</f>
        <v/>
      </c>
      <c r="E138" s="10">
        <f>IF($N138="","",INDEX('반배정'!E$7:E$156,$N138))</f>
        <v/>
      </c>
      <c r="F138" s="10">
        <f>IF($N138="","",INDEX('반배정'!G$7:G$156,$N138))</f>
        <v/>
      </c>
      <c r="G138" s="10">
        <f>IF($N138="","",INDEX('반배정'!H$7:H$156,$N138))</f>
        <v/>
      </c>
      <c r="H138" s="37">
        <f>IF($N138="","",INDEX('반배정'!I$7:I$156,$N138))</f>
        <v/>
      </c>
      <c r="I138" s="27">
        <f>IF($N138="","",INDEX('반배정'!O$7:O$156,$N138))</f>
        <v/>
      </c>
      <c r="J138" s="10">
        <f>IF($N138="","",INDEX('반배정'!N$7:N$156,$N138)&amp;"")</f>
        <v/>
      </c>
      <c r="K138" s="10">
        <f>IF($N138="","",INDEX('반배정'!L$7:L$156,$N138))</f>
        <v/>
      </c>
      <c r="L138" s="10">
        <f>IF($N138="","",INDEX('반배정'!P$7:P$156,$N138))</f>
        <v/>
      </c>
      <c r="M138" s="10">
        <f>IFERROR(SMALL('반배정'!$Q$7:$Q$156,132),"")</f>
        <v/>
      </c>
      <c r="N138" s="10">
        <f>IF(M138="","",MATCH(M138,'반배정'!$Q$7:$Q$156,0))</f>
        <v/>
      </c>
    </row>
    <row r="139">
      <c r="A139" s="10">
        <f>IF($N139="","",INDEX('반배정'!J$7:J$156,$N139))</f>
        <v/>
      </c>
      <c r="B139" s="10">
        <f>IF($N139="","",INDEX('반배정'!B$7:B$156,$N139))</f>
        <v/>
      </c>
      <c r="C139" s="10">
        <f>IF($N139="","",INDEX('반배정'!C$7:C$156,$N139))</f>
        <v/>
      </c>
      <c r="D139" s="10">
        <f>IF($N139="","",INDEX('반배정'!D$7:D$156,$N139))</f>
        <v/>
      </c>
      <c r="E139" s="10">
        <f>IF($N139="","",INDEX('반배정'!E$7:E$156,$N139))</f>
        <v/>
      </c>
      <c r="F139" s="10">
        <f>IF($N139="","",INDEX('반배정'!G$7:G$156,$N139))</f>
        <v/>
      </c>
      <c r="G139" s="10">
        <f>IF($N139="","",INDEX('반배정'!H$7:H$156,$N139))</f>
        <v/>
      </c>
      <c r="H139" s="37">
        <f>IF($N139="","",INDEX('반배정'!I$7:I$156,$N139))</f>
        <v/>
      </c>
      <c r="I139" s="27">
        <f>IF($N139="","",INDEX('반배정'!O$7:O$156,$N139))</f>
        <v/>
      </c>
      <c r="J139" s="10">
        <f>IF($N139="","",INDEX('반배정'!N$7:N$156,$N139)&amp;"")</f>
        <v/>
      </c>
      <c r="K139" s="10">
        <f>IF($N139="","",INDEX('반배정'!L$7:L$156,$N139))</f>
        <v/>
      </c>
      <c r="L139" s="10">
        <f>IF($N139="","",INDEX('반배정'!P$7:P$156,$N139))</f>
        <v/>
      </c>
      <c r="M139" s="10">
        <f>IFERROR(SMALL('반배정'!$Q$7:$Q$156,133),"")</f>
        <v/>
      </c>
      <c r="N139" s="10">
        <f>IF(M139="","",MATCH(M139,'반배정'!$Q$7:$Q$156,0))</f>
        <v/>
      </c>
    </row>
    <row r="140">
      <c r="A140" s="10">
        <f>IF($N140="","",INDEX('반배정'!J$7:J$156,$N140))</f>
        <v/>
      </c>
      <c r="B140" s="10">
        <f>IF($N140="","",INDEX('반배정'!B$7:B$156,$N140))</f>
        <v/>
      </c>
      <c r="C140" s="10">
        <f>IF($N140="","",INDEX('반배정'!C$7:C$156,$N140))</f>
        <v/>
      </c>
      <c r="D140" s="10">
        <f>IF($N140="","",INDEX('반배정'!D$7:D$156,$N140))</f>
        <v/>
      </c>
      <c r="E140" s="10">
        <f>IF($N140="","",INDEX('반배정'!E$7:E$156,$N140))</f>
        <v/>
      </c>
      <c r="F140" s="10">
        <f>IF($N140="","",INDEX('반배정'!G$7:G$156,$N140))</f>
        <v/>
      </c>
      <c r="G140" s="10">
        <f>IF($N140="","",INDEX('반배정'!H$7:H$156,$N140))</f>
        <v/>
      </c>
      <c r="H140" s="37">
        <f>IF($N140="","",INDEX('반배정'!I$7:I$156,$N140))</f>
        <v/>
      </c>
      <c r="I140" s="27">
        <f>IF($N140="","",INDEX('반배정'!O$7:O$156,$N140))</f>
        <v/>
      </c>
      <c r="J140" s="10">
        <f>IF($N140="","",INDEX('반배정'!N$7:N$156,$N140)&amp;"")</f>
        <v/>
      </c>
      <c r="K140" s="10">
        <f>IF($N140="","",INDEX('반배정'!L$7:L$156,$N140))</f>
        <v/>
      </c>
      <c r="L140" s="10">
        <f>IF($N140="","",INDEX('반배정'!P$7:P$156,$N140))</f>
        <v/>
      </c>
      <c r="M140" s="10">
        <f>IFERROR(SMALL('반배정'!$Q$7:$Q$156,134),"")</f>
        <v/>
      </c>
      <c r="N140" s="10">
        <f>IF(M140="","",MATCH(M140,'반배정'!$Q$7:$Q$156,0))</f>
        <v/>
      </c>
    </row>
    <row r="141">
      <c r="A141" s="10">
        <f>IF($N141="","",INDEX('반배정'!J$7:J$156,$N141))</f>
        <v/>
      </c>
      <c r="B141" s="10">
        <f>IF($N141="","",INDEX('반배정'!B$7:B$156,$N141))</f>
        <v/>
      </c>
      <c r="C141" s="10">
        <f>IF($N141="","",INDEX('반배정'!C$7:C$156,$N141))</f>
        <v/>
      </c>
      <c r="D141" s="10">
        <f>IF($N141="","",INDEX('반배정'!D$7:D$156,$N141))</f>
        <v/>
      </c>
      <c r="E141" s="10">
        <f>IF($N141="","",INDEX('반배정'!E$7:E$156,$N141))</f>
        <v/>
      </c>
      <c r="F141" s="10">
        <f>IF($N141="","",INDEX('반배정'!G$7:G$156,$N141))</f>
        <v/>
      </c>
      <c r="G141" s="10">
        <f>IF($N141="","",INDEX('반배정'!H$7:H$156,$N141))</f>
        <v/>
      </c>
      <c r="H141" s="37">
        <f>IF($N141="","",INDEX('반배정'!I$7:I$156,$N141))</f>
        <v/>
      </c>
      <c r="I141" s="27">
        <f>IF($N141="","",INDEX('반배정'!O$7:O$156,$N141))</f>
        <v/>
      </c>
      <c r="J141" s="10">
        <f>IF($N141="","",INDEX('반배정'!N$7:N$156,$N141)&amp;"")</f>
        <v/>
      </c>
      <c r="K141" s="10">
        <f>IF($N141="","",INDEX('반배정'!L$7:L$156,$N141))</f>
        <v/>
      </c>
      <c r="L141" s="10">
        <f>IF($N141="","",INDEX('반배정'!P$7:P$156,$N141))</f>
        <v/>
      </c>
      <c r="M141" s="10">
        <f>IFERROR(SMALL('반배정'!$Q$7:$Q$156,135),"")</f>
        <v/>
      </c>
      <c r="N141" s="10">
        <f>IF(M141="","",MATCH(M141,'반배정'!$Q$7:$Q$156,0))</f>
        <v/>
      </c>
    </row>
    <row r="142">
      <c r="A142" s="10">
        <f>IF($N142="","",INDEX('반배정'!J$7:J$156,$N142))</f>
        <v/>
      </c>
      <c r="B142" s="10">
        <f>IF($N142="","",INDEX('반배정'!B$7:B$156,$N142))</f>
        <v/>
      </c>
      <c r="C142" s="10">
        <f>IF($N142="","",INDEX('반배정'!C$7:C$156,$N142))</f>
        <v/>
      </c>
      <c r="D142" s="10">
        <f>IF($N142="","",INDEX('반배정'!D$7:D$156,$N142))</f>
        <v/>
      </c>
      <c r="E142" s="10">
        <f>IF($N142="","",INDEX('반배정'!E$7:E$156,$N142))</f>
        <v/>
      </c>
      <c r="F142" s="10">
        <f>IF($N142="","",INDEX('반배정'!G$7:G$156,$N142))</f>
        <v/>
      </c>
      <c r="G142" s="10">
        <f>IF($N142="","",INDEX('반배정'!H$7:H$156,$N142))</f>
        <v/>
      </c>
      <c r="H142" s="37">
        <f>IF($N142="","",INDEX('반배정'!I$7:I$156,$N142))</f>
        <v/>
      </c>
      <c r="I142" s="27">
        <f>IF($N142="","",INDEX('반배정'!O$7:O$156,$N142))</f>
        <v/>
      </c>
      <c r="J142" s="10">
        <f>IF($N142="","",INDEX('반배정'!N$7:N$156,$N142)&amp;"")</f>
        <v/>
      </c>
      <c r="K142" s="10">
        <f>IF($N142="","",INDEX('반배정'!L$7:L$156,$N142))</f>
        <v/>
      </c>
      <c r="L142" s="10">
        <f>IF($N142="","",INDEX('반배정'!P$7:P$156,$N142))</f>
        <v/>
      </c>
      <c r="M142" s="10">
        <f>IFERROR(SMALL('반배정'!$Q$7:$Q$156,136),"")</f>
        <v/>
      </c>
      <c r="N142" s="10">
        <f>IF(M142="","",MATCH(M142,'반배정'!$Q$7:$Q$156,0))</f>
        <v/>
      </c>
    </row>
    <row r="143">
      <c r="A143" s="10">
        <f>IF($N143="","",INDEX('반배정'!J$7:J$156,$N143))</f>
        <v/>
      </c>
      <c r="B143" s="10">
        <f>IF($N143="","",INDEX('반배정'!B$7:B$156,$N143))</f>
        <v/>
      </c>
      <c r="C143" s="10">
        <f>IF($N143="","",INDEX('반배정'!C$7:C$156,$N143))</f>
        <v/>
      </c>
      <c r="D143" s="10">
        <f>IF($N143="","",INDEX('반배정'!D$7:D$156,$N143))</f>
        <v/>
      </c>
      <c r="E143" s="10">
        <f>IF($N143="","",INDEX('반배정'!E$7:E$156,$N143))</f>
        <v/>
      </c>
      <c r="F143" s="10">
        <f>IF($N143="","",INDEX('반배정'!G$7:G$156,$N143))</f>
        <v/>
      </c>
      <c r="G143" s="10">
        <f>IF($N143="","",INDEX('반배정'!H$7:H$156,$N143))</f>
        <v/>
      </c>
      <c r="H143" s="37">
        <f>IF($N143="","",INDEX('반배정'!I$7:I$156,$N143))</f>
        <v/>
      </c>
      <c r="I143" s="27">
        <f>IF($N143="","",INDEX('반배정'!O$7:O$156,$N143))</f>
        <v/>
      </c>
      <c r="J143" s="10">
        <f>IF($N143="","",INDEX('반배정'!N$7:N$156,$N143)&amp;"")</f>
        <v/>
      </c>
      <c r="K143" s="10">
        <f>IF($N143="","",INDEX('반배정'!L$7:L$156,$N143))</f>
        <v/>
      </c>
      <c r="L143" s="10">
        <f>IF($N143="","",INDEX('반배정'!P$7:P$156,$N143))</f>
        <v/>
      </c>
      <c r="M143" s="10">
        <f>IFERROR(SMALL('반배정'!$Q$7:$Q$156,137),"")</f>
        <v/>
      </c>
      <c r="N143" s="10">
        <f>IF(M143="","",MATCH(M143,'반배정'!$Q$7:$Q$156,0))</f>
        <v/>
      </c>
    </row>
    <row r="144">
      <c r="A144" s="10">
        <f>IF($N144="","",INDEX('반배정'!J$7:J$156,$N144))</f>
        <v/>
      </c>
      <c r="B144" s="10">
        <f>IF($N144="","",INDEX('반배정'!B$7:B$156,$N144))</f>
        <v/>
      </c>
      <c r="C144" s="10">
        <f>IF($N144="","",INDEX('반배정'!C$7:C$156,$N144))</f>
        <v/>
      </c>
      <c r="D144" s="10">
        <f>IF($N144="","",INDEX('반배정'!D$7:D$156,$N144))</f>
        <v/>
      </c>
      <c r="E144" s="10">
        <f>IF($N144="","",INDEX('반배정'!E$7:E$156,$N144))</f>
        <v/>
      </c>
      <c r="F144" s="10">
        <f>IF($N144="","",INDEX('반배정'!G$7:G$156,$N144))</f>
        <v/>
      </c>
      <c r="G144" s="10">
        <f>IF($N144="","",INDEX('반배정'!H$7:H$156,$N144))</f>
        <v/>
      </c>
      <c r="H144" s="37">
        <f>IF($N144="","",INDEX('반배정'!I$7:I$156,$N144))</f>
        <v/>
      </c>
      <c r="I144" s="27">
        <f>IF($N144="","",INDEX('반배정'!O$7:O$156,$N144))</f>
        <v/>
      </c>
      <c r="J144" s="10">
        <f>IF($N144="","",INDEX('반배정'!N$7:N$156,$N144)&amp;"")</f>
        <v/>
      </c>
      <c r="K144" s="10">
        <f>IF($N144="","",INDEX('반배정'!L$7:L$156,$N144))</f>
        <v/>
      </c>
      <c r="L144" s="10">
        <f>IF($N144="","",INDEX('반배정'!P$7:P$156,$N144))</f>
        <v/>
      </c>
      <c r="M144" s="10">
        <f>IFERROR(SMALL('반배정'!$Q$7:$Q$156,138),"")</f>
        <v/>
      </c>
      <c r="N144" s="10">
        <f>IF(M144="","",MATCH(M144,'반배정'!$Q$7:$Q$156,0))</f>
        <v/>
      </c>
    </row>
    <row r="145">
      <c r="A145" s="10">
        <f>IF($N145="","",INDEX('반배정'!J$7:J$156,$N145))</f>
        <v/>
      </c>
      <c r="B145" s="10">
        <f>IF($N145="","",INDEX('반배정'!B$7:B$156,$N145))</f>
        <v/>
      </c>
      <c r="C145" s="10">
        <f>IF($N145="","",INDEX('반배정'!C$7:C$156,$N145))</f>
        <v/>
      </c>
      <c r="D145" s="10">
        <f>IF($N145="","",INDEX('반배정'!D$7:D$156,$N145))</f>
        <v/>
      </c>
      <c r="E145" s="10">
        <f>IF($N145="","",INDEX('반배정'!E$7:E$156,$N145))</f>
        <v/>
      </c>
      <c r="F145" s="10">
        <f>IF($N145="","",INDEX('반배정'!G$7:G$156,$N145))</f>
        <v/>
      </c>
      <c r="G145" s="10">
        <f>IF($N145="","",INDEX('반배정'!H$7:H$156,$N145))</f>
        <v/>
      </c>
      <c r="H145" s="37">
        <f>IF($N145="","",INDEX('반배정'!I$7:I$156,$N145))</f>
        <v/>
      </c>
      <c r="I145" s="27">
        <f>IF($N145="","",INDEX('반배정'!O$7:O$156,$N145))</f>
        <v/>
      </c>
      <c r="J145" s="10">
        <f>IF($N145="","",INDEX('반배정'!N$7:N$156,$N145)&amp;"")</f>
        <v/>
      </c>
      <c r="K145" s="10">
        <f>IF($N145="","",INDEX('반배정'!L$7:L$156,$N145))</f>
        <v/>
      </c>
      <c r="L145" s="10">
        <f>IF($N145="","",INDEX('반배정'!P$7:P$156,$N145))</f>
        <v/>
      </c>
      <c r="M145" s="10">
        <f>IFERROR(SMALL('반배정'!$Q$7:$Q$156,139),"")</f>
        <v/>
      </c>
      <c r="N145" s="10">
        <f>IF(M145="","",MATCH(M145,'반배정'!$Q$7:$Q$156,0))</f>
        <v/>
      </c>
    </row>
    <row r="146">
      <c r="A146" s="10">
        <f>IF($N146="","",INDEX('반배정'!J$7:J$156,$N146))</f>
        <v/>
      </c>
      <c r="B146" s="10">
        <f>IF($N146="","",INDEX('반배정'!B$7:B$156,$N146))</f>
        <v/>
      </c>
      <c r="C146" s="10">
        <f>IF($N146="","",INDEX('반배정'!C$7:C$156,$N146))</f>
        <v/>
      </c>
      <c r="D146" s="10">
        <f>IF($N146="","",INDEX('반배정'!D$7:D$156,$N146))</f>
        <v/>
      </c>
      <c r="E146" s="10">
        <f>IF($N146="","",INDEX('반배정'!E$7:E$156,$N146))</f>
        <v/>
      </c>
      <c r="F146" s="10">
        <f>IF($N146="","",INDEX('반배정'!G$7:G$156,$N146))</f>
        <v/>
      </c>
      <c r="G146" s="10">
        <f>IF($N146="","",INDEX('반배정'!H$7:H$156,$N146))</f>
        <v/>
      </c>
      <c r="H146" s="37">
        <f>IF($N146="","",INDEX('반배정'!I$7:I$156,$N146))</f>
        <v/>
      </c>
      <c r="I146" s="27">
        <f>IF($N146="","",INDEX('반배정'!O$7:O$156,$N146))</f>
        <v/>
      </c>
      <c r="J146" s="10">
        <f>IF($N146="","",INDEX('반배정'!N$7:N$156,$N146)&amp;"")</f>
        <v/>
      </c>
      <c r="K146" s="10">
        <f>IF($N146="","",INDEX('반배정'!L$7:L$156,$N146))</f>
        <v/>
      </c>
      <c r="L146" s="10">
        <f>IF($N146="","",INDEX('반배정'!P$7:P$156,$N146))</f>
        <v/>
      </c>
      <c r="M146" s="10">
        <f>IFERROR(SMALL('반배정'!$Q$7:$Q$156,140),"")</f>
        <v/>
      </c>
      <c r="N146" s="10">
        <f>IF(M146="","",MATCH(M146,'반배정'!$Q$7:$Q$156,0))</f>
        <v/>
      </c>
    </row>
    <row r="147">
      <c r="A147" s="10">
        <f>IF($N147="","",INDEX('반배정'!J$7:J$156,$N147))</f>
        <v/>
      </c>
      <c r="B147" s="10">
        <f>IF($N147="","",INDEX('반배정'!B$7:B$156,$N147))</f>
        <v/>
      </c>
      <c r="C147" s="10">
        <f>IF($N147="","",INDEX('반배정'!C$7:C$156,$N147))</f>
        <v/>
      </c>
      <c r="D147" s="10">
        <f>IF($N147="","",INDEX('반배정'!D$7:D$156,$N147))</f>
        <v/>
      </c>
      <c r="E147" s="10">
        <f>IF($N147="","",INDEX('반배정'!E$7:E$156,$N147))</f>
        <v/>
      </c>
      <c r="F147" s="10">
        <f>IF($N147="","",INDEX('반배정'!G$7:G$156,$N147))</f>
        <v/>
      </c>
      <c r="G147" s="10">
        <f>IF($N147="","",INDEX('반배정'!H$7:H$156,$N147))</f>
        <v/>
      </c>
      <c r="H147" s="37">
        <f>IF($N147="","",INDEX('반배정'!I$7:I$156,$N147))</f>
        <v/>
      </c>
      <c r="I147" s="27">
        <f>IF($N147="","",INDEX('반배정'!O$7:O$156,$N147))</f>
        <v/>
      </c>
      <c r="J147" s="10">
        <f>IF($N147="","",INDEX('반배정'!N$7:N$156,$N147)&amp;"")</f>
        <v/>
      </c>
      <c r="K147" s="10">
        <f>IF($N147="","",INDEX('반배정'!L$7:L$156,$N147))</f>
        <v/>
      </c>
      <c r="L147" s="10">
        <f>IF($N147="","",INDEX('반배정'!P$7:P$156,$N147))</f>
        <v/>
      </c>
      <c r="M147" s="10">
        <f>IFERROR(SMALL('반배정'!$Q$7:$Q$156,141),"")</f>
        <v/>
      </c>
      <c r="N147" s="10">
        <f>IF(M147="","",MATCH(M147,'반배정'!$Q$7:$Q$156,0))</f>
        <v/>
      </c>
    </row>
    <row r="148">
      <c r="A148" s="10">
        <f>IF($N148="","",INDEX('반배정'!J$7:J$156,$N148))</f>
        <v/>
      </c>
      <c r="B148" s="10">
        <f>IF($N148="","",INDEX('반배정'!B$7:B$156,$N148))</f>
        <v/>
      </c>
      <c r="C148" s="10">
        <f>IF($N148="","",INDEX('반배정'!C$7:C$156,$N148))</f>
        <v/>
      </c>
      <c r="D148" s="10">
        <f>IF($N148="","",INDEX('반배정'!D$7:D$156,$N148))</f>
        <v/>
      </c>
      <c r="E148" s="10">
        <f>IF($N148="","",INDEX('반배정'!E$7:E$156,$N148))</f>
        <v/>
      </c>
      <c r="F148" s="10">
        <f>IF($N148="","",INDEX('반배정'!G$7:G$156,$N148))</f>
        <v/>
      </c>
      <c r="G148" s="10">
        <f>IF($N148="","",INDEX('반배정'!H$7:H$156,$N148))</f>
        <v/>
      </c>
      <c r="H148" s="37">
        <f>IF($N148="","",INDEX('반배정'!I$7:I$156,$N148))</f>
        <v/>
      </c>
      <c r="I148" s="27">
        <f>IF($N148="","",INDEX('반배정'!O$7:O$156,$N148))</f>
        <v/>
      </c>
      <c r="J148" s="10">
        <f>IF($N148="","",INDEX('반배정'!N$7:N$156,$N148)&amp;"")</f>
        <v/>
      </c>
      <c r="K148" s="10">
        <f>IF($N148="","",INDEX('반배정'!L$7:L$156,$N148))</f>
        <v/>
      </c>
      <c r="L148" s="10">
        <f>IF($N148="","",INDEX('반배정'!P$7:P$156,$N148))</f>
        <v/>
      </c>
      <c r="M148" s="10">
        <f>IFERROR(SMALL('반배정'!$Q$7:$Q$156,142),"")</f>
        <v/>
      </c>
      <c r="N148" s="10">
        <f>IF(M148="","",MATCH(M148,'반배정'!$Q$7:$Q$156,0))</f>
        <v/>
      </c>
    </row>
    <row r="149">
      <c r="A149" s="10">
        <f>IF($N149="","",INDEX('반배정'!J$7:J$156,$N149))</f>
        <v/>
      </c>
      <c r="B149" s="10">
        <f>IF($N149="","",INDEX('반배정'!B$7:B$156,$N149))</f>
        <v/>
      </c>
      <c r="C149" s="10">
        <f>IF($N149="","",INDEX('반배정'!C$7:C$156,$N149))</f>
        <v/>
      </c>
      <c r="D149" s="10">
        <f>IF($N149="","",INDEX('반배정'!D$7:D$156,$N149))</f>
        <v/>
      </c>
      <c r="E149" s="10">
        <f>IF($N149="","",INDEX('반배정'!E$7:E$156,$N149))</f>
        <v/>
      </c>
      <c r="F149" s="10">
        <f>IF($N149="","",INDEX('반배정'!G$7:G$156,$N149))</f>
        <v/>
      </c>
      <c r="G149" s="10">
        <f>IF($N149="","",INDEX('반배정'!H$7:H$156,$N149))</f>
        <v/>
      </c>
      <c r="H149" s="37">
        <f>IF($N149="","",INDEX('반배정'!I$7:I$156,$N149))</f>
        <v/>
      </c>
      <c r="I149" s="27">
        <f>IF($N149="","",INDEX('반배정'!O$7:O$156,$N149))</f>
        <v/>
      </c>
      <c r="J149" s="10">
        <f>IF($N149="","",INDEX('반배정'!N$7:N$156,$N149)&amp;"")</f>
        <v/>
      </c>
      <c r="K149" s="10">
        <f>IF($N149="","",INDEX('반배정'!L$7:L$156,$N149))</f>
        <v/>
      </c>
      <c r="L149" s="10">
        <f>IF($N149="","",INDEX('반배정'!P$7:P$156,$N149))</f>
        <v/>
      </c>
      <c r="M149" s="10">
        <f>IFERROR(SMALL('반배정'!$Q$7:$Q$156,143),"")</f>
        <v/>
      </c>
      <c r="N149" s="10">
        <f>IF(M149="","",MATCH(M149,'반배정'!$Q$7:$Q$156,0))</f>
        <v/>
      </c>
    </row>
    <row r="150">
      <c r="A150" s="10">
        <f>IF($N150="","",INDEX('반배정'!J$7:J$156,$N150))</f>
        <v/>
      </c>
      <c r="B150" s="10">
        <f>IF($N150="","",INDEX('반배정'!B$7:B$156,$N150))</f>
        <v/>
      </c>
      <c r="C150" s="10">
        <f>IF($N150="","",INDEX('반배정'!C$7:C$156,$N150))</f>
        <v/>
      </c>
      <c r="D150" s="10">
        <f>IF($N150="","",INDEX('반배정'!D$7:D$156,$N150))</f>
        <v/>
      </c>
      <c r="E150" s="10">
        <f>IF($N150="","",INDEX('반배정'!E$7:E$156,$N150))</f>
        <v/>
      </c>
      <c r="F150" s="10">
        <f>IF($N150="","",INDEX('반배정'!G$7:G$156,$N150))</f>
        <v/>
      </c>
      <c r="G150" s="10">
        <f>IF($N150="","",INDEX('반배정'!H$7:H$156,$N150))</f>
        <v/>
      </c>
      <c r="H150" s="37">
        <f>IF($N150="","",INDEX('반배정'!I$7:I$156,$N150))</f>
        <v/>
      </c>
      <c r="I150" s="27">
        <f>IF($N150="","",INDEX('반배정'!O$7:O$156,$N150))</f>
        <v/>
      </c>
      <c r="J150" s="10">
        <f>IF($N150="","",INDEX('반배정'!N$7:N$156,$N150)&amp;"")</f>
        <v/>
      </c>
      <c r="K150" s="10">
        <f>IF($N150="","",INDEX('반배정'!L$7:L$156,$N150))</f>
        <v/>
      </c>
      <c r="L150" s="10">
        <f>IF($N150="","",INDEX('반배정'!P$7:P$156,$N150))</f>
        <v/>
      </c>
      <c r="M150" s="10">
        <f>IFERROR(SMALL('반배정'!$Q$7:$Q$156,144),"")</f>
        <v/>
      </c>
      <c r="N150" s="10">
        <f>IF(M150="","",MATCH(M150,'반배정'!$Q$7:$Q$156,0))</f>
        <v/>
      </c>
    </row>
    <row r="151">
      <c r="A151" s="10">
        <f>IF($N151="","",INDEX('반배정'!J$7:J$156,$N151))</f>
        <v/>
      </c>
      <c r="B151" s="10">
        <f>IF($N151="","",INDEX('반배정'!B$7:B$156,$N151))</f>
        <v/>
      </c>
      <c r="C151" s="10">
        <f>IF($N151="","",INDEX('반배정'!C$7:C$156,$N151))</f>
        <v/>
      </c>
      <c r="D151" s="10">
        <f>IF($N151="","",INDEX('반배정'!D$7:D$156,$N151))</f>
        <v/>
      </c>
      <c r="E151" s="10">
        <f>IF($N151="","",INDEX('반배정'!E$7:E$156,$N151))</f>
        <v/>
      </c>
      <c r="F151" s="10">
        <f>IF($N151="","",INDEX('반배정'!G$7:G$156,$N151))</f>
        <v/>
      </c>
      <c r="G151" s="10">
        <f>IF($N151="","",INDEX('반배정'!H$7:H$156,$N151))</f>
        <v/>
      </c>
      <c r="H151" s="37">
        <f>IF($N151="","",INDEX('반배정'!I$7:I$156,$N151))</f>
        <v/>
      </c>
      <c r="I151" s="27">
        <f>IF($N151="","",INDEX('반배정'!O$7:O$156,$N151))</f>
        <v/>
      </c>
      <c r="J151" s="10">
        <f>IF($N151="","",INDEX('반배정'!N$7:N$156,$N151)&amp;"")</f>
        <v/>
      </c>
      <c r="K151" s="10">
        <f>IF($N151="","",INDEX('반배정'!L$7:L$156,$N151))</f>
        <v/>
      </c>
      <c r="L151" s="10">
        <f>IF($N151="","",INDEX('반배정'!P$7:P$156,$N151))</f>
        <v/>
      </c>
      <c r="M151" s="10">
        <f>IFERROR(SMALL('반배정'!$Q$7:$Q$156,145),"")</f>
        <v/>
      </c>
      <c r="N151" s="10">
        <f>IF(M151="","",MATCH(M151,'반배정'!$Q$7:$Q$156,0))</f>
        <v/>
      </c>
    </row>
    <row r="152">
      <c r="A152" s="10">
        <f>IF($N152="","",INDEX('반배정'!J$7:J$156,$N152))</f>
        <v/>
      </c>
      <c r="B152" s="10">
        <f>IF($N152="","",INDEX('반배정'!B$7:B$156,$N152))</f>
        <v/>
      </c>
      <c r="C152" s="10">
        <f>IF($N152="","",INDEX('반배정'!C$7:C$156,$N152))</f>
        <v/>
      </c>
      <c r="D152" s="10">
        <f>IF($N152="","",INDEX('반배정'!D$7:D$156,$N152))</f>
        <v/>
      </c>
      <c r="E152" s="10">
        <f>IF($N152="","",INDEX('반배정'!E$7:E$156,$N152))</f>
        <v/>
      </c>
      <c r="F152" s="10">
        <f>IF($N152="","",INDEX('반배정'!G$7:G$156,$N152))</f>
        <v/>
      </c>
      <c r="G152" s="10">
        <f>IF($N152="","",INDEX('반배정'!H$7:H$156,$N152))</f>
        <v/>
      </c>
      <c r="H152" s="37">
        <f>IF($N152="","",INDEX('반배정'!I$7:I$156,$N152))</f>
        <v/>
      </c>
      <c r="I152" s="27">
        <f>IF($N152="","",INDEX('반배정'!O$7:O$156,$N152))</f>
        <v/>
      </c>
      <c r="J152" s="10">
        <f>IF($N152="","",INDEX('반배정'!N$7:N$156,$N152)&amp;"")</f>
        <v/>
      </c>
      <c r="K152" s="10">
        <f>IF($N152="","",INDEX('반배정'!L$7:L$156,$N152))</f>
        <v/>
      </c>
      <c r="L152" s="10">
        <f>IF($N152="","",INDEX('반배정'!P$7:P$156,$N152))</f>
        <v/>
      </c>
      <c r="M152" s="10">
        <f>IFERROR(SMALL('반배정'!$Q$7:$Q$156,146),"")</f>
        <v/>
      </c>
      <c r="N152" s="10">
        <f>IF(M152="","",MATCH(M152,'반배정'!$Q$7:$Q$156,0))</f>
        <v/>
      </c>
    </row>
    <row r="153">
      <c r="A153" s="10">
        <f>IF($N153="","",INDEX('반배정'!J$7:J$156,$N153))</f>
        <v/>
      </c>
      <c r="B153" s="10">
        <f>IF($N153="","",INDEX('반배정'!B$7:B$156,$N153))</f>
        <v/>
      </c>
      <c r="C153" s="10">
        <f>IF($N153="","",INDEX('반배정'!C$7:C$156,$N153))</f>
        <v/>
      </c>
      <c r="D153" s="10">
        <f>IF($N153="","",INDEX('반배정'!D$7:D$156,$N153))</f>
        <v/>
      </c>
      <c r="E153" s="10">
        <f>IF($N153="","",INDEX('반배정'!E$7:E$156,$N153))</f>
        <v/>
      </c>
      <c r="F153" s="10">
        <f>IF($N153="","",INDEX('반배정'!G$7:G$156,$N153))</f>
        <v/>
      </c>
      <c r="G153" s="10">
        <f>IF($N153="","",INDEX('반배정'!H$7:H$156,$N153))</f>
        <v/>
      </c>
      <c r="H153" s="37">
        <f>IF($N153="","",INDEX('반배정'!I$7:I$156,$N153))</f>
        <v/>
      </c>
      <c r="I153" s="27">
        <f>IF($N153="","",INDEX('반배정'!O$7:O$156,$N153))</f>
        <v/>
      </c>
      <c r="J153" s="10">
        <f>IF($N153="","",INDEX('반배정'!N$7:N$156,$N153)&amp;"")</f>
        <v/>
      </c>
      <c r="K153" s="10">
        <f>IF($N153="","",INDEX('반배정'!L$7:L$156,$N153))</f>
        <v/>
      </c>
      <c r="L153" s="10">
        <f>IF($N153="","",INDEX('반배정'!P$7:P$156,$N153))</f>
        <v/>
      </c>
      <c r="M153" s="10">
        <f>IFERROR(SMALL('반배정'!$Q$7:$Q$156,147),"")</f>
        <v/>
      </c>
      <c r="N153" s="10">
        <f>IF(M153="","",MATCH(M153,'반배정'!$Q$7:$Q$156,0))</f>
        <v/>
      </c>
    </row>
    <row r="154">
      <c r="A154" s="10">
        <f>IF($N154="","",INDEX('반배정'!J$7:J$156,$N154))</f>
        <v/>
      </c>
      <c r="B154" s="10">
        <f>IF($N154="","",INDEX('반배정'!B$7:B$156,$N154))</f>
        <v/>
      </c>
      <c r="C154" s="10">
        <f>IF($N154="","",INDEX('반배정'!C$7:C$156,$N154))</f>
        <v/>
      </c>
      <c r="D154" s="10">
        <f>IF($N154="","",INDEX('반배정'!D$7:D$156,$N154))</f>
        <v/>
      </c>
      <c r="E154" s="10">
        <f>IF($N154="","",INDEX('반배정'!E$7:E$156,$N154))</f>
        <v/>
      </c>
      <c r="F154" s="10">
        <f>IF($N154="","",INDEX('반배정'!G$7:G$156,$N154))</f>
        <v/>
      </c>
      <c r="G154" s="10">
        <f>IF($N154="","",INDEX('반배정'!H$7:H$156,$N154))</f>
        <v/>
      </c>
      <c r="H154" s="37">
        <f>IF($N154="","",INDEX('반배정'!I$7:I$156,$N154))</f>
        <v/>
      </c>
      <c r="I154" s="27">
        <f>IF($N154="","",INDEX('반배정'!O$7:O$156,$N154))</f>
        <v/>
      </c>
      <c r="J154" s="10">
        <f>IF($N154="","",INDEX('반배정'!N$7:N$156,$N154)&amp;"")</f>
        <v/>
      </c>
      <c r="K154" s="10">
        <f>IF($N154="","",INDEX('반배정'!L$7:L$156,$N154))</f>
        <v/>
      </c>
      <c r="L154" s="10">
        <f>IF($N154="","",INDEX('반배정'!P$7:P$156,$N154))</f>
        <v/>
      </c>
      <c r="M154" s="10">
        <f>IFERROR(SMALL('반배정'!$Q$7:$Q$156,148),"")</f>
        <v/>
      </c>
      <c r="N154" s="10">
        <f>IF(M154="","",MATCH(M154,'반배정'!$Q$7:$Q$156,0))</f>
        <v/>
      </c>
    </row>
    <row r="155">
      <c r="A155" s="10">
        <f>IF($N155="","",INDEX('반배정'!J$7:J$156,$N155))</f>
        <v/>
      </c>
      <c r="B155" s="10">
        <f>IF($N155="","",INDEX('반배정'!B$7:B$156,$N155))</f>
        <v/>
      </c>
      <c r="C155" s="10">
        <f>IF($N155="","",INDEX('반배정'!C$7:C$156,$N155))</f>
        <v/>
      </c>
      <c r="D155" s="10">
        <f>IF($N155="","",INDEX('반배정'!D$7:D$156,$N155))</f>
        <v/>
      </c>
      <c r="E155" s="10">
        <f>IF($N155="","",INDEX('반배정'!E$7:E$156,$N155))</f>
        <v/>
      </c>
      <c r="F155" s="10">
        <f>IF($N155="","",INDEX('반배정'!G$7:G$156,$N155))</f>
        <v/>
      </c>
      <c r="G155" s="10">
        <f>IF($N155="","",INDEX('반배정'!H$7:H$156,$N155))</f>
        <v/>
      </c>
      <c r="H155" s="37">
        <f>IF($N155="","",INDEX('반배정'!I$7:I$156,$N155))</f>
        <v/>
      </c>
      <c r="I155" s="27">
        <f>IF($N155="","",INDEX('반배정'!O$7:O$156,$N155))</f>
        <v/>
      </c>
      <c r="J155" s="10">
        <f>IF($N155="","",INDEX('반배정'!N$7:N$156,$N155)&amp;"")</f>
        <v/>
      </c>
      <c r="K155" s="10">
        <f>IF($N155="","",INDEX('반배정'!L$7:L$156,$N155))</f>
        <v/>
      </c>
      <c r="L155" s="10">
        <f>IF($N155="","",INDEX('반배정'!P$7:P$156,$N155))</f>
        <v/>
      </c>
      <c r="M155" s="10">
        <f>IFERROR(SMALL('반배정'!$Q$7:$Q$156,149),"")</f>
        <v/>
      </c>
      <c r="N155" s="10">
        <f>IF(M155="","",MATCH(M155,'반배정'!$Q$7:$Q$156,0))</f>
        <v/>
      </c>
    </row>
    <row r="156">
      <c r="A156" s="10">
        <f>IF($N156="","",INDEX('반배정'!J$7:J$156,$N156))</f>
        <v/>
      </c>
      <c r="B156" s="10">
        <f>IF($N156="","",INDEX('반배정'!B$7:B$156,$N156))</f>
        <v/>
      </c>
      <c r="C156" s="10">
        <f>IF($N156="","",INDEX('반배정'!C$7:C$156,$N156))</f>
        <v/>
      </c>
      <c r="D156" s="10">
        <f>IF($N156="","",INDEX('반배정'!D$7:D$156,$N156))</f>
        <v/>
      </c>
      <c r="E156" s="10">
        <f>IF($N156="","",INDEX('반배정'!E$7:E$156,$N156))</f>
        <v/>
      </c>
      <c r="F156" s="10">
        <f>IF($N156="","",INDEX('반배정'!G$7:G$156,$N156))</f>
        <v/>
      </c>
      <c r="G156" s="10">
        <f>IF($N156="","",INDEX('반배정'!H$7:H$156,$N156))</f>
        <v/>
      </c>
      <c r="H156" s="37">
        <f>IF($N156="","",INDEX('반배정'!I$7:I$156,$N156))</f>
        <v/>
      </c>
      <c r="I156" s="27">
        <f>IF($N156="","",INDEX('반배정'!O$7:O$156,$N156))</f>
        <v/>
      </c>
      <c r="J156" s="10">
        <f>IF($N156="","",INDEX('반배정'!N$7:N$156,$N156)&amp;"")</f>
        <v/>
      </c>
      <c r="K156" s="10">
        <f>IF($N156="","",INDEX('반배정'!L$7:L$156,$N156))</f>
        <v/>
      </c>
      <c r="L156" s="10">
        <f>IF($N156="","",INDEX('반배정'!P$7:P$156,$N156))</f>
        <v/>
      </c>
      <c r="M156" s="10">
        <f>IFERROR(SMALL('반배정'!$Q$7:$Q$156,150),"")</f>
        <v/>
      </c>
      <c r="N156" s="10">
        <f>IF(M156="","",MATCH(M156,'반배정'!$Q$7:$Q$156,0))</f>
        <v/>
      </c>
    </row>
  </sheetData>
  <mergeCells count="2">
    <mergeCell ref="A2:L2"/>
    <mergeCell ref="A1:L1"/>
  </mergeCells>
  <conditionalFormatting sqref="A7:L156">
    <cfRule type="expression" priority="1" dxfId="3">
      <formula>AND($I7&lt;&gt;"",$I7='설정'!$B$6)</formula>
    </cfRule>
    <cfRule type="expression" priority="2" dxfId="4">
      <formula>AND($I7&lt;&gt;"",$I7='설정'!$B$7)</formula>
    </cfRule>
    <cfRule type="expression" priority="3" dxfId="5">
      <formula>AND($I7&lt;&gt;"",$I7='설정'!$B$8)</formula>
    </cfRule>
    <cfRule type="expression" priority="4" dxfId="6">
      <formula>AND($I7&lt;&gt;"",$I7='설정'!$B$9)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" customWidth="1" min="4" max="4"/>
    <col width="5" customWidth="1" min="5" max="5"/>
    <col width="5" customWidth="1" min="6" max="6"/>
    <col width="5" customWidth="1" min="7" max="7"/>
    <col width="6" customWidth="1" min="8" max="8"/>
    <col width="7" customWidth="1" min="9" max="9"/>
    <col width="8" customWidth="1" min="10" max="10"/>
    <col width="8" customWidth="1" min="11" max="11"/>
    <col width="8" customWidth="1" min="12" max="12"/>
    <col width="7" customWidth="1" min="13" max="13"/>
    <col width="14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 ht="26" customHeight="1">
      <c r="A1" s="1" t="inlineStr">
        <is>
          <t>문항 분석</t>
        </is>
      </c>
    </row>
    <row r="2" ht="30" customHeight="1">
      <c r="A2" s="2" t="inlineStr">
        <is>
          <t>변별도 = TF1반 정답률 − TF3반 정답률(자동배정 기준, 0.3 이상이면 상·하위를 잘 가르는 문항). 객관식은 선지별 선택 인원으로 매력적 오답을 확인하세요.</t>
        </is>
      </c>
    </row>
    <row r="4">
      <c r="A4" s="38" t="inlineStr">
        <is>
          <t>공통수학1</t>
        </is>
      </c>
    </row>
    <row r="5" ht="30" customHeight="1">
      <c r="A5" s="4" t="inlineStr">
        <is>
          <t>문항</t>
        </is>
      </c>
      <c r="B5" s="4" t="inlineStr">
        <is>
          <t>유형</t>
        </is>
      </c>
      <c r="C5" s="4" t="inlineStr">
        <is>
          <t>단원</t>
        </is>
      </c>
      <c r="D5" s="4" t="inlineStr">
        <is>
          <t>난이도</t>
        </is>
      </c>
      <c r="E5" s="4" t="inlineStr">
        <is>
          <t>배점</t>
        </is>
      </c>
      <c r="F5" s="4" t="inlineStr">
        <is>
          <t>정답</t>
        </is>
      </c>
      <c r="G5" s="4" t="inlineStr">
        <is>
          <t>응시</t>
        </is>
      </c>
      <c r="H5" s="4" t="inlineStr">
        <is>
          <t>정답자</t>
        </is>
      </c>
      <c r="I5" s="4" t="inlineStr">
        <is>
          <t>정답률</t>
        </is>
      </c>
      <c r="J5" s="4">
        <f>'설정'!$B$6&amp;" 정답률"</f>
        <v/>
      </c>
      <c r="K5" s="4">
        <f>'설정'!$B$7&amp;" 정답률"</f>
        <v/>
      </c>
      <c r="L5" s="4">
        <f>'설정'!$B$8&amp;" 정답률"</f>
        <v/>
      </c>
      <c r="M5" s="4" t="inlineStr">
        <is>
          <t>변별도</t>
        </is>
      </c>
      <c r="N5" s="4" t="inlineStr">
        <is>
          <t>진단</t>
        </is>
      </c>
      <c r="O5" s="4" t="inlineStr">
        <is>
          <t>①</t>
        </is>
      </c>
      <c r="P5" s="4" t="inlineStr">
        <is>
          <t>②</t>
        </is>
      </c>
      <c r="Q5" s="4" t="inlineStr">
        <is>
          <t>③</t>
        </is>
      </c>
      <c r="R5" s="4" t="inlineStr">
        <is>
          <t>④</t>
        </is>
      </c>
      <c r="S5" s="4" t="inlineStr">
        <is>
          <t>⑤</t>
        </is>
      </c>
    </row>
    <row r="6">
      <c r="A6" s="8" t="n">
        <v>1</v>
      </c>
      <c r="B6" s="17" t="inlineStr">
        <is>
          <t>객관식</t>
        </is>
      </c>
      <c r="C6" s="39">
        <f>'공수1'!D4</f>
        <v/>
      </c>
      <c r="D6" s="10">
        <f>'공수1'!D5</f>
        <v/>
      </c>
      <c r="E6" s="10">
        <f>'공수1'!D3</f>
        <v/>
      </c>
      <c r="F6" s="40">
        <f>IF('공수1'!$D$2="","",'공수1'!$D$2)</f>
        <v/>
      </c>
      <c r="G6" s="10">
        <f>COUNT('공수1'!$Y$7:$Y$156)</f>
        <v/>
      </c>
      <c r="H6" s="10">
        <f>IF(F6="","",SUMPRODUCT(('공수1'!$D$7:$D$156='공수1'!$D$2)*('공수1'!$D$7:$D$156&lt;&gt;"")))</f>
        <v/>
      </c>
      <c r="I6" s="41">
        <f>IF(OR(F6="",G6=0),"",H6/G6)</f>
        <v/>
      </c>
      <c r="J6" s="42">
        <f>IF(F6="","",IFERROR(SUMPRODUCT(('공수1'!$D$7:$D$156='공수1'!$D$2)*('공수1'!$D$7:$D$156&lt;&gt;"")*('반배정'!$K$7:$K$156='설정'!$B$6))/COUNTIFS('반배정'!$K$7:$K$156,'설정'!$B$6,'공수1'!$Y$7:$Y$156,"&gt;=0"),""))</f>
        <v/>
      </c>
      <c r="K6" s="42">
        <f>IF(F6="","",IFERROR(SUMPRODUCT(('공수1'!$D$7:$D$156='공수1'!$D$2)*('공수1'!$D$7:$D$156&lt;&gt;"")*('반배정'!$K$7:$K$156='설정'!$B$7))/COUNTIFS('반배정'!$K$7:$K$156,'설정'!$B$7,'공수1'!$Y$7:$Y$156,"&gt;=0"),""))</f>
        <v/>
      </c>
      <c r="L6" s="42">
        <f>IF(F6="","",IFERROR(SUMPRODUCT(('공수1'!$D$7:$D$156='공수1'!$D$2)*('공수1'!$D$7:$D$156&lt;&gt;"")*('반배정'!$K$7:$K$156='설정'!$B$8))/COUNTIFS('반배정'!$K$7:$K$156,'설정'!$B$8,'공수1'!$Y$7:$Y$156,"&gt;=0"),""))</f>
        <v/>
      </c>
      <c r="M6" s="43">
        <f>IF(OR(J6="",L6=""),"",J6-L6)</f>
        <v/>
      </c>
      <c r="N6" s="39">
        <f>IF(I6="","",IF(AND(M6&lt;&gt;"",M6&lt;0),"역변별·문항검토",IF(I6&gt;=0.9,"매우 쉬움",IF(I6&lt;=0.15,"매우 어려움",IF(AND(M6&lt;&gt;"",M6&lt;0.2),"변별력 낮음","양호")))))</f>
        <v/>
      </c>
      <c r="O6" s="39">
        <f>IF(G6=0,"",COUNTIF('공수1'!$D$7:$D$156,1))</f>
        <v/>
      </c>
      <c r="P6" s="39">
        <f>IF(G6=0,"",COUNTIF('공수1'!$D$7:$D$156,2))</f>
        <v/>
      </c>
      <c r="Q6" s="39">
        <f>IF(G6=0,"",COUNTIF('공수1'!$D$7:$D$156,3))</f>
        <v/>
      </c>
      <c r="R6" s="39">
        <f>IF(G6=0,"",COUNTIF('공수1'!$D$7:$D$156,4))</f>
        <v/>
      </c>
      <c r="S6" s="39">
        <f>IF(G6=0,"",COUNTIF('공수1'!$D$7:$D$156,5))</f>
        <v/>
      </c>
    </row>
    <row r="7">
      <c r="A7" s="8" t="n">
        <v>2</v>
      </c>
      <c r="B7" s="17" t="inlineStr">
        <is>
          <t>객관식</t>
        </is>
      </c>
      <c r="C7" s="39">
        <f>'공수1'!E4</f>
        <v/>
      </c>
      <c r="D7" s="10">
        <f>'공수1'!E5</f>
        <v/>
      </c>
      <c r="E7" s="10">
        <f>'공수1'!E3</f>
        <v/>
      </c>
      <c r="F7" s="40">
        <f>IF('공수1'!$E$2="","",'공수1'!$E$2)</f>
        <v/>
      </c>
      <c r="G7" s="10">
        <f>COUNT('공수1'!$Y$7:$Y$156)</f>
        <v/>
      </c>
      <c r="H7" s="10">
        <f>IF(F7="","",SUMPRODUCT(('공수1'!$E$7:$E$156='공수1'!$E$2)*('공수1'!$E$7:$E$156&lt;&gt;"")))</f>
        <v/>
      </c>
      <c r="I7" s="41">
        <f>IF(OR(F7="",G7=0),"",H7/G7)</f>
        <v/>
      </c>
      <c r="J7" s="42">
        <f>IF(F7="","",IFERROR(SUMPRODUCT(('공수1'!$E$7:$E$156='공수1'!$E$2)*('공수1'!$E$7:$E$156&lt;&gt;"")*('반배정'!$K$7:$K$156='설정'!$B$6))/COUNTIFS('반배정'!$K$7:$K$156,'설정'!$B$6,'공수1'!$Y$7:$Y$156,"&gt;=0"),""))</f>
        <v/>
      </c>
      <c r="K7" s="42">
        <f>IF(F7="","",IFERROR(SUMPRODUCT(('공수1'!$E$7:$E$156='공수1'!$E$2)*('공수1'!$E$7:$E$156&lt;&gt;"")*('반배정'!$K$7:$K$156='설정'!$B$7))/COUNTIFS('반배정'!$K$7:$K$156,'설정'!$B$7,'공수1'!$Y$7:$Y$156,"&gt;=0"),""))</f>
        <v/>
      </c>
      <c r="L7" s="42">
        <f>IF(F7="","",IFERROR(SUMPRODUCT(('공수1'!$E$7:$E$156='공수1'!$E$2)*('공수1'!$E$7:$E$156&lt;&gt;"")*('반배정'!$K$7:$K$156='설정'!$B$8))/COUNTIFS('반배정'!$K$7:$K$156,'설정'!$B$8,'공수1'!$Y$7:$Y$156,"&gt;=0"),""))</f>
        <v/>
      </c>
      <c r="M7" s="43">
        <f>IF(OR(J7="",L7=""),"",J7-L7)</f>
        <v/>
      </c>
      <c r="N7" s="39">
        <f>IF(I7="","",IF(AND(M7&lt;&gt;"",M7&lt;0),"역변별·문항검토",IF(I7&gt;=0.9,"매우 쉬움",IF(I7&lt;=0.15,"매우 어려움",IF(AND(M7&lt;&gt;"",M7&lt;0.2),"변별력 낮음","양호")))))</f>
        <v/>
      </c>
      <c r="O7" s="39">
        <f>IF(G7=0,"",COUNTIF('공수1'!$E$7:$E$156,1))</f>
        <v/>
      </c>
      <c r="P7" s="39">
        <f>IF(G7=0,"",COUNTIF('공수1'!$E$7:$E$156,2))</f>
        <v/>
      </c>
      <c r="Q7" s="39">
        <f>IF(G7=0,"",COUNTIF('공수1'!$E$7:$E$156,3))</f>
        <v/>
      </c>
      <c r="R7" s="39">
        <f>IF(G7=0,"",COUNTIF('공수1'!$E$7:$E$156,4))</f>
        <v/>
      </c>
      <c r="S7" s="39">
        <f>IF(G7=0,"",COUNTIF('공수1'!$E$7:$E$156,5))</f>
        <v/>
      </c>
    </row>
    <row r="8">
      <c r="A8" s="8" t="n">
        <v>3</v>
      </c>
      <c r="B8" s="17" t="inlineStr">
        <is>
          <t>객관식</t>
        </is>
      </c>
      <c r="C8" s="39">
        <f>'공수1'!F4</f>
        <v/>
      </c>
      <c r="D8" s="10">
        <f>'공수1'!F5</f>
        <v/>
      </c>
      <c r="E8" s="10">
        <f>'공수1'!F3</f>
        <v/>
      </c>
      <c r="F8" s="40">
        <f>IF('공수1'!$F$2="","",'공수1'!$F$2)</f>
        <v/>
      </c>
      <c r="G8" s="10">
        <f>COUNT('공수1'!$Y$7:$Y$156)</f>
        <v/>
      </c>
      <c r="H8" s="10">
        <f>IF(F8="","",SUMPRODUCT(('공수1'!$F$7:$F$156='공수1'!$F$2)*('공수1'!$F$7:$F$156&lt;&gt;"")))</f>
        <v/>
      </c>
      <c r="I8" s="41">
        <f>IF(OR(F8="",G8=0),"",H8/G8)</f>
        <v/>
      </c>
      <c r="J8" s="42">
        <f>IF(F8="","",IFERROR(SUMPRODUCT(('공수1'!$F$7:$F$156='공수1'!$F$2)*('공수1'!$F$7:$F$156&lt;&gt;"")*('반배정'!$K$7:$K$156='설정'!$B$6))/COUNTIFS('반배정'!$K$7:$K$156,'설정'!$B$6,'공수1'!$Y$7:$Y$156,"&gt;=0"),""))</f>
        <v/>
      </c>
      <c r="K8" s="42">
        <f>IF(F8="","",IFERROR(SUMPRODUCT(('공수1'!$F$7:$F$156='공수1'!$F$2)*('공수1'!$F$7:$F$156&lt;&gt;"")*('반배정'!$K$7:$K$156='설정'!$B$7))/COUNTIFS('반배정'!$K$7:$K$156,'설정'!$B$7,'공수1'!$Y$7:$Y$156,"&gt;=0"),""))</f>
        <v/>
      </c>
      <c r="L8" s="42">
        <f>IF(F8="","",IFERROR(SUMPRODUCT(('공수1'!$F$7:$F$156='공수1'!$F$2)*('공수1'!$F$7:$F$156&lt;&gt;"")*('반배정'!$K$7:$K$156='설정'!$B$8))/COUNTIFS('반배정'!$K$7:$K$156,'설정'!$B$8,'공수1'!$Y$7:$Y$156,"&gt;=0"),""))</f>
        <v/>
      </c>
      <c r="M8" s="43">
        <f>IF(OR(J8="",L8=""),"",J8-L8)</f>
        <v/>
      </c>
      <c r="N8" s="39">
        <f>IF(I8="","",IF(AND(M8&lt;&gt;"",M8&lt;0),"역변별·문항검토",IF(I8&gt;=0.9,"매우 쉬움",IF(I8&lt;=0.15,"매우 어려움",IF(AND(M8&lt;&gt;"",M8&lt;0.2),"변별력 낮음","양호")))))</f>
        <v/>
      </c>
      <c r="O8" s="39">
        <f>IF(G8=0,"",COUNTIF('공수1'!$F$7:$F$156,1))</f>
        <v/>
      </c>
      <c r="P8" s="39">
        <f>IF(G8=0,"",COUNTIF('공수1'!$F$7:$F$156,2))</f>
        <v/>
      </c>
      <c r="Q8" s="39">
        <f>IF(G8=0,"",COUNTIF('공수1'!$F$7:$F$156,3))</f>
        <v/>
      </c>
      <c r="R8" s="39">
        <f>IF(G8=0,"",COUNTIF('공수1'!$F$7:$F$156,4))</f>
        <v/>
      </c>
      <c r="S8" s="39">
        <f>IF(G8=0,"",COUNTIF('공수1'!$F$7:$F$156,5))</f>
        <v/>
      </c>
    </row>
    <row r="9">
      <c r="A9" s="8" t="n">
        <v>4</v>
      </c>
      <c r="B9" s="17" t="inlineStr">
        <is>
          <t>객관식</t>
        </is>
      </c>
      <c r="C9" s="39">
        <f>'공수1'!G4</f>
        <v/>
      </c>
      <c r="D9" s="10">
        <f>'공수1'!G5</f>
        <v/>
      </c>
      <c r="E9" s="10">
        <f>'공수1'!G3</f>
        <v/>
      </c>
      <c r="F9" s="40">
        <f>IF('공수1'!$G$2="","",'공수1'!$G$2)</f>
        <v/>
      </c>
      <c r="G9" s="10">
        <f>COUNT('공수1'!$Y$7:$Y$156)</f>
        <v/>
      </c>
      <c r="H9" s="10">
        <f>IF(F9="","",SUMPRODUCT(('공수1'!$G$7:$G$156='공수1'!$G$2)*('공수1'!$G$7:$G$156&lt;&gt;"")))</f>
        <v/>
      </c>
      <c r="I9" s="41">
        <f>IF(OR(F9="",G9=0),"",H9/G9)</f>
        <v/>
      </c>
      <c r="J9" s="42">
        <f>IF(F9="","",IFERROR(SUMPRODUCT(('공수1'!$G$7:$G$156='공수1'!$G$2)*('공수1'!$G$7:$G$156&lt;&gt;"")*('반배정'!$K$7:$K$156='설정'!$B$6))/COUNTIFS('반배정'!$K$7:$K$156,'설정'!$B$6,'공수1'!$Y$7:$Y$156,"&gt;=0"),""))</f>
        <v/>
      </c>
      <c r="K9" s="42">
        <f>IF(F9="","",IFERROR(SUMPRODUCT(('공수1'!$G$7:$G$156='공수1'!$G$2)*('공수1'!$G$7:$G$156&lt;&gt;"")*('반배정'!$K$7:$K$156='설정'!$B$7))/COUNTIFS('반배정'!$K$7:$K$156,'설정'!$B$7,'공수1'!$Y$7:$Y$156,"&gt;=0"),""))</f>
        <v/>
      </c>
      <c r="L9" s="42">
        <f>IF(F9="","",IFERROR(SUMPRODUCT(('공수1'!$G$7:$G$156='공수1'!$G$2)*('공수1'!$G$7:$G$156&lt;&gt;"")*('반배정'!$K$7:$K$156='설정'!$B$8))/COUNTIFS('반배정'!$K$7:$K$156,'설정'!$B$8,'공수1'!$Y$7:$Y$156,"&gt;=0"),""))</f>
        <v/>
      </c>
      <c r="M9" s="43">
        <f>IF(OR(J9="",L9=""),"",J9-L9)</f>
        <v/>
      </c>
      <c r="N9" s="39">
        <f>IF(I9="","",IF(AND(M9&lt;&gt;"",M9&lt;0),"역변별·문항검토",IF(I9&gt;=0.9,"매우 쉬움",IF(I9&lt;=0.15,"매우 어려움",IF(AND(M9&lt;&gt;"",M9&lt;0.2),"변별력 낮음","양호")))))</f>
        <v/>
      </c>
      <c r="O9" s="39">
        <f>IF(G9=0,"",COUNTIF('공수1'!$G$7:$G$156,1))</f>
        <v/>
      </c>
      <c r="P9" s="39">
        <f>IF(G9=0,"",COUNTIF('공수1'!$G$7:$G$156,2))</f>
        <v/>
      </c>
      <c r="Q9" s="39">
        <f>IF(G9=0,"",COUNTIF('공수1'!$G$7:$G$156,3))</f>
        <v/>
      </c>
      <c r="R9" s="39">
        <f>IF(G9=0,"",COUNTIF('공수1'!$G$7:$G$156,4))</f>
        <v/>
      </c>
      <c r="S9" s="39">
        <f>IF(G9=0,"",COUNTIF('공수1'!$G$7:$G$156,5))</f>
        <v/>
      </c>
    </row>
    <row r="10">
      <c r="A10" s="8" t="n">
        <v>5</v>
      </c>
      <c r="B10" s="17" t="inlineStr">
        <is>
          <t>객관식</t>
        </is>
      </c>
      <c r="C10" s="39">
        <f>'공수1'!H4</f>
        <v/>
      </c>
      <c r="D10" s="10">
        <f>'공수1'!H5</f>
        <v/>
      </c>
      <c r="E10" s="10">
        <f>'공수1'!H3</f>
        <v/>
      </c>
      <c r="F10" s="40">
        <f>IF('공수1'!$H$2="","",'공수1'!$H$2)</f>
        <v/>
      </c>
      <c r="G10" s="10">
        <f>COUNT('공수1'!$Y$7:$Y$156)</f>
        <v/>
      </c>
      <c r="H10" s="10">
        <f>IF(F10="","",SUMPRODUCT(('공수1'!$H$7:$H$156='공수1'!$H$2)*('공수1'!$H$7:$H$156&lt;&gt;"")))</f>
        <v/>
      </c>
      <c r="I10" s="41">
        <f>IF(OR(F10="",G10=0),"",H10/G10)</f>
        <v/>
      </c>
      <c r="J10" s="42">
        <f>IF(F10="","",IFERROR(SUMPRODUCT(('공수1'!$H$7:$H$156='공수1'!$H$2)*('공수1'!$H$7:$H$156&lt;&gt;"")*('반배정'!$K$7:$K$156='설정'!$B$6))/COUNTIFS('반배정'!$K$7:$K$156,'설정'!$B$6,'공수1'!$Y$7:$Y$156,"&gt;=0"),""))</f>
        <v/>
      </c>
      <c r="K10" s="42">
        <f>IF(F10="","",IFERROR(SUMPRODUCT(('공수1'!$H$7:$H$156='공수1'!$H$2)*('공수1'!$H$7:$H$156&lt;&gt;"")*('반배정'!$K$7:$K$156='설정'!$B$7))/COUNTIFS('반배정'!$K$7:$K$156,'설정'!$B$7,'공수1'!$Y$7:$Y$156,"&gt;=0"),""))</f>
        <v/>
      </c>
      <c r="L10" s="42">
        <f>IF(F10="","",IFERROR(SUMPRODUCT(('공수1'!$H$7:$H$156='공수1'!$H$2)*('공수1'!$H$7:$H$156&lt;&gt;"")*('반배정'!$K$7:$K$156='설정'!$B$8))/COUNTIFS('반배정'!$K$7:$K$156,'설정'!$B$8,'공수1'!$Y$7:$Y$156,"&gt;=0"),""))</f>
        <v/>
      </c>
      <c r="M10" s="43">
        <f>IF(OR(J10="",L10=""),"",J10-L10)</f>
        <v/>
      </c>
      <c r="N10" s="39">
        <f>IF(I10="","",IF(AND(M10&lt;&gt;"",M10&lt;0),"역변별·문항검토",IF(I10&gt;=0.9,"매우 쉬움",IF(I10&lt;=0.15,"매우 어려움",IF(AND(M10&lt;&gt;"",M10&lt;0.2),"변별력 낮음","양호")))))</f>
        <v/>
      </c>
      <c r="O10" s="39">
        <f>IF(G10=0,"",COUNTIF('공수1'!$H$7:$H$156,1))</f>
        <v/>
      </c>
      <c r="P10" s="39">
        <f>IF(G10=0,"",COUNTIF('공수1'!$H$7:$H$156,2))</f>
        <v/>
      </c>
      <c r="Q10" s="39">
        <f>IF(G10=0,"",COUNTIF('공수1'!$H$7:$H$156,3))</f>
        <v/>
      </c>
      <c r="R10" s="39">
        <f>IF(G10=0,"",COUNTIF('공수1'!$H$7:$H$156,4))</f>
        <v/>
      </c>
      <c r="S10" s="39">
        <f>IF(G10=0,"",COUNTIF('공수1'!$H$7:$H$156,5))</f>
        <v/>
      </c>
    </row>
    <row r="11">
      <c r="A11" s="8" t="n">
        <v>6</v>
      </c>
      <c r="B11" s="17" t="inlineStr">
        <is>
          <t>객관식</t>
        </is>
      </c>
      <c r="C11" s="39">
        <f>'공수1'!I4</f>
        <v/>
      </c>
      <c r="D11" s="10">
        <f>'공수1'!I5</f>
        <v/>
      </c>
      <c r="E11" s="10">
        <f>'공수1'!I3</f>
        <v/>
      </c>
      <c r="F11" s="40">
        <f>IF('공수1'!$I$2="","",'공수1'!$I$2)</f>
        <v/>
      </c>
      <c r="G11" s="10">
        <f>COUNT('공수1'!$Y$7:$Y$156)</f>
        <v/>
      </c>
      <c r="H11" s="10">
        <f>IF(F11="","",SUMPRODUCT(('공수1'!$I$7:$I$156='공수1'!$I$2)*('공수1'!$I$7:$I$156&lt;&gt;"")))</f>
        <v/>
      </c>
      <c r="I11" s="41">
        <f>IF(OR(F11="",G11=0),"",H11/G11)</f>
        <v/>
      </c>
      <c r="J11" s="42">
        <f>IF(F11="","",IFERROR(SUMPRODUCT(('공수1'!$I$7:$I$156='공수1'!$I$2)*('공수1'!$I$7:$I$156&lt;&gt;"")*('반배정'!$K$7:$K$156='설정'!$B$6))/COUNTIFS('반배정'!$K$7:$K$156,'설정'!$B$6,'공수1'!$Y$7:$Y$156,"&gt;=0"),""))</f>
        <v/>
      </c>
      <c r="K11" s="42">
        <f>IF(F11="","",IFERROR(SUMPRODUCT(('공수1'!$I$7:$I$156='공수1'!$I$2)*('공수1'!$I$7:$I$156&lt;&gt;"")*('반배정'!$K$7:$K$156='설정'!$B$7))/COUNTIFS('반배정'!$K$7:$K$156,'설정'!$B$7,'공수1'!$Y$7:$Y$156,"&gt;=0"),""))</f>
        <v/>
      </c>
      <c r="L11" s="42">
        <f>IF(F11="","",IFERROR(SUMPRODUCT(('공수1'!$I$7:$I$156='공수1'!$I$2)*('공수1'!$I$7:$I$156&lt;&gt;"")*('반배정'!$K$7:$K$156='설정'!$B$8))/COUNTIFS('반배정'!$K$7:$K$156,'설정'!$B$8,'공수1'!$Y$7:$Y$156,"&gt;=0"),""))</f>
        <v/>
      </c>
      <c r="M11" s="43">
        <f>IF(OR(J11="",L11=""),"",J11-L11)</f>
        <v/>
      </c>
      <c r="N11" s="39">
        <f>IF(I11="","",IF(AND(M11&lt;&gt;"",M11&lt;0),"역변별·문항검토",IF(I11&gt;=0.9,"매우 쉬움",IF(I11&lt;=0.15,"매우 어려움",IF(AND(M11&lt;&gt;"",M11&lt;0.2),"변별력 낮음","양호")))))</f>
        <v/>
      </c>
      <c r="O11" s="39">
        <f>IF(G11=0,"",COUNTIF('공수1'!$I$7:$I$156,1))</f>
        <v/>
      </c>
      <c r="P11" s="39">
        <f>IF(G11=0,"",COUNTIF('공수1'!$I$7:$I$156,2))</f>
        <v/>
      </c>
      <c r="Q11" s="39">
        <f>IF(G11=0,"",COUNTIF('공수1'!$I$7:$I$156,3))</f>
        <v/>
      </c>
      <c r="R11" s="39">
        <f>IF(G11=0,"",COUNTIF('공수1'!$I$7:$I$156,4))</f>
        <v/>
      </c>
      <c r="S11" s="39">
        <f>IF(G11=0,"",COUNTIF('공수1'!$I$7:$I$156,5))</f>
        <v/>
      </c>
    </row>
    <row r="12">
      <c r="A12" s="8" t="n">
        <v>7</v>
      </c>
      <c r="B12" s="17" t="inlineStr">
        <is>
          <t>객관식</t>
        </is>
      </c>
      <c r="C12" s="39">
        <f>'공수1'!J4</f>
        <v/>
      </c>
      <c r="D12" s="10">
        <f>'공수1'!J5</f>
        <v/>
      </c>
      <c r="E12" s="10">
        <f>'공수1'!J3</f>
        <v/>
      </c>
      <c r="F12" s="40">
        <f>IF('공수1'!$J$2="","",'공수1'!$J$2)</f>
        <v/>
      </c>
      <c r="G12" s="10">
        <f>COUNT('공수1'!$Y$7:$Y$156)</f>
        <v/>
      </c>
      <c r="H12" s="10">
        <f>IF(F12="","",SUMPRODUCT(('공수1'!$J$7:$J$156='공수1'!$J$2)*('공수1'!$J$7:$J$156&lt;&gt;"")))</f>
        <v/>
      </c>
      <c r="I12" s="41">
        <f>IF(OR(F12="",G12=0),"",H12/G12)</f>
        <v/>
      </c>
      <c r="J12" s="42">
        <f>IF(F12="","",IFERROR(SUMPRODUCT(('공수1'!$J$7:$J$156='공수1'!$J$2)*('공수1'!$J$7:$J$156&lt;&gt;"")*('반배정'!$K$7:$K$156='설정'!$B$6))/COUNTIFS('반배정'!$K$7:$K$156,'설정'!$B$6,'공수1'!$Y$7:$Y$156,"&gt;=0"),""))</f>
        <v/>
      </c>
      <c r="K12" s="42">
        <f>IF(F12="","",IFERROR(SUMPRODUCT(('공수1'!$J$7:$J$156='공수1'!$J$2)*('공수1'!$J$7:$J$156&lt;&gt;"")*('반배정'!$K$7:$K$156='설정'!$B$7))/COUNTIFS('반배정'!$K$7:$K$156,'설정'!$B$7,'공수1'!$Y$7:$Y$156,"&gt;=0"),""))</f>
        <v/>
      </c>
      <c r="L12" s="42">
        <f>IF(F12="","",IFERROR(SUMPRODUCT(('공수1'!$J$7:$J$156='공수1'!$J$2)*('공수1'!$J$7:$J$156&lt;&gt;"")*('반배정'!$K$7:$K$156='설정'!$B$8))/COUNTIFS('반배정'!$K$7:$K$156,'설정'!$B$8,'공수1'!$Y$7:$Y$156,"&gt;=0"),""))</f>
        <v/>
      </c>
      <c r="M12" s="43">
        <f>IF(OR(J12="",L12=""),"",J12-L12)</f>
        <v/>
      </c>
      <c r="N12" s="39">
        <f>IF(I12="","",IF(AND(M12&lt;&gt;"",M12&lt;0),"역변별·문항검토",IF(I12&gt;=0.9,"매우 쉬움",IF(I12&lt;=0.15,"매우 어려움",IF(AND(M12&lt;&gt;"",M12&lt;0.2),"변별력 낮음","양호")))))</f>
        <v/>
      </c>
      <c r="O12" s="39">
        <f>IF(G12=0,"",COUNTIF('공수1'!$J$7:$J$156,1))</f>
        <v/>
      </c>
      <c r="P12" s="39">
        <f>IF(G12=0,"",COUNTIF('공수1'!$J$7:$J$156,2))</f>
        <v/>
      </c>
      <c r="Q12" s="39">
        <f>IF(G12=0,"",COUNTIF('공수1'!$J$7:$J$156,3))</f>
        <v/>
      </c>
      <c r="R12" s="39">
        <f>IF(G12=0,"",COUNTIF('공수1'!$J$7:$J$156,4))</f>
        <v/>
      </c>
      <c r="S12" s="39">
        <f>IF(G12=0,"",COUNTIF('공수1'!$J$7:$J$156,5))</f>
        <v/>
      </c>
    </row>
    <row r="13">
      <c r="A13" s="8" t="n">
        <v>8</v>
      </c>
      <c r="B13" s="17" t="inlineStr">
        <is>
          <t>객관식</t>
        </is>
      </c>
      <c r="C13" s="39">
        <f>'공수1'!K4</f>
        <v/>
      </c>
      <c r="D13" s="10">
        <f>'공수1'!K5</f>
        <v/>
      </c>
      <c r="E13" s="10">
        <f>'공수1'!K3</f>
        <v/>
      </c>
      <c r="F13" s="40">
        <f>IF('공수1'!$K$2="","",'공수1'!$K$2)</f>
        <v/>
      </c>
      <c r="G13" s="10">
        <f>COUNT('공수1'!$Y$7:$Y$156)</f>
        <v/>
      </c>
      <c r="H13" s="10">
        <f>IF(F13="","",SUMPRODUCT(('공수1'!$K$7:$K$156='공수1'!$K$2)*('공수1'!$K$7:$K$156&lt;&gt;"")))</f>
        <v/>
      </c>
      <c r="I13" s="41">
        <f>IF(OR(F13="",G13=0),"",H13/G13)</f>
        <v/>
      </c>
      <c r="J13" s="42">
        <f>IF(F13="","",IFERROR(SUMPRODUCT(('공수1'!$K$7:$K$156='공수1'!$K$2)*('공수1'!$K$7:$K$156&lt;&gt;"")*('반배정'!$K$7:$K$156='설정'!$B$6))/COUNTIFS('반배정'!$K$7:$K$156,'설정'!$B$6,'공수1'!$Y$7:$Y$156,"&gt;=0"),""))</f>
        <v/>
      </c>
      <c r="K13" s="42">
        <f>IF(F13="","",IFERROR(SUMPRODUCT(('공수1'!$K$7:$K$156='공수1'!$K$2)*('공수1'!$K$7:$K$156&lt;&gt;"")*('반배정'!$K$7:$K$156='설정'!$B$7))/COUNTIFS('반배정'!$K$7:$K$156,'설정'!$B$7,'공수1'!$Y$7:$Y$156,"&gt;=0"),""))</f>
        <v/>
      </c>
      <c r="L13" s="42">
        <f>IF(F13="","",IFERROR(SUMPRODUCT(('공수1'!$K$7:$K$156='공수1'!$K$2)*('공수1'!$K$7:$K$156&lt;&gt;"")*('반배정'!$K$7:$K$156='설정'!$B$8))/COUNTIFS('반배정'!$K$7:$K$156,'설정'!$B$8,'공수1'!$Y$7:$Y$156,"&gt;=0"),""))</f>
        <v/>
      </c>
      <c r="M13" s="43">
        <f>IF(OR(J13="",L13=""),"",J13-L13)</f>
        <v/>
      </c>
      <c r="N13" s="39">
        <f>IF(I13="","",IF(AND(M13&lt;&gt;"",M13&lt;0),"역변별·문항검토",IF(I13&gt;=0.9,"매우 쉬움",IF(I13&lt;=0.15,"매우 어려움",IF(AND(M13&lt;&gt;"",M13&lt;0.2),"변별력 낮음","양호")))))</f>
        <v/>
      </c>
      <c r="O13" s="39">
        <f>IF(G13=0,"",COUNTIF('공수1'!$K$7:$K$156,1))</f>
        <v/>
      </c>
      <c r="P13" s="39">
        <f>IF(G13=0,"",COUNTIF('공수1'!$K$7:$K$156,2))</f>
        <v/>
      </c>
      <c r="Q13" s="39">
        <f>IF(G13=0,"",COUNTIF('공수1'!$K$7:$K$156,3))</f>
        <v/>
      </c>
      <c r="R13" s="39">
        <f>IF(G13=0,"",COUNTIF('공수1'!$K$7:$K$156,4))</f>
        <v/>
      </c>
      <c r="S13" s="39">
        <f>IF(G13=0,"",COUNTIF('공수1'!$K$7:$K$156,5))</f>
        <v/>
      </c>
    </row>
    <row r="14">
      <c r="A14" s="8" t="n">
        <v>9</v>
      </c>
      <c r="B14" s="17" t="inlineStr">
        <is>
          <t>객관식</t>
        </is>
      </c>
      <c r="C14" s="39">
        <f>'공수1'!L4</f>
        <v/>
      </c>
      <c r="D14" s="10">
        <f>'공수1'!L5</f>
        <v/>
      </c>
      <c r="E14" s="10">
        <f>'공수1'!L3</f>
        <v/>
      </c>
      <c r="F14" s="40">
        <f>IF('공수1'!$L$2="","",'공수1'!$L$2)</f>
        <v/>
      </c>
      <c r="G14" s="10">
        <f>COUNT('공수1'!$Y$7:$Y$156)</f>
        <v/>
      </c>
      <c r="H14" s="10">
        <f>IF(F14="","",SUMPRODUCT(('공수1'!$L$7:$L$156='공수1'!$L$2)*('공수1'!$L$7:$L$156&lt;&gt;"")))</f>
        <v/>
      </c>
      <c r="I14" s="41">
        <f>IF(OR(F14="",G14=0),"",H14/G14)</f>
        <v/>
      </c>
      <c r="J14" s="42">
        <f>IF(F14="","",IFERROR(SUMPRODUCT(('공수1'!$L$7:$L$156='공수1'!$L$2)*('공수1'!$L$7:$L$156&lt;&gt;"")*('반배정'!$K$7:$K$156='설정'!$B$6))/COUNTIFS('반배정'!$K$7:$K$156,'설정'!$B$6,'공수1'!$Y$7:$Y$156,"&gt;=0"),""))</f>
        <v/>
      </c>
      <c r="K14" s="42">
        <f>IF(F14="","",IFERROR(SUMPRODUCT(('공수1'!$L$7:$L$156='공수1'!$L$2)*('공수1'!$L$7:$L$156&lt;&gt;"")*('반배정'!$K$7:$K$156='설정'!$B$7))/COUNTIFS('반배정'!$K$7:$K$156,'설정'!$B$7,'공수1'!$Y$7:$Y$156,"&gt;=0"),""))</f>
        <v/>
      </c>
      <c r="L14" s="42">
        <f>IF(F14="","",IFERROR(SUMPRODUCT(('공수1'!$L$7:$L$156='공수1'!$L$2)*('공수1'!$L$7:$L$156&lt;&gt;"")*('반배정'!$K$7:$K$156='설정'!$B$8))/COUNTIFS('반배정'!$K$7:$K$156,'설정'!$B$8,'공수1'!$Y$7:$Y$156,"&gt;=0"),""))</f>
        <v/>
      </c>
      <c r="M14" s="43">
        <f>IF(OR(J14="",L14=""),"",J14-L14)</f>
        <v/>
      </c>
      <c r="N14" s="39">
        <f>IF(I14="","",IF(AND(M14&lt;&gt;"",M14&lt;0),"역변별·문항검토",IF(I14&gt;=0.9,"매우 쉬움",IF(I14&lt;=0.15,"매우 어려움",IF(AND(M14&lt;&gt;"",M14&lt;0.2),"변별력 낮음","양호")))))</f>
        <v/>
      </c>
      <c r="O14" s="39">
        <f>IF(G14=0,"",COUNTIF('공수1'!$L$7:$L$156,1))</f>
        <v/>
      </c>
      <c r="P14" s="39">
        <f>IF(G14=0,"",COUNTIF('공수1'!$L$7:$L$156,2))</f>
        <v/>
      </c>
      <c r="Q14" s="39">
        <f>IF(G14=0,"",COUNTIF('공수1'!$L$7:$L$156,3))</f>
        <v/>
      </c>
      <c r="R14" s="39">
        <f>IF(G14=0,"",COUNTIF('공수1'!$L$7:$L$156,4))</f>
        <v/>
      </c>
      <c r="S14" s="39">
        <f>IF(G14=0,"",COUNTIF('공수1'!$L$7:$L$156,5))</f>
        <v/>
      </c>
    </row>
    <row r="15">
      <c r="A15" s="8" t="n">
        <v>10</v>
      </c>
      <c r="B15" s="17" t="inlineStr">
        <is>
          <t>객관식</t>
        </is>
      </c>
      <c r="C15" s="39">
        <f>'공수1'!M4</f>
        <v/>
      </c>
      <c r="D15" s="10">
        <f>'공수1'!M5</f>
        <v/>
      </c>
      <c r="E15" s="10">
        <f>'공수1'!M3</f>
        <v/>
      </c>
      <c r="F15" s="40">
        <f>IF('공수1'!$M$2="","",'공수1'!$M$2)</f>
        <v/>
      </c>
      <c r="G15" s="10">
        <f>COUNT('공수1'!$Y$7:$Y$156)</f>
        <v/>
      </c>
      <c r="H15" s="10">
        <f>IF(F15="","",SUMPRODUCT(('공수1'!$M$7:$M$156='공수1'!$M$2)*('공수1'!$M$7:$M$156&lt;&gt;"")))</f>
        <v/>
      </c>
      <c r="I15" s="41">
        <f>IF(OR(F15="",G15=0),"",H15/G15)</f>
        <v/>
      </c>
      <c r="J15" s="42">
        <f>IF(F15="","",IFERROR(SUMPRODUCT(('공수1'!$M$7:$M$156='공수1'!$M$2)*('공수1'!$M$7:$M$156&lt;&gt;"")*('반배정'!$K$7:$K$156='설정'!$B$6))/COUNTIFS('반배정'!$K$7:$K$156,'설정'!$B$6,'공수1'!$Y$7:$Y$156,"&gt;=0"),""))</f>
        <v/>
      </c>
      <c r="K15" s="42">
        <f>IF(F15="","",IFERROR(SUMPRODUCT(('공수1'!$M$7:$M$156='공수1'!$M$2)*('공수1'!$M$7:$M$156&lt;&gt;"")*('반배정'!$K$7:$K$156='설정'!$B$7))/COUNTIFS('반배정'!$K$7:$K$156,'설정'!$B$7,'공수1'!$Y$7:$Y$156,"&gt;=0"),""))</f>
        <v/>
      </c>
      <c r="L15" s="42">
        <f>IF(F15="","",IFERROR(SUMPRODUCT(('공수1'!$M$7:$M$156='공수1'!$M$2)*('공수1'!$M$7:$M$156&lt;&gt;"")*('반배정'!$K$7:$K$156='설정'!$B$8))/COUNTIFS('반배정'!$K$7:$K$156,'설정'!$B$8,'공수1'!$Y$7:$Y$156,"&gt;=0"),""))</f>
        <v/>
      </c>
      <c r="M15" s="43">
        <f>IF(OR(J15="",L15=""),"",J15-L15)</f>
        <v/>
      </c>
      <c r="N15" s="39">
        <f>IF(I15="","",IF(AND(M15&lt;&gt;"",M15&lt;0),"역변별·문항검토",IF(I15&gt;=0.9,"매우 쉬움",IF(I15&lt;=0.15,"매우 어려움",IF(AND(M15&lt;&gt;"",M15&lt;0.2),"변별력 낮음","양호")))))</f>
        <v/>
      </c>
      <c r="O15" s="39">
        <f>IF(G15=0,"",COUNTIF('공수1'!$M$7:$M$156,1))</f>
        <v/>
      </c>
      <c r="P15" s="39">
        <f>IF(G15=0,"",COUNTIF('공수1'!$M$7:$M$156,2))</f>
        <v/>
      </c>
      <c r="Q15" s="39">
        <f>IF(G15=0,"",COUNTIF('공수1'!$M$7:$M$156,3))</f>
        <v/>
      </c>
      <c r="R15" s="39">
        <f>IF(G15=0,"",COUNTIF('공수1'!$M$7:$M$156,4))</f>
        <v/>
      </c>
      <c r="S15" s="39">
        <f>IF(G15=0,"",COUNTIF('공수1'!$M$7:$M$156,5))</f>
        <v/>
      </c>
    </row>
    <row r="16">
      <c r="A16" s="8" t="n">
        <v>11</v>
      </c>
      <c r="B16" s="17" t="inlineStr">
        <is>
          <t>객관식</t>
        </is>
      </c>
      <c r="C16" s="39">
        <f>'공수1'!N4</f>
        <v/>
      </c>
      <c r="D16" s="10">
        <f>'공수1'!N5</f>
        <v/>
      </c>
      <c r="E16" s="10">
        <f>'공수1'!N3</f>
        <v/>
      </c>
      <c r="F16" s="40">
        <f>IF('공수1'!$N$2="","",'공수1'!$N$2)</f>
        <v/>
      </c>
      <c r="G16" s="10">
        <f>COUNT('공수1'!$Y$7:$Y$156)</f>
        <v/>
      </c>
      <c r="H16" s="10">
        <f>IF(F16="","",SUMPRODUCT(('공수1'!$N$7:$N$156='공수1'!$N$2)*('공수1'!$N$7:$N$156&lt;&gt;"")))</f>
        <v/>
      </c>
      <c r="I16" s="41">
        <f>IF(OR(F16="",G16=0),"",H16/G16)</f>
        <v/>
      </c>
      <c r="J16" s="42">
        <f>IF(F16="","",IFERROR(SUMPRODUCT(('공수1'!$N$7:$N$156='공수1'!$N$2)*('공수1'!$N$7:$N$156&lt;&gt;"")*('반배정'!$K$7:$K$156='설정'!$B$6))/COUNTIFS('반배정'!$K$7:$K$156,'설정'!$B$6,'공수1'!$Y$7:$Y$156,"&gt;=0"),""))</f>
        <v/>
      </c>
      <c r="K16" s="42">
        <f>IF(F16="","",IFERROR(SUMPRODUCT(('공수1'!$N$7:$N$156='공수1'!$N$2)*('공수1'!$N$7:$N$156&lt;&gt;"")*('반배정'!$K$7:$K$156='설정'!$B$7))/COUNTIFS('반배정'!$K$7:$K$156,'설정'!$B$7,'공수1'!$Y$7:$Y$156,"&gt;=0"),""))</f>
        <v/>
      </c>
      <c r="L16" s="42">
        <f>IF(F16="","",IFERROR(SUMPRODUCT(('공수1'!$N$7:$N$156='공수1'!$N$2)*('공수1'!$N$7:$N$156&lt;&gt;"")*('반배정'!$K$7:$K$156='설정'!$B$8))/COUNTIFS('반배정'!$K$7:$K$156,'설정'!$B$8,'공수1'!$Y$7:$Y$156,"&gt;=0"),""))</f>
        <v/>
      </c>
      <c r="M16" s="43">
        <f>IF(OR(J16="",L16=""),"",J16-L16)</f>
        <v/>
      </c>
      <c r="N16" s="39">
        <f>IF(I16="","",IF(AND(M16&lt;&gt;"",M16&lt;0),"역변별·문항검토",IF(I16&gt;=0.9,"매우 쉬움",IF(I16&lt;=0.15,"매우 어려움",IF(AND(M16&lt;&gt;"",M16&lt;0.2),"변별력 낮음","양호")))))</f>
        <v/>
      </c>
      <c r="O16" s="39">
        <f>IF(G16=0,"",COUNTIF('공수1'!$N$7:$N$156,1))</f>
        <v/>
      </c>
      <c r="P16" s="39">
        <f>IF(G16=0,"",COUNTIF('공수1'!$N$7:$N$156,2))</f>
        <v/>
      </c>
      <c r="Q16" s="39">
        <f>IF(G16=0,"",COUNTIF('공수1'!$N$7:$N$156,3))</f>
        <v/>
      </c>
      <c r="R16" s="39">
        <f>IF(G16=0,"",COUNTIF('공수1'!$N$7:$N$156,4))</f>
        <v/>
      </c>
      <c r="S16" s="39">
        <f>IF(G16=0,"",COUNTIF('공수1'!$N$7:$N$156,5))</f>
        <v/>
      </c>
    </row>
    <row r="17">
      <c r="A17" s="8" t="n">
        <v>12</v>
      </c>
      <c r="B17" s="17" t="inlineStr">
        <is>
          <t>객관식</t>
        </is>
      </c>
      <c r="C17" s="39">
        <f>'공수1'!O4</f>
        <v/>
      </c>
      <c r="D17" s="10">
        <f>'공수1'!O5</f>
        <v/>
      </c>
      <c r="E17" s="10">
        <f>'공수1'!O3</f>
        <v/>
      </c>
      <c r="F17" s="40">
        <f>IF('공수1'!$O$2="","",'공수1'!$O$2)</f>
        <v/>
      </c>
      <c r="G17" s="10">
        <f>COUNT('공수1'!$Y$7:$Y$156)</f>
        <v/>
      </c>
      <c r="H17" s="10">
        <f>IF(F17="","",SUMPRODUCT(('공수1'!$O$7:$O$156='공수1'!$O$2)*('공수1'!$O$7:$O$156&lt;&gt;"")))</f>
        <v/>
      </c>
      <c r="I17" s="41">
        <f>IF(OR(F17="",G17=0),"",H17/G17)</f>
        <v/>
      </c>
      <c r="J17" s="42">
        <f>IF(F17="","",IFERROR(SUMPRODUCT(('공수1'!$O$7:$O$156='공수1'!$O$2)*('공수1'!$O$7:$O$156&lt;&gt;"")*('반배정'!$K$7:$K$156='설정'!$B$6))/COUNTIFS('반배정'!$K$7:$K$156,'설정'!$B$6,'공수1'!$Y$7:$Y$156,"&gt;=0"),""))</f>
        <v/>
      </c>
      <c r="K17" s="42">
        <f>IF(F17="","",IFERROR(SUMPRODUCT(('공수1'!$O$7:$O$156='공수1'!$O$2)*('공수1'!$O$7:$O$156&lt;&gt;"")*('반배정'!$K$7:$K$156='설정'!$B$7))/COUNTIFS('반배정'!$K$7:$K$156,'설정'!$B$7,'공수1'!$Y$7:$Y$156,"&gt;=0"),""))</f>
        <v/>
      </c>
      <c r="L17" s="42">
        <f>IF(F17="","",IFERROR(SUMPRODUCT(('공수1'!$O$7:$O$156='공수1'!$O$2)*('공수1'!$O$7:$O$156&lt;&gt;"")*('반배정'!$K$7:$K$156='설정'!$B$8))/COUNTIFS('반배정'!$K$7:$K$156,'설정'!$B$8,'공수1'!$Y$7:$Y$156,"&gt;=0"),""))</f>
        <v/>
      </c>
      <c r="M17" s="43">
        <f>IF(OR(J17="",L17=""),"",J17-L17)</f>
        <v/>
      </c>
      <c r="N17" s="39">
        <f>IF(I17="","",IF(AND(M17&lt;&gt;"",M17&lt;0),"역변별·문항검토",IF(I17&gt;=0.9,"매우 쉬움",IF(I17&lt;=0.15,"매우 어려움",IF(AND(M17&lt;&gt;"",M17&lt;0.2),"변별력 낮음","양호")))))</f>
        <v/>
      </c>
      <c r="O17" s="39">
        <f>IF(G17=0,"",COUNTIF('공수1'!$O$7:$O$156,1))</f>
        <v/>
      </c>
      <c r="P17" s="39">
        <f>IF(G17=0,"",COUNTIF('공수1'!$O$7:$O$156,2))</f>
        <v/>
      </c>
      <c r="Q17" s="39">
        <f>IF(G17=0,"",COUNTIF('공수1'!$O$7:$O$156,3))</f>
        <v/>
      </c>
      <c r="R17" s="39">
        <f>IF(G17=0,"",COUNTIF('공수1'!$O$7:$O$156,4))</f>
        <v/>
      </c>
      <c r="S17" s="39">
        <f>IF(G17=0,"",COUNTIF('공수1'!$O$7:$O$156,5))</f>
        <v/>
      </c>
    </row>
    <row r="18">
      <c r="A18" s="8" t="n">
        <v>13</v>
      </c>
      <c r="B18" s="17" t="inlineStr">
        <is>
          <t>객관식</t>
        </is>
      </c>
      <c r="C18" s="39">
        <f>'공수1'!P4</f>
        <v/>
      </c>
      <c r="D18" s="10">
        <f>'공수1'!P5</f>
        <v/>
      </c>
      <c r="E18" s="10">
        <f>'공수1'!P3</f>
        <v/>
      </c>
      <c r="F18" s="40">
        <f>IF('공수1'!$P$2="","",'공수1'!$P$2)</f>
        <v/>
      </c>
      <c r="G18" s="10">
        <f>COUNT('공수1'!$Y$7:$Y$156)</f>
        <v/>
      </c>
      <c r="H18" s="10">
        <f>IF(F18="","",SUMPRODUCT(('공수1'!$P$7:$P$156='공수1'!$P$2)*('공수1'!$P$7:$P$156&lt;&gt;"")))</f>
        <v/>
      </c>
      <c r="I18" s="41">
        <f>IF(OR(F18="",G18=0),"",H18/G18)</f>
        <v/>
      </c>
      <c r="J18" s="42">
        <f>IF(F18="","",IFERROR(SUMPRODUCT(('공수1'!$P$7:$P$156='공수1'!$P$2)*('공수1'!$P$7:$P$156&lt;&gt;"")*('반배정'!$K$7:$K$156='설정'!$B$6))/COUNTIFS('반배정'!$K$7:$K$156,'설정'!$B$6,'공수1'!$Y$7:$Y$156,"&gt;=0"),""))</f>
        <v/>
      </c>
      <c r="K18" s="42">
        <f>IF(F18="","",IFERROR(SUMPRODUCT(('공수1'!$P$7:$P$156='공수1'!$P$2)*('공수1'!$P$7:$P$156&lt;&gt;"")*('반배정'!$K$7:$K$156='설정'!$B$7))/COUNTIFS('반배정'!$K$7:$K$156,'설정'!$B$7,'공수1'!$Y$7:$Y$156,"&gt;=0"),""))</f>
        <v/>
      </c>
      <c r="L18" s="42">
        <f>IF(F18="","",IFERROR(SUMPRODUCT(('공수1'!$P$7:$P$156='공수1'!$P$2)*('공수1'!$P$7:$P$156&lt;&gt;"")*('반배정'!$K$7:$K$156='설정'!$B$8))/COUNTIFS('반배정'!$K$7:$K$156,'설정'!$B$8,'공수1'!$Y$7:$Y$156,"&gt;=0"),""))</f>
        <v/>
      </c>
      <c r="M18" s="43">
        <f>IF(OR(J18="",L18=""),"",J18-L18)</f>
        <v/>
      </c>
      <c r="N18" s="39">
        <f>IF(I18="","",IF(AND(M18&lt;&gt;"",M18&lt;0),"역변별·문항검토",IF(I18&gt;=0.9,"매우 쉬움",IF(I18&lt;=0.15,"매우 어려움",IF(AND(M18&lt;&gt;"",M18&lt;0.2),"변별력 낮음","양호")))))</f>
        <v/>
      </c>
      <c r="O18" s="39">
        <f>IF(G18=0,"",COUNTIF('공수1'!$P$7:$P$156,1))</f>
        <v/>
      </c>
      <c r="P18" s="39">
        <f>IF(G18=0,"",COUNTIF('공수1'!$P$7:$P$156,2))</f>
        <v/>
      </c>
      <c r="Q18" s="39">
        <f>IF(G18=0,"",COUNTIF('공수1'!$P$7:$P$156,3))</f>
        <v/>
      </c>
      <c r="R18" s="39">
        <f>IF(G18=0,"",COUNTIF('공수1'!$P$7:$P$156,4))</f>
        <v/>
      </c>
      <c r="S18" s="39">
        <f>IF(G18=0,"",COUNTIF('공수1'!$P$7:$P$156,5))</f>
        <v/>
      </c>
    </row>
    <row r="19">
      <c r="A19" s="8" t="n">
        <v>14</v>
      </c>
      <c r="B19" s="17" t="inlineStr">
        <is>
          <t>객관식</t>
        </is>
      </c>
      <c r="C19" s="39">
        <f>'공수1'!Q4</f>
        <v/>
      </c>
      <c r="D19" s="10">
        <f>'공수1'!Q5</f>
        <v/>
      </c>
      <c r="E19" s="10">
        <f>'공수1'!Q3</f>
        <v/>
      </c>
      <c r="F19" s="40">
        <f>IF('공수1'!$Q$2="","",'공수1'!$Q$2)</f>
        <v/>
      </c>
      <c r="G19" s="10">
        <f>COUNT('공수1'!$Y$7:$Y$156)</f>
        <v/>
      </c>
      <c r="H19" s="10">
        <f>IF(F19="","",SUMPRODUCT(('공수1'!$Q$7:$Q$156='공수1'!$Q$2)*('공수1'!$Q$7:$Q$156&lt;&gt;"")))</f>
        <v/>
      </c>
      <c r="I19" s="41">
        <f>IF(OR(F19="",G19=0),"",H19/G19)</f>
        <v/>
      </c>
      <c r="J19" s="42">
        <f>IF(F19="","",IFERROR(SUMPRODUCT(('공수1'!$Q$7:$Q$156='공수1'!$Q$2)*('공수1'!$Q$7:$Q$156&lt;&gt;"")*('반배정'!$K$7:$K$156='설정'!$B$6))/COUNTIFS('반배정'!$K$7:$K$156,'설정'!$B$6,'공수1'!$Y$7:$Y$156,"&gt;=0"),""))</f>
        <v/>
      </c>
      <c r="K19" s="42">
        <f>IF(F19="","",IFERROR(SUMPRODUCT(('공수1'!$Q$7:$Q$156='공수1'!$Q$2)*('공수1'!$Q$7:$Q$156&lt;&gt;"")*('반배정'!$K$7:$K$156='설정'!$B$7))/COUNTIFS('반배정'!$K$7:$K$156,'설정'!$B$7,'공수1'!$Y$7:$Y$156,"&gt;=0"),""))</f>
        <v/>
      </c>
      <c r="L19" s="42">
        <f>IF(F19="","",IFERROR(SUMPRODUCT(('공수1'!$Q$7:$Q$156='공수1'!$Q$2)*('공수1'!$Q$7:$Q$156&lt;&gt;"")*('반배정'!$K$7:$K$156='설정'!$B$8))/COUNTIFS('반배정'!$K$7:$K$156,'설정'!$B$8,'공수1'!$Y$7:$Y$156,"&gt;=0"),""))</f>
        <v/>
      </c>
      <c r="M19" s="43">
        <f>IF(OR(J19="",L19=""),"",J19-L19)</f>
        <v/>
      </c>
      <c r="N19" s="39">
        <f>IF(I19="","",IF(AND(M19&lt;&gt;"",M19&lt;0),"역변별·문항검토",IF(I19&gt;=0.9,"매우 쉬움",IF(I19&lt;=0.15,"매우 어려움",IF(AND(M19&lt;&gt;"",M19&lt;0.2),"변별력 낮음","양호")))))</f>
        <v/>
      </c>
      <c r="O19" s="39">
        <f>IF(G19=0,"",COUNTIF('공수1'!$Q$7:$Q$156,1))</f>
        <v/>
      </c>
      <c r="P19" s="39">
        <f>IF(G19=0,"",COUNTIF('공수1'!$Q$7:$Q$156,2))</f>
        <v/>
      </c>
      <c r="Q19" s="39">
        <f>IF(G19=0,"",COUNTIF('공수1'!$Q$7:$Q$156,3))</f>
        <v/>
      </c>
      <c r="R19" s="39">
        <f>IF(G19=0,"",COUNTIF('공수1'!$Q$7:$Q$156,4))</f>
        <v/>
      </c>
      <c r="S19" s="39">
        <f>IF(G19=0,"",COUNTIF('공수1'!$Q$7:$Q$156,5))</f>
        <v/>
      </c>
    </row>
    <row r="20">
      <c r="A20" s="8" t="n">
        <v>15</v>
      </c>
      <c r="B20" s="17" t="inlineStr">
        <is>
          <t>단답형</t>
        </is>
      </c>
      <c r="C20" s="39">
        <f>'공수1'!R4</f>
        <v/>
      </c>
      <c r="D20" s="10">
        <f>'공수1'!R5</f>
        <v/>
      </c>
      <c r="E20" s="10">
        <f>'공수1'!R3</f>
        <v/>
      </c>
      <c r="F20" s="40">
        <f>IF('공수1'!$R$2="","","24")</f>
        <v/>
      </c>
      <c r="G20" s="10">
        <f>COUNT('공수1'!$Y$7:$Y$156)</f>
        <v/>
      </c>
      <c r="H20" s="10">
        <f>IF(F20="","",SUMPRODUCT(('공수1'!$R$7:$R$156='공수1'!$R$2)*('공수1'!$R$7:$R$156&lt;&gt;"")))</f>
        <v/>
      </c>
      <c r="I20" s="41">
        <f>IF(OR(F20="",G20=0),"",H20/G20)</f>
        <v/>
      </c>
      <c r="J20" s="42">
        <f>IF(F20="","",IFERROR(SUMPRODUCT(('공수1'!$R$7:$R$156='공수1'!$R$2)*('공수1'!$R$7:$R$156&lt;&gt;"")*('반배정'!$K$7:$K$156='설정'!$B$6))/COUNTIFS('반배정'!$K$7:$K$156,'설정'!$B$6,'공수1'!$Y$7:$Y$156,"&gt;=0"),""))</f>
        <v/>
      </c>
      <c r="K20" s="42">
        <f>IF(F20="","",IFERROR(SUMPRODUCT(('공수1'!$R$7:$R$156='공수1'!$R$2)*('공수1'!$R$7:$R$156&lt;&gt;"")*('반배정'!$K$7:$K$156='설정'!$B$7))/COUNTIFS('반배정'!$K$7:$K$156,'설정'!$B$7,'공수1'!$Y$7:$Y$156,"&gt;=0"),""))</f>
        <v/>
      </c>
      <c r="L20" s="42">
        <f>IF(F20="","",IFERROR(SUMPRODUCT(('공수1'!$R$7:$R$156='공수1'!$R$2)*('공수1'!$R$7:$R$156&lt;&gt;"")*('반배정'!$K$7:$K$156='설정'!$B$8))/COUNTIFS('반배정'!$K$7:$K$156,'설정'!$B$8,'공수1'!$Y$7:$Y$156,"&gt;=0"),""))</f>
        <v/>
      </c>
      <c r="M20" s="43">
        <f>IF(OR(J20="",L20=""),"",J20-L20)</f>
        <v/>
      </c>
      <c r="N20" s="39">
        <f>IF(I20="","",IF(AND(M20&lt;&gt;"",M20&lt;0),"역변별·문항검토",IF(I20&gt;=0.9,"매우 쉬움",IF(I20&lt;=0.15,"매우 어려움",IF(AND(M20&lt;&gt;"",M20&lt;0.2),"변별력 낮음","양호")))))</f>
        <v/>
      </c>
      <c r="O20" s="44" t="inlineStr">
        <is>
          <t>-</t>
        </is>
      </c>
      <c r="P20" s="44" t="inlineStr">
        <is>
          <t>-</t>
        </is>
      </c>
      <c r="Q20" s="44" t="inlineStr">
        <is>
          <t>-</t>
        </is>
      </c>
      <c r="R20" s="44" t="inlineStr">
        <is>
          <t>-</t>
        </is>
      </c>
      <c r="S20" s="44" t="inlineStr">
        <is>
          <t>-</t>
        </is>
      </c>
    </row>
    <row r="21">
      <c r="A21" s="8" t="n">
        <v>16</v>
      </c>
      <c r="B21" s="17" t="inlineStr">
        <is>
          <t>단답형</t>
        </is>
      </c>
      <c r="C21" s="39">
        <f>'공수1'!S4</f>
        <v/>
      </c>
      <c r="D21" s="10">
        <f>'공수1'!S5</f>
        <v/>
      </c>
      <c r="E21" s="10">
        <f>'공수1'!S3</f>
        <v/>
      </c>
      <c r="F21" s="40">
        <f>IF('공수1'!$S$2="","","864")</f>
        <v/>
      </c>
      <c r="G21" s="10">
        <f>COUNT('공수1'!$Y$7:$Y$156)</f>
        <v/>
      </c>
      <c r="H21" s="10">
        <f>IF(F21="","",SUMPRODUCT(('공수1'!$S$7:$S$156='공수1'!$S$2)*('공수1'!$S$7:$S$156&lt;&gt;"")))</f>
        <v/>
      </c>
      <c r="I21" s="41">
        <f>IF(OR(F21="",G21=0),"",H21/G21)</f>
        <v/>
      </c>
      <c r="J21" s="42">
        <f>IF(F21="","",IFERROR(SUMPRODUCT(('공수1'!$S$7:$S$156='공수1'!$S$2)*('공수1'!$S$7:$S$156&lt;&gt;"")*('반배정'!$K$7:$K$156='설정'!$B$6))/COUNTIFS('반배정'!$K$7:$K$156,'설정'!$B$6,'공수1'!$Y$7:$Y$156,"&gt;=0"),""))</f>
        <v/>
      </c>
      <c r="K21" s="42">
        <f>IF(F21="","",IFERROR(SUMPRODUCT(('공수1'!$S$7:$S$156='공수1'!$S$2)*('공수1'!$S$7:$S$156&lt;&gt;"")*('반배정'!$K$7:$K$156='설정'!$B$7))/COUNTIFS('반배정'!$K$7:$K$156,'설정'!$B$7,'공수1'!$Y$7:$Y$156,"&gt;=0"),""))</f>
        <v/>
      </c>
      <c r="L21" s="42">
        <f>IF(F21="","",IFERROR(SUMPRODUCT(('공수1'!$S$7:$S$156='공수1'!$S$2)*('공수1'!$S$7:$S$156&lt;&gt;"")*('반배정'!$K$7:$K$156='설정'!$B$8))/COUNTIFS('반배정'!$K$7:$K$156,'설정'!$B$8,'공수1'!$Y$7:$Y$156,"&gt;=0"),""))</f>
        <v/>
      </c>
      <c r="M21" s="43">
        <f>IF(OR(J21="",L21=""),"",J21-L21)</f>
        <v/>
      </c>
      <c r="N21" s="39">
        <f>IF(I21="","",IF(AND(M21&lt;&gt;"",M21&lt;0),"역변별·문항검토",IF(I21&gt;=0.9,"매우 쉬움",IF(I21&lt;=0.15,"매우 어려움",IF(AND(M21&lt;&gt;"",M21&lt;0.2),"변별력 낮음","양호")))))</f>
        <v/>
      </c>
      <c r="O21" s="44" t="inlineStr">
        <is>
          <t>-</t>
        </is>
      </c>
      <c r="P21" s="44" t="inlineStr">
        <is>
          <t>-</t>
        </is>
      </c>
      <c r="Q21" s="44" t="inlineStr">
        <is>
          <t>-</t>
        </is>
      </c>
      <c r="R21" s="44" t="inlineStr">
        <is>
          <t>-</t>
        </is>
      </c>
      <c r="S21" s="44" t="inlineStr">
        <is>
          <t>-</t>
        </is>
      </c>
    </row>
    <row r="22">
      <c r="A22" s="8" t="n">
        <v>17</v>
      </c>
      <c r="B22" s="17" t="inlineStr">
        <is>
          <t>단답형</t>
        </is>
      </c>
      <c r="C22" s="39">
        <f>'공수1'!T4</f>
        <v/>
      </c>
      <c r="D22" s="10">
        <f>'공수1'!T5</f>
        <v/>
      </c>
      <c r="E22" s="10">
        <f>'공수1'!T3</f>
        <v/>
      </c>
      <c r="F22" s="40">
        <f>IF('공수1'!$T$2="","","8")</f>
        <v/>
      </c>
      <c r="G22" s="10">
        <f>COUNT('공수1'!$Y$7:$Y$156)</f>
        <v/>
      </c>
      <c r="H22" s="10">
        <f>IF(F22="","",SUMPRODUCT(('공수1'!$T$7:$T$156='공수1'!$T$2)*('공수1'!$T$7:$T$156&lt;&gt;"")))</f>
        <v/>
      </c>
      <c r="I22" s="41">
        <f>IF(OR(F22="",G22=0),"",H22/G22)</f>
        <v/>
      </c>
      <c r="J22" s="42">
        <f>IF(F22="","",IFERROR(SUMPRODUCT(('공수1'!$T$7:$T$156='공수1'!$T$2)*('공수1'!$T$7:$T$156&lt;&gt;"")*('반배정'!$K$7:$K$156='설정'!$B$6))/COUNTIFS('반배정'!$K$7:$K$156,'설정'!$B$6,'공수1'!$Y$7:$Y$156,"&gt;=0"),""))</f>
        <v/>
      </c>
      <c r="K22" s="42">
        <f>IF(F22="","",IFERROR(SUMPRODUCT(('공수1'!$T$7:$T$156='공수1'!$T$2)*('공수1'!$T$7:$T$156&lt;&gt;"")*('반배정'!$K$7:$K$156='설정'!$B$7))/COUNTIFS('반배정'!$K$7:$K$156,'설정'!$B$7,'공수1'!$Y$7:$Y$156,"&gt;=0"),""))</f>
        <v/>
      </c>
      <c r="L22" s="42">
        <f>IF(F22="","",IFERROR(SUMPRODUCT(('공수1'!$T$7:$T$156='공수1'!$T$2)*('공수1'!$T$7:$T$156&lt;&gt;"")*('반배정'!$K$7:$K$156='설정'!$B$8))/COUNTIFS('반배정'!$K$7:$K$156,'설정'!$B$8,'공수1'!$Y$7:$Y$156,"&gt;=0"),""))</f>
        <v/>
      </c>
      <c r="M22" s="43">
        <f>IF(OR(J22="",L22=""),"",J22-L22)</f>
        <v/>
      </c>
      <c r="N22" s="39">
        <f>IF(I22="","",IF(AND(M22&lt;&gt;"",M22&lt;0),"역변별·문항검토",IF(I22&gt;=0.9,"매우 쉬움",IF(I22&lt;=0.15,"매우 어려움",IF(AND(M22&lt;&gt;"",M22&lt;0.2),"변별력 낮음","양호")))))</f>
        <v/>
      </c>
      <c r="O22" s="44" t="inlineStr">
        <is>
          <t>-</t>
        </is>
      </c>
      <c r="P22" s="44" t="inlineStr">
        <is>
          <t>-</t>
        </is>
      </c>
      <c r="Q22" s="44" t="inlineStr">
        <is>
          <t>-</t>
        </is>
      </c>
      <c r="R22" s="44" t="inlineStr">
        <is>
          <t>-</t>
        </is>
      </c>
      <c r="S22" s="44" t="inlineStr">
        <is>
          <t>-</t>
        </is>
      </c>
    </row>
    <row r="23">
      <c r="A23" s="8" t="n">
        <v>18</v>
      </c>
      <c r="B23" s="17" t="inlineStr">
        <is>
          <t>단답형</t>
        </is>
      </c>
      <c r="C23" s="39">
        <f>'공수1'!U4</f>
        <v/>
      </c>
      <c r="D23" s="10">
        <f>'공수1'!U5</f>
        <v/>
      </c>
      <c r="E23" s="10">
        <f>'공수1'!U3</f>
        <v/>
      </c>
      <c r="F23" s="40">
        <f>IF('공수1'!$U$2="","","76")</f>
        <v/>
      </c>
      <c r="G23" s="10">
        <f>COUNT('공수1'!$Y$7:$Y$156)</f>
        <v/>
      </c>
      <c r="H23" s="10">
        <f>IF(F23="","",SUMPRODUCT(('공수1'!$U$7:$U$156='공수1'!$U$2)*('공수1'!$U$7:$U$156&lt;&gt;"")))</f>
        <v/>
      </c>
      <c r="I23" s="41">
        <f>IF(OR(F23="",G23=0),"",H23/G23)</f>
        <v/>
      </c>
      <c r="J23" s="42">
        <f>IF(F23="","",IFERROR(SUMPRODUCT(('공수1'!$U$7:$U$156='공수1'!$U$2)*('공수1'!$U$7:$U$156&lt;&gt;"")*('반배정'!$K$7:$K$156='설정'!$B$6))/COUNTIFS('반배정'!$K$7:$K$156,'설정'!$B$6,'공수1'!$Y$7:$Y$156,"&gt;=0"),""))</f>
        <v/>
      </c>
      <c r="K23" s="42">
        <f>IF(F23="","",IFERROR(SUMPRODUCT(('공수1'!$U$7:$U$156='공수1'!$U$2)*('공수1'!$U$7:$U$156&lt;&gt;"")*('반배정'!$K$7:$K$156='설정'!$B$7))/COUNTIFS('반배정'!$K$7:$K$156,'설정'!$B$7,'공수1'!$Y$7:$Y$156,"&gt;=0"),""))</f>
        <v/>
      </c>
      <c r="L23" s="42">
        <f>IF(F23="","",IFERROR(SUMPRODUCT(('공수1'!$U$7:$U$156='공수1'!$U$2)*('공수1'!$U$7:$U$156&lt;&gt;"")*('반배정'!$K$7:$K$156='설정'!$B$8))/COUNTIFS('반배정'!$K$7:$K$156,'설정'!$B$8,'공수1'!$Y$7:$Y$156,"&gt;=0"),""))</f>
        <v/>
      </c>
      <c r="M23" s="43">
        <f>IF(OR(J23="",L23=""),"",J23-L23)</f>
        <v/>
      </c>
      <c r="N23" s="39">
        <f>IF(I23="","",IF(AND(M23&lt;&gt;"",M23&lt;0),"역변별·문항검토",IF(I23&gt;=0.9,"매우 쉬움",IF(I23&lt;=0.15,"매우 어려움",IF(AND(M23&lt;&gt;"",M23&lt;0.2),"변별력 낮음","양호")))))</f>
        <v/>
      </c>
      <c r="O23" s="44" t="inlineStr">
        <is>
          <t>-</t>
        </is>
      </c>
      <c r="P23" s="44" t="inlineStr">
        <is>
          <t>-</t>
        </is>
      </c>
      <c r="Q23" s="44" t="inlineStr">
        <is>
          <t>-</t>
        </is>
      </c>
      <c r="R23" s="44" t="inlineStr">
        <is>
          <t>-</t>
        </is>
      </c>
      <c r="S23" s="44" t="inlineStr">
        <is>
          <t>-</t>
        </is>
      </c>
    </row>
    <row r="24">
      <c r="A24" s="8" t="n">
        <v>19</v>
      </c>
      <c r="B24" s="17" t="inlineStr">
        <is>
          <t>단답형</t>
        </is>
      </c>
      <c r="C24" s="39">
        <f>'공수1'!V4</f>
        <v/>
      </c>
      <c r="D24" s="10">
        <f>'공수1'!V5</f>
        <v/>
      </c>
      <c r="E24" s="10">
        <f>'공수1'!V3</f>
        <v/>
      </c>
      <c r="F24" s="40">
        <f>IF('공수1'!$V$2="","","27")</f>
        <v/>
      </c>
      <c r="G24" s="10">
        <f>COUNT('공수1'!$Y$7:$Y$156)</f>
        <v/>
      </c>
      <c r="H24" s="10">
        <f>IF(F24="","",SUMPRODUCT(('공수1'!$V$7:$V$156='공수1'!$V$2)*('공수1'!$V$7:$V$156&lt;&gt;"")))</f>
        <v/>
      </c>
      <c r="I24" s="41">
        <f>IF(OR(F24="",G24=0),"",H24/G24)</f>
        <v/>
      </c>
      <c r="J24" s="42">
        <f>IF(F24="","",IFERROR(SUMPRODUCT(('공수1'!$V$7:$V$156='공수1'!$V$2)*('공수1'!$V$7:$V$156&lt;&gt;"")*('반배정'!$K$7:$K$156='설정'!$B$6))/COUNTIFS('반배정'!$K$7:$K$156,'설정'!$B$6,'공수1'!$Y$7:$Y$156,"&gt;=0"),""))</f>
        <v/>
      </c>
      <c r="K24" s="42">
        <f>IF(F24="","",IFERROR(SUMPRODUCT(('공수1'!$V$7:$V$156='공수1'!$V$2)*('공수1'!$V$7:$V$156&lt;&gt;"")*('반배정'!$K$7:$K$156='설정'!$B$7))/COUNTIFS('반배정'!$K$7:$K$156,'설정'!$B$7,'공수1'!$Y$7:$Y$156,"&gt;=0"),""))</f>
        <v/>
      </c>
      <c r="L24" s="42">
        <f>IF(F24="","",IFERROR(SUMPRODUCT(('공수1'!$V$7:$V$156='공수1'!$V$2)*('공수1'!$V$7:$V$156&lt;&gt;"")*('반배정'!$K$7:$K$156='설정'!$B$8))/COUNTIFS('반배정'!$K$7:$K$156,'설정'!$B$8,'공수1'!$Y$7:$Y$156,"&gt;=0"),""))</f>
        <v/>
      </c>
      <c r="M24" s="43">
        <f>IF(OR(J24="",L24=""),"",J24-L24)</f>
        <v/>
      </c>
      <c r="N24" s="39">
        <f>IF(I24="","",IF(AND(M24&lt;&gt;"",M24&lt;0),"역변별·문항검토",IF(I24&gt;=0.9,"매우 쉬움",IF(I24&lt;=0.15,"매우 어려움",IF(AND(M24&lt;&gt;"",M24&lt;0.2),"변별력 낮음","양호")))))</f>
        <v/>
      </c>
      <c r="O24" s="44" t="inlineStr">
        <is>
          <t>-</t>
        </is>
      </c>
      <c r="P24" s="44" t="inlineStr">
        <is>
          <t>-</t>
        </is>
      </c>
      <c r="Q24" s="44" t="inlineStr">
        <is>
          <t>-</t>
        </is>
      </c>
      <c r="R24" s="44" t="inlineStr">
        <is>
          <t>-</t>
        </is>
      </c>
      <c r="S24" s="44" t="inlineStr">
        <is>
          <t>-</t>
        </is>
      </c>
    </row>
    <row r="25">
      <c r="A25" s="8" t="n">
        <v>20</v>
      </c>
      <c r="B25" s="17" t="inlineStr">
        <is>
          <t>단답형</t>
        </is>
      </c>
      <c r="C25" s="39">
        <f>'공수1'!W4</f>
        <v/>
      </c>
      <c r="D25" s="10">
        <f>'공수1'!W5</f>
        <v/>
      </c>
      <c r="E25" s="10">
        <f>'공수1'!W3</f>
        <v/>
      </c>
      <c r="F25" s="40">
        <f>IF('공수1'!$W$2="","","65")</f>
        <v/>
      </c>
      <c r="G25" s="10">
        <f>COUNT('공수1'!$Y$7:$Y$156)</f>
        <v/>
      </c>
      <c r="H25" s="10">
        <f>IF(F25="","",SUMPRODUCT(('공수1'!$W$7:$W$156='공수1'!$W$2)*('공수1'!$W$7:$W$156&lt;&gt;"")))</f>
        <v/>
      </c>
      <c r="I25" s="41">
        <f>IF(OR(F25="",G25=0),"",H25/G25)</f>
        <v/>
      </c>
      <c r="J25" s="42">
        <f>IF(F25="","",IFERROR(SUMPRODUCT(('공수1'!$W$7:$W$156='공수1'!$W$2)*('공수1'!$W$7:$W$156&lt;&gt;"")*('반배정'!$K$7:$K$156='설정'!$B$6))/COUNTIFS('반배정'!$K$7:$K$156,'설정'!$B$6,'공수1'!$Y$7:$Y$156,"&gt;=0"),""))</f>
        <v/>
      </c>
      <c r="K25" s="42">
        <f>IF(F25="","",IFERROR(SUMPRODUCT(('공수1'!$W$7:$W$156='공수1'!$W$2)*('공수1'!$W$7:$W$156&lt;&gt;"")*('반배정'!$K$7:$K$156='설정'!$B$7))/COUNTIFS('반배정'!$K$7:$K$156,'설정'!$B$7,'공수1'!$Y$7:$Y$156,"&gt;=0"),""))</f>
        <v/>
      </c>
      <c r="L25" s="42">
        <f>IF(F25="","",IFERROR(SUMPRODUCT(('공수1'!$W$7:$W$156='공수1'!$W$2)*('공수1'!$W$7:$W$156&lt;&gt;"")*('반배정'!$K$7:$K$156='설정'!$B$8))/COUNTIFS('반배정'!$K$7:$K$156,'설정'!$B$8,'공수1'!$Y$7:$Y$156,"&gt;=0"),""))</f>
        <v/>
      </c>
      <c r="M25" s="43">
        <f>IF(OR(J25="",L25=""),"",J25-L25)</f>
        <v/>
      </c>
      <c r="N25" s="39">
        <f>IF(I25="","",IF(AND(M25&lt;&gt;"",M25&lt;0),"역변별·문항검토",IF(I25&gt;=0.9,"매우 쉬움",IF(I25&lt;=0.15,"매우 어려움",IF(AND(M25&lt;&gt;"",M25&lt;0.2),"변별력 낮음","양호")))))</f>
        <v/>
      </c>
      <c r="O25" s="44" t="inlineStr">
        <is>
          <t>-</t>
        </is>
      </c>
      <c r="P25" s="44" t="inlineStr">
        <is>
          <t>-</t>
        </is>
      </c>
      <c r="Q25" s="44" t="inlineStr">
        <is>
          <t>-</t>
        </is>
      </c>
      <c r="R25" s="44" t="inlineStr">
        <is>
          <t>-</t>
        </is>
      </c>
      <c r="S25" s="44" t="inlineStr">
        <is>
          <t>-</t>
        </is>
      </c>
    </row>
    <row r="28">
      <c r="A28" s="38" t="inlineStr">
        <is>
          <t>공통수학2</t>
        </is>
      </c>
    </row>
    <row r="29" ht="30" customHeight="1">
      <c r="A29" s="4" t="inlineStr">
        <is>
          <t>문항</t>
        </is>
      </c>
      <c r="B29" s="4" t="inlineStr">
        <is>
          <t>유형</t>
        </is>
      </c>
      <c r="C29" s="4" t="inlineStr">
        <is>
          <t>단원</t>
        </is>
      </c>
      <c r="D29" s="4" t="inlineStr">
        <is>
          <t>난이도</t>
        </is>
      </c>
      <c r="E29" s="4" t="inlineStr">
        <is>
          <t>배점</t>
        </is>
      </c>
      <c r="F29" s="4" t="inlineStr">
        <is>
          <t>정답</t>
        </is>
      </c>
      <c r="G29" s="4" t="inlineStr">
        <is>
          <t>응시</t>
        </is>
      </c>
      <c r="H29" s="4" t="inlineStr">
        <is>
          <t>정답자</t>
        </is>
      </c>
      <c r="I29" s="4" t="inlineStr">
        <is>
          <t>정답률</t>
        </is>
      </c>
      <c r="J29" s="4">
        <f>'설정'!$B$6&amp;" 정답률"</f>
        <v/>
      </c>
      <c r="K29" s="4">
        <f>'설정'!$B$7&amp;" 정답률"</f>
        <v/>
      </c>
      <c r="L29" s="4">
        <f>'설정'!$B$8&amp;" 정답률"</f>
        <v/>
      </c>
      <c r="M29" s="4" t="inlineStr">
        <is>
          <t>변별도</t>
        </is>
      </c>
      <c r="N29" s="4" t="inlineStr">
        <is>
          <t>진단</t>
        </is>
      </c>
      <c r="O29" s="4" t="inlineStr">
        <is>
          <t>①</t>
        </is>
      </c>
      <c r="P29" s="4" t="inlineStr">
        <is>
          <t>②</t>
        </is>
      </c>
      <c r="Q29" s="4" t="inlineStr">
        <is>
          <t>③</t>
        </is>
      </c>
      <c r="R29" s="4" t="inlineStr">
        <is>
          <t>④</t>
        </is>
      </c>
      <c r="S29" s="4" t="inlineStr">
        <is>
          <t>⑤</t>
        </is>
      </c>
    </row>
    <row r="30">
      <c r="A30" s="8" t="n">
        <v>1</v>
      </c>
      <c r="B30" s="17" t="inlineStr">
        <is>
          <t>객관식</t>
        </is>
      </c>
      <c r="C30" s="39">
        <f>'공수2'!D4</f>
        <v/>
      </c>
      <c r="D30" s="10">
        <f>'공수2'!D5</f>
        <v/>
      </c>
      <c r="E30" s="10">
        <f>'공수2'!D3</f>
        <v/>
      </c>
      <c r="F30" s="40">
        <f>IF('공수2'!$D$2="","",'공수2'!$D$2)</f>
        <v/>
      </c>
      <c r="G30" s="10">
        <f>COUNT('공수2'!$Y$7:$Y$156)</f>
        <v/>
      </c>
      <c r="H30" s="10">
        <f>IF(F30="","",SUMPRODUCT(('공수2'!$D$7:$D$156='공수2'!$D$2)*('공수2'!$D$7:$D$156&lt;&gt;"")))</f>
        <v/>
      </c>
      <c r="I30" s="41">
        <f>IF(OR(F30="",G30=0),"",H30/G30)</f>
        <v/>
      </c>
      <c r="J30" s="42">
        <f>IF(F30="","",IFERROR(SUMPRODUCT(('공수2'!$D$7:$D$156='공수2'!$D$2)*('공수2'!$D$7:$D$156&lt;&gt;"")*('반배정'!$K$7:$K$156='설정'!$B$6))/COUNTIFS('반배정'!$K$7:$K$156,'설정'!$B$6,'공수2'!$Y$7:$Y$156,"&gt;=0"),""))</f>
        <v/>
      </c>
      <c r="K30" s="42">
        <f>IF(F30="","",IFERROR(SUMPRODUCT(('공수2'!$D$7:$D$156='공수2'!$D$2)*('공수2'!$D$7:$D$156&lt;&gt;"")*('반배정'!$K$7:$K$156='설정'!$B$7))/COUNTIFS('반배정'!$K$7:$K$156,'설정'!$B$7,'공수2'!$Y$7:$Y$156,"&gt;=0"),""))</f>
        <v/>
      </c>
      <c r="L30" s="42">
        <f>IF(F30="","",IFERROR(SUMPRODUCT(('공수2'!$D$7:$D$156='공수2'!$D$2)*('공수2'!$D$7:$D$156&lt;&gt;"")*('반배정'!$K$7:$K$156='설정'!$B$8))/COUNTIFS('반배정'!$K$7:$K$156,'설정'!$B$8,'공수2'!$Y$7:$Y$156,"&gt;=0"),""))</f>
        <v/>
      </c>
      <c r="M30" s="43">
        <f>IF(OR(J30="",L30=""),"",J30-L30)</f>
        <v/>
      </c>
      <c r="N30" s="39">
        <f>IF(I30="","",IF(AND(M30&lt;&gt;"",M30&lt;0),"역변별·문항검토",IF(I30&gt;=0.9,"매우 쉬움",IF(I30&lt;=0.15,"매우 어려움",IF(AND(M30&lt;&gt;"",M30&lt;0.2),"변별력 낮음","양호")))))</f>
        <v/>
      </c>
      <c r="O30" s="39">
        <f>IF(G30=0,"",COUNTIF('공수2'!$D$7:$D$156,1))</f>
        <v/>
      </c>
      <c r="P30" s="39">
        <f>IF(G30=0,"",COUNTIF('공수2'!$D$7:$D$156,2))</f>
        <v/>
      </c>
      <c r="Q30" s="39">
        <f>IF(G30=0,"",COUNTIF('공수2'!$D$7:$D$156,3))</f>
        <v/>
      </c>
      <c r="R30" s="39">
        <f>IF(G30=0,"",COUNTIF('공수2'!$D$7:$D$156,4))</f>
        <v/>
      </c>
      <c r="S30" s="39">
        <f>IF(G30=0,"",COUNTIF('공수2'!$D$7:$D$156,5))</f>
        <v/>
      </c>
    </row>
    <row r="31">
      <c r="A31" s="8" t="n">
        <v>2</v>
      </c>
      <c r="B31" s="17" t="inlineStr">
        <is>
          <t>객관식</t>
        </is>
      </c>
      <c r="C31" s="39">
        <f>'공수2'!E4</f>
        <v/>
      </c>
      <c r="D31" s="10">
        <f>'공수2'!E5</f>
        <v/>
      </c>
      <c r="E31" s="10">
        <f>'공수2'!E3</f>
        <v/>
      </c>
      <c r="F31" s="40">
        <f>IF('공수2'!$E$2="","",'공수2'!$E$2)</f>
        <v/>
      </c>
      <c r="G31" s="10">
        <f>COUNT('공수2'!$Y$7:$Y$156)</f>
        <v/>
      </c>
      <c r="H31" s="10">
        <f>IF(F31="","",SUMPRODUCT(('공수2'!$E$7:$E$156='공수2'!$E$2)*('공수2'!$E$7:$E$156&lt;&gt;"")))</f>
        <v/>
      </c>
      <c r="I31" s="41">
        <f>IF(OR(F31="",G31=0),"",H31/G31)</f>
        <v/>
      </c>
      <c r="J31" s="42">
        <f>IF(F31="","",IFERROR(SUMPRODUCT(('공수2'!$E$7:$E$156='공수2'!$E$2)*('공수2'!$E$7:$E$156&lt;&gt;"")*('반배정'!$K$7:$K$156='설정'!$B$6))/COUNTIFS('반배정'!$K$7:$K$156,'설정'!$B$6,'공수2'!$Y$7:$Y$156,"&gt;=0"),""))</f>
        <v/>
      </c>
      <c r="K31" s="42">
        <f>IF(F31="","",IFERROR(SUMPRODUCT(('공수2'!$E$7:$E$156='공수2'!$E$2)*('공수2'!$E$7:$E$156&lt;&gt;"")*('반배정'!$K$7:$K$156='설정'!$B$7))/COUNTIFS('반배정'!$K$7:$K$156,'설정'!$B$7,'공수2'!$Y$7:$Y$156,"&gt;=0"),""))</f>
        <v/>
      </c>
      <c r="L31" s="42">
        <f>IF(F31="","",IFERROR(SUMPRODUCT(('공수2'!$E$7:$E$156='공수2'!$E$2)*('공수2'!$E$7:$E$156&lt;&gt;"")*('반배정'!$K$7:$K$156='설정'!$B$8))/COUNTIFS('반배정'!$K$7:$K$156,'설정'!$B$8,'공수2'!$Y$7:$Y$156,"&gt;=0"),""))</f>
        <v/>
      </c>
      <c r="M31" s="43">
        <f>IF(OR(J31="",L31=""),"",J31-L31)</f>
        <v/>
      </c>
      <c r="N31" s="39">
        <f>IF(I31="","",IF(AND(M31&lt;&gt;"",M31&lt;0),"역변별·문항검토",IF(I31&gt;=0.9,"매우 쉬움",IF(I31&lt;=0.15,"매우 어려움",IF(AND(M31&lt;&gt;"",M31&lt;0.2),"변별력 낮음","양호")))))</f>
        <v/>
      </c>
      <c r="O31" s="39">
        <f>IF(G31=0,"",COUNTIF('공수2'!$E$7:$E$156,1))</f>
        <v/>
      </c>
      <c r="P31" s="39">
        <f>IF(G31=0,"",COUNTIF('공수2'!$E$7:$E$156,2))</f>
        <v/>
      </c>
      <c r="Q31" s="39">
        <f>IF(G31=0,"",COUNTIF('공수2'!$E$7:$E$156,3))</f>
        <v/>
      </c>
      <c r="R31" s="39">
        <f>IF(G31=0,"",COUNTIF('공수2'!$E$7:$E$156,4))</f>
        <v/>
      </c>
      <c r="S31" s="39">
        <f>IF(G31=0,"",COUNTIF('공수2'!$E$7:$E$156,5))</f>
        <v/>
      </c>
    </row>
    <row r="32">
      <c r="A32" s="8" t="n">
        <v>3</v>
      </c>
      <c r="B32" s="17" t="inlineStr">
        <is>
          <t>객관식</t>
        </is>
      </c>
      <c r="C32" s="39">
        <f>'공수2'!F4</f>
        <v/>
      </c>
      <c r="D32" s="10">
        <f>'공수2'!F5</f>
        <v/>
      </c>
      <c r="E32" s="10">
        <f>'공수2'!F3</f>
        <v/>
      </c>
      <c r="F32" s="40">
        <f>IF('공수2'!$F$2="","",'공수2'!$F$2)</f>
        <v/>
      </c>
      <c r="G32" s="10">
        <f>COUNT('공수2'!$Y$7:$Y$156)</f>
        <v/>
      </c>
      <c r="H32" s="10">
        <f>IF(F32="","",SUMPRODUCT(('공수2'!$F$7:$F$156='공수2'!$F$2)*('공수2'!$F$7:$F$156&lt;&gt;"")))</f>
        <v/>
      </c>
      <c r="I32" s="41">
        <f>IF(OR(F32="",G32=0),"",H32/G32)</f>
        <v/>
      </c>
      <c r="J32" s="42">
        <f>IF(F32="","",IFERROR(SUMPRODUCT(('공수2'!$F$7:$F$156='공수2'!$F$2)*('공수2'!$F$7:$F$156&lt;&gt;"")*('반배정'!$K$7:$K$156='설정'!$B$6))/COUNTIFS('반배정'!$K$7:$K$156,'설정'!$B$6,'공수2'!$Y$7:$Y$156,"&gt;=0"),""))</f>
        <v/>
      </c>
      <c r="K32" s="42">
        <f>IF(F32="","",IFERROR(SUMPRODUCT(('공수2'!$F$7:$F$156='공수2'!$F$2)*('공수2'!$F$7:$F$156&lt;&gt;"")*('반배정'!$K$7:$K$156='설정'!$B$7))/COUNTIFS('반배정'!$K$7:$K$156,'설정'!$B$7,'공수2'!$Y$7:$Y$156,"&gt;=0"),""))</f>
        <v/>
      </c>
      <c r="L32" s="42">
        <f>IF(F32="","",IFERROR(SUMPRODUCT(('공수2'!$F$7:$F$156='공수2'!$F$2)*('공수2'!$F$7:$F$156&lt;&gt;"")*('반배정'!$K$7:$K$156='설정'!$B$8))/COUNTIFS('반배정'!$K$7:$K$156,'설정'!$B$8,'공수2'!$Y$7:$Y$156,"&gt;=0"),""))</f>
        <v/>
      </c>
      <c r="M32" s="43">
        <f>IF(OR(J32="",L32=""),"",J32-L32)</f>
        <v/>
      </c>
      <c r="N32" s="39">
        <f>IF(I32="","",IF(AND(M32&lt;&gt;"",M32&lt;0),"역변별·문항검토",IF(I32&gt;=0.9,"매우 쉬움",IF(I32&lt;=0.15,"매우 어려움",IF(AND(M32&lt;&gt;"",M32&lt;0.2),"변별력 낮음","양호")))))</f>
        <v/>
      </c>
      <c r="O32" s="39">
        <f>IF(G32=0,"",COUNTIF('공수2'!$F$7:$F$156,1))</f>
        <v/>
      </c>
      <c r="P32" s="39">
        <f>IF(G32=0,"",COUNTIF('공수2'!$F$7:$F$156,2))</f>
        <v/>
      </c>
      <c r="Q32" s="39">
        <f>IF(G32=0,"",COUNTIF('공수2'!$F$7:$F$156,3))</f>
        <v/>
      </c>
      <c r="R32" s="39">
        <f>IF(G32=0,"",COUNTIF('공수2'!$F$7:$F$156,4))</f>
        <v/>
      </c>
      <c r="S32" s="39">
        <f>IF(G32=0,"",COUNTIF('공수2'!$F$7:$F$156,5))</f>
        <v/>
      </c>
    </row>
    <row r="33">
      <c r="A33" s="8" t="n">
        <v>4</v>
      </c>
      <c r="B33" s="17" t="inlineStr">
        <is>
          <t>객관식</t>
        </is>
      </c>
      <c r="C33" s="39">
        <f>'공수2'!G4</f>
        <v/>
      </c>
      <c r="D33" s="10">
        <f>'공수2'!G5</f>
        <v/>
      </c>
      <c r="E33" s="10">
        <f>'공수2'!G3</f>
        <v/>
      </c>
      <c r="F33" s="40">
        <f>IF('공수2'!$G$2="","",'공수2'!$G$2)</f>
        <v/>
      </c>
      <c r="G33" s="10">
        <f>COUNT('공수2'!$Y$7:$Y$156)</f>
        <v/>
      </c>
      <c r="H33" s="10">
        <f>IF(F33="","",SUMPRODUCT(('공수2'!$G$7:$G$156='공수2'!$G$2)*('공수2'!$G$7:$G$156&lt;&gt;"")))</f>
        <v/>
      </c>
      <c r="I33" s="41">
        <f>IF(OR(F33="",G33=0),"",H33/G33)</f>
        <v/>
      </c>
      <c r="J33" s="42">
        <f>IF(F33="","",IFERROR(SUMPRODUCT(('공수2'!$G$7:$G$156='공수2'!$G$2)*('공수2'!$G$7:$G$156&lt;&gt;"")*('반배정'!$K$7:$K$156='설정'!$B$6))/COUNTIFS('반배정'!$K$7:$K$156,'설정'!$B$6,'공수2'!$Y$7:$Y$156,"&gt;=0"),""))</f>
        <v/>
      </c>
      <c r="K33" s="42">
        <f>IF(F33="","",IFERROR(SUMPRODUCT(('공수2'!$G$7:$G$156='공수2'!$G$2)*('공수2'!$G$7:$G$156&lt;&gt;"")*('반배정'!$K$7:$K$156='설정'!$B$7))/COUNTIFS('반배정'!$K$7:$K$156,'설정'!$B$7,'공수2'!$Y$7:$Y$156,"&gt;=0"),""))</f>
        <v/>
      </c>
      <c r="L33" s="42">
        <f>IF(F33="","",IFERROR(SUMPRODUCT(('공수2'!$G$7:$G$156='공수2'!$G$2)*('공수2'!$G$7:$G$156&lt;&gt;"")*('반배정'!$K$7:$K$156='설정'!$B$8))/COUNTIFS('반배정'!$K$7:$K$156,'설정'!$B$8,'공수2'!$Y$7:$Y$156,"&gt;=0"),""))</f>
        <v/>
      </c>
      <c r="M33" s="43">
        <f>IF(OR(J33="",L33=""),"",J33-L33)</f>
        <v/>
      </c>
      <c r="N33" s="39">
        <f>IF(I33="","",IF(AND(M33&lt;&gt;"",M33&lt;0),"역변별·문항검토",IF(I33&gt;=0.9,"매우 쉬움",IF(I33&lt;=0.15,"매우 어려움",IF(AND(M33&lt;&gt;"",M33&lt;0.2),"변별력 낮음","양호")))))</f>
        <v/>
      </c>
      <c r="O33" s="39">
        <f>IF(G33=0,"",COUNTIF('공수2'!$G$7:$G$156,1))</f>
        <v/>
      </c>
      <c r="P33" s="39">
        <f>IF(G33=0,"",COUNTIF('공수2'!$G$7:$G$156,2))</f>
        <v/>
      </c>
      <c r="Q33" s="39">
        <f>IF(G33=0,"",COUNTIF('공수2'!$G$7:$G$156,3))</f>
        <v/>
      </c>
      <c r="R33" s="39">
        <f>IF(G33=0,"",COUNTIF('공수2'!$G$7:$G$156,4))</f>
        <v/>
      </c>
      <c r="S33" s="39">
        <f>IF(G33=0,"",COUNTIF('공수2'!$G$7:$G$156,5))</f>
        <v/>
      </c>
    </row>
    <row r="34">
      <c r="A34" s="8" t="n">
        <v>5</v>
      </c>
      <c r="B34" s="17" t="inlineStr">
        <is>
          <t>객관식</t>
        </is>
      </c>
      <c r="C34" s="39">
        <f>'공수2'!H4</f>
        <v/>
      </c>
      <c r="D34" s="10">
        <f>'공수2'!H5</f>
        <v/>
      </c>
      <c r="E34" s="10">
        <f>'공수2'!H3</f>
        <v/>
      </c>
      <c r="F34" s="40">
        <f>IF('공수2'!$H$2="","",'공수2'!$H$2)</f>
        <v/>
      </c>
      <c r="G34" s="10">
        <f>COUNT('공수2'!$Y$7:$Y$156)</f>
        <v/>
      </c>
      <c r="H34" s="10">
        <f>IF(F34="","",SUMPRODUCT(('공수2'!$H$7:$H$156='공수2'!$H$2)*('공수2'!$H$7:$H$156&lt;&gt;"")))</f>
        <v/>
      </c>
      <c r="I34" s="41">
        <f>IF(OR(F34="",G34=0),"",H34/G34)</f>
        <v/>
      </c>
      <c r="J34" s="42">
        <f>IF(F34="","",IFERROR(SUMPRODUCT(('공수2'!$H$7:$H$156='공수2'!$H$2)*('공수2'!$H$7:$H$156&lt;&gt;"")*('반배정'!$K$7:$K$156='설정'!$B$6))/COUNTIFS('반배정'!$K$7:$K$156,'설정'!$B$6,'공수2'!$Y$7:$Y$156,"&gt;=0"),""))</f>
        <v/>
      </c>
      <c r="K34" s="42">
        <f>IF(F34="","",IFERROR(SUMPRODUCT(('공수2'!$H$7:$H$156='공수2'!$H$2)*('공수2'!$H$7:$H$156&lt;&gt;"")*('반배정'!$K$7:$K$156='설정'!$B$7))/COUNTIFS('반배정'!$K$7:$K$156,'설정'!$B$7,'공수2'!$Y$7:$Y$156,"&gt;=0"),""))</f>
        <v/>
      </c>
      <c r="L34" s="42">
        <f>IF(F34="","",IFERROR(SUMPRODUCT(('공수2'!$H$7:$H$156='공수2'!$H$2)*('공수2'!$H$7:$H$156&lt;&gt;"")*('반배정'!$K$7:$K$156='설정'!$B$8))/COUNTIFS('반배정'!$K$7:$K$156,'설정'!$B$8,'공수2'!$Y$7:$Y$156,"&gt;=0"),""))</f>
        <v/>
      </c>
      <c r="M34" s="43">
        <f>IF(OR(J34="",L34=""),"",J34-L34)</f>
        <v/>
      </c>
      <c r="N34" s="39">
        <f>IF(I34="","",IF(AND(M34&lt;&gt;"",M34&lt;0),"역변별·문항검토",IF(I34&gt;=0.9,"매우 쉬움",IF(I34&lt;=0.15,"매우 어려움",IF(AND(M34&lt;&gt;"",M34&lt;0.2),"변별력 낮음","양호")))))</f>
        <v/>
      </c>
      <c r="O34" s="39">
        <f>IF(G34=0,"",COUNTIF('공수2'!$H$7:$H$156,1))</f>
        <v/>
      </c>
      <c r="P34" s="39">
        <f>IF(G34=0,"",COUNTIF('공수2'!$H$7:$H$156,2))</f>
        <v/>
      </c>
      <c r="Q34" s="39">
        <f>IF(G34=0,"",COUNTIF('공수2'!$H$7:$H$156,3))</f>
        <v/>
      </c>
      <c r="R34" s="39">
        <f>IF(G34=0,"",COUNTIF('공수2'!$H$7:$H$156,4))</f>
        <v/>
      </c>
      <c r="S34" s="39">
        <f>IF(G34=0,"",COUNTIF('공수2'!$H$7:$H$156,5))</f>
        <v/>
      </c>
    </row>
    <row r="35">
      <c r="A35" s="8" t="n">
        <v>6</v>
      </c>
      <c r="B35" s="17" t="inlineStr">
        <is>
          <t>객관식</t>
        </is>
      </c>
      <c r="C35" s="39">
        <f>'공수2'!I4</f>
        <v/>
      </c>
      <c r="D35" s="10">
        <f>'공수2'!I5</f>
        <v/>
      </c>
      <c r="E35" s="10">
        <f>'공수2'!I3</f>
        <v/>
      </c>
      <c r="F35" s="40">
        <f>IF('공수2'!$I$2="","",'공수2'!$I$2)</f>
        <v/>
      </c>
      <c r="G35" s="10">
        <f>COUNT('공수2'!$Y$7:$Y$156)</f>
        <v/>
      </c>
      <c r="H35" s="10">
        <f>IF(F35="","",SUMPRODUCT(('공수2'!$I$7:$I$156='공수2'!$I$2)*('공수2'!$I$7:$I$156&lt;&gt;"")))</f>
        <v/>
      </c>
      <c r="I35" s="41">
        <f>IF(OR(F35="",G35=0),"",H35/G35)</f>
        <v/>
      </c>
      <c r="J35" s="42">
        <f>IF(F35="","",IFERROR(SUMPRODUCT(('공수2'!$I$7:$I$156='공수2'!$I$2)*('공수2'!$I$7:$I$156&lt;&gt;"")*('반배정'!$K$7:$K$156='설정'!$B$6))/COUNTIFS('반배정'!$K$7:$K$156,'설정'!$B$6,'공수2'!$Y$7:$Y$156,"&gt;=0"),""))</f>
        <v/>
      </c>
      <c r="K35" s="42">
        <f>IF(F35="","",IFERROR(SUMPRODUCT(('공수2'!$I$7:$I$156='공수2'!$I$2)*('공수2'!$I$7:$I$156&lt;&gt;"")*('반배정'!$K$7:$K$156='설정'!$B$7))/COUNTIFS('반배정'!$K$7:$K$156,'설정'!$B$7,'공수2'!$Y$7:$Y$156,"&gt;=0"),""))</f>
        <v/>
      </c>
      <c r="L35" s="42">
        <f>IF(F35="","",IFERROR(SUMPRODUCT(('공수2'!$I$7:$I$156='공수2'!$I$2)*('공수2'!$I$7:$I$156&lt;&gt;"")*('반배정'!$K$7:$K$156='설정'!$B$8))/COUNTIFS('반배정'!$K$7:$K$156,'설정'!$B$8,'공수2'!$Y$7:$Y$156,"&gt;=0"),""))</f>
        <v/>
      </c>
      <c r="M35" s="43">
        <f>IF(OR(J35="",L35=""),"",J35-L35)</f>
        <v/>
      </c>
      <c r="N35" s="39">
        <f>IF(I35="","",IF(AND(M35&lt;&gt;"",M35&lt;0),"역변별·문항검토",IF(I35&gt;=0.9,"매우 쉬움",IF(I35&lt;=0.15,"매우 어려움",IF(AND(M35&lt;&gt;"",M35&lt;0.2),"변별력 낮음","양호")))))</f>
        <v/>
      </c>
      <c r="O35" s="39">
        <f>IF(G35=0,"",COUNTIF('공수2'!$I$7:$I$156,1))</f>
        <v/>
      </c>
      <c r="P35" s="39">
        <f>IF(G35=0,"",COUNTIF('공수2'!$I$7:$I$156,2))</f>
        <v/>
      </c>
      <c r="Q35" s="39">
        <f>IF(G35=0,"",COUNTIF('공수2'!$I$7:$I$156,3))</f>
        <v/>
      </c>
      <c r="R35" s="39">
        <f>IF(G35=0,"",COUNTIF('공수2'!$I$7:$I$156,4))</f>
        <v/>
      </c>
      <c r="S35" s="39">
        <f>IF(G35=0,"",COUNTIF('공수2'!$I$7:$I$156,5))</f>
        <v/>
      </c>
    </row>
    <row r="36">
      <c r="A36" s="8" t="n">
        <v>7</v>
      </c>
      <c r="B36" s="17" t="inlineStr">
        <is>
          <t>객관식</t>
        </is>
      </c>
      <c r="C36" s="39">
        <f>'공수2'!J4</f>
        <v/>
      </c>
      <c r="D36" s="10">
        <f>'공수2'!J5</f>
        <v/>
      </c>
      <c r="E36" s="10">
        <f>'공수2'!J3</f>
        <v/>
      </c>
      <c r="F36" s="40">
        <f>IF('공수2'!$J$2="","",'공수2'!$J$2)</f>
        <v/>
      </c>
      <c r="G36" s="10">
        <f>COUNT('공수2'!$Y$7:$Y$156)</f>
        <v/>
      </c>
      <c r="H36" s="10">
        <f>IF(F36="","",SUMPRODUCT(('공수2'!$J$7:$J$156='공수2'!$J$2)*('공수2'!$J$7:$J$156&lt;&gt;"")))</f>
        <v/>
      </c>
      <c r="I36" s="41">
        <f>IF(OR(F36="",G36=0),"",H36/G36)</f>
        <v/>
      </c>
      <c r="J36" s="42">
        <f>IF(F36="","",IFERROR(SUMPRODUCT(('공수2'!$J$7:$J$156='공수2'!$J$2)*('공수2'!$J$7:$J$156&lt;&gt;"")*('반배정'!$K$7:$K$156='설정'!$B$6))/COUNTIFS('반배정'!$K$7:$K$156,'설정'!$B$6,'공수2'!$Y$7:$Y$156,"&gt;=0"),""))</f>
        <v/>
      </c>
      <c r="K36" s="42">
        <f>IF(F36="","",IFERROR(SUMPRODUCT(('공수2'!$J$7:$J$156='공수2'!$J$2)*('공수2'!$J$7:$J$156&lt;&gt;"")*('반배정'!$K$7:$K$156='설정'!$B$7))/COUNTIFS('반배정'!$K$7:$K$156,'설정'!$B$7,'공수2'!$Y$7:$Y$156,"&gt;=0"),""))</f>
        <v/>
      </c>
      <c r="L36" s="42">
        <f>IF(F36="","",IFERROR(SUMPRODUCT(('공수2'!$J$7:$J$156='공수2'!$J$2)*('공수2'!$J$7:$J$156&lt;&gt;"")*('반배정'!$K$7:$K$156='설정'!$B$8))/COUNTIFS('반배정'!$K$7:$K$156,'설정'!$B$8,'공수2'!$Y$7:$Y$156,"&gt;=0"),""))</f>
        <v/>
      </c>
      <c r="M36" s="43">
        <f>IF(OR(J36="",L36=""),"",J36-L36)</f>
        <v/>
      </c>
      <c r="N36" s="39">
        <f>IF(I36="","",IF(AND(M36&lt;&gt;"",M36&lt;0),"역변별·문항검토",IF(I36&gt;=0.9,"매우 쉬움",IF(I36&lt;=0.15,"매우 어려움",IF(AND(M36&lt;&gt;"",M36&lt;0.2),"변별력 낮음","양호")))))</f>
        <v/>
      </c>
      <c r="O36" s="39">
        <f>IF(G36=0,"",COUNTIF('공수2'!$J$7:$J$156,1))</f>
        <v/>
      </c>
      <c r="P36" s="39">
        <f>IF(G36=0,"",COUNTIF('공수2'!$J$7:$J$156,2))</f>
        <v/>
      </c>
      <c r="Q36" s="39">
        <f>IF(G36=0,"",COUNTIF('공수2'!$J$7:$J$156,3))</f>
        <v/>
      </c>
      <c r="R36" s="39">
        <f>IF(G36=0,"",COUNTIF('공수2'!$J$7:$J$156,4))</f>
        <v/>
      </c>
      <c r="S36" s="39">
        <f>IF(G36=0,"",COUNTIF('공수2'!$J$7:$J$156,5))</f>
        <v/>
      </c>
    </row>
    <row r="37">
      <c r="A37" s="8" t="n">
        <v>8</v>
      </c>
      <c r="B37" s="17" t="inlineStr">
        <is>
          <t>객관식</t>
        </is>
      </c>
      <c r="C37" s="39">
        <f>'공수2'!K4</f>
        <v/>
      </c>
      <c r="D37" s="10">
        <f>'공수2'!K5</f>
        <v/>
      </c>
      <c r="E37" s="10">
        <f>'공수2'!K3</f>
        <v/>
      </c>
      <c r="F37" s="40">
        <f>IF('공수2'!$K$2="","",'공수2'!$K$2)</f>
        <v/>
      </c>
      <c r="G37" s="10">
        <f>COUNT('공수2'!$Y$7:$Y$156)</f>
        <v/>
      </c>
      <c r="H37" s="10">
        <f>IF(F37="","",SUMPRODUCT(('공수2'!$K$7:$K$156='공수2'!$K$2)*('공수2'!$K$7:$K$156&lt;&gt;"")))</f>
        <v/>
      </c>
      <c r="I37" s="41">
        <f>IF(OR(F37="",G37=0),"",H37/G37)</f>
        <v/>
      </c>
      <c r="J37" s="42">
        <f>IF(F37="","",IFERROR(SUMPRODUCT(('공수2'!$K$7:$K$156='공수2'!$K$2)*('공수2'!$K$7:$K$156&lt;&gt;"")*('반배정'!$K$7:$K$156='설정'!$B$6))/COUNTIFS('반배정'!$K$7:$K$156,'설정'!$B$6,'공수2'!$Y$7:$Y$156,"&gt;=0"),""))</f>
        <v/>
      </c>
      <c r="K37" s="42">
        <f>IF(F37="","",IFERROR(SUMPRODUCT(('공수2'!$K$7:$K$156='공수2'!$K$2)*('공수2'!$K$7:$K$156&lt;&gt;"")*('반배정'!$K$7:$K$156='설정'!$B$7))/COUNTIFS('반배정'!$K$7:$K$156,'설정'!$B$7,'공수2'!$Y$7:$Y$156,"&gt;=0"),""))</f>
        <v/>
      </c>
      <c r="L37" s="42">
        <f>IF(F37="","",IFERROR(SUMPRODUCT(('공수2'!$K$7:$K$156='공수2'!$K$2)*('공수2'!$K$7:$K$156&lt;&gt;"")*('반배정'!$K$7:$K$156='설정'!$B$8))/COUNTIFS('반배정'!$K$7:$K$156,'설정'!$B$8,'공수2'!$Y$7:$Y$156,"&gt;=0"),""))</f>
        <v/>
      </c>
      <c r="M37" s="43">
        <f>IF(OR(J37="",L37=""),"",J37-L37)</f>
        <v/>
      </c>
      <c r="N37" s="39">
        <f>IF(I37="","",IF(AND(M37&lt;&gt;"",M37&lt;0),"역변별·문항검토",IF(I37&gt;=0.9,"매우 쉬움",IF(I37&lt;=0.15,"매우 어려움",IF(AND(M37&lt;&gt;"",M37&lt;0.2),"변별력 낮음","양호")))))</f>
        <v/>
      </c>
      <c r="O37" s="39">
        <f>IF(G37=0,"",COUNTIF('공수2'!$K$7:$K$156,1))</f>
        <v/>
      </c>
      <c r="P37" s="39">
        <f>IF(G37=0,"",COUNTIF('공수2'!$K$7:$K$156,2))</f>
        <v/>
      </c>
      <c r="Q37" s="39">
        <f>IF(G37=0,"",COUNTIF('공수2'!$K$7:$K$156,3))</f>
        <v/>
      </c>
      <c r="R37" s="39">
        <f>IF(G37=0,"",COUNTIF('공수2'!$K$7:$K$156,4))</f>
        <v/>
      </c>
      <c r="S37" s="39">
        <f>IF(G37=0,"",COUNTIF('공수2'!$K$7:$K$156,5))</f>
        <v/>
      </c>
    </row>
    <row r="38">
      <c r="A38" s="8" t="n">
        <v>9</v>
      </c>
      <c r="B38" s="17" t="inlineStr">
        <is>
          <t>객관식</t>
        </is>
      </c>
      <c r="C38" s="39">
        <f>'공수2'!L4</f>
        <v/>
      </c>
      <c r="D38" s="10">
        <f>'공수2'!L5</f>
        <v/>
      </c>
      <c r="E38" s="10">
        <f>'공수2'!L3</f>
        <v/>
      </c>
      <c r="F38" s="40">
        <f>IF('공수2'!$L$2="","",'공수2'!$L$2)</f>
        <v/>
      </c>
      <c r="G38" s="10">
        <f>COUNT('공수2'!$Y$7:$Y$156)</f>
        <v/>
      </c>
      <c r="H38" s="10">
        <f>IF(F38="","",SUMPRODUCT(('공수2'!$L$7:$L$156='공수2'!$L$2)*('공수2'!$L$7:$L$156&lt;&gt;"")))</f>
        <v/>
      </c>
      <c r="I38" s="41">
        <f>IF(OR(F38="",G38=0),"",H38/G38)</f>
        <v/>
      </c>
      <c r="J38" s="42">
        <f>IF(F38="","",IFERROR(SUMPRODUCT(('공수2'!$L$7:$L$156='공수2'!$L$2)*('공수2'!$L$7:$L$156&lt;&gt;"")*('반배정'!$K$7:$K$156='설정'!$B$6))/COUNTIFS('반배정'!$K$7:$K$156,'설정'!$B$6,'공수2'!$Y$7:$Y$156,"&gt;=0"),""))</f>
        <v/>
      </c>
      <c r="K38" s="42">
        <f>IF(F38="","",IFERROR(SUMPRODUCT(('공수2'!$L$7:$L$156='공수2'!$L$2)*('공수2'!$L$7:$L$156&lt;&gt;"")*('반배정'!$K$7:$K$156='설정'!$B$7))/COUNTIFS('반배정'!$K$7:$K$156,'설정'!$B$7,'공수2'!$Y$7:$Y$156,"&gt;=0"),""))</f>
        <v/>
      </c>
      <c r="L38" s="42">
        <f>IF(F38="","",IFERROR(SUMPRODUCT(('공수2'!$L$7:$L$156='공수2'!$L$2)*('공수2'!$L$7:$L$156&lt;&gt;"")*('반배정'!$K$7:$K$156='설정'!$B$8))/COUNTIFS('반배정'!$K$7:$K$156,'설정'!$B$8,'공수2'!$Y$7:$Y$156,"&gt;=0"),""))</f>
        <v/>
      </c>
      <c r="M38" s="43">
        <f>IF(OR(J38="",L38=""),"",J38-L38)</f>
        <v/>
      </c>
      <c r="N38" s="39">
        <f>IF(I38="","",IF(AND(M38&lt;&gt;"",M38&lt;0),"역변별·문항검토",IF(I38&gt;=0.9,"매우 쉬움",IF(I38&lt;=0.15,"매우 어려움",IF(AND(M38&lt;&gt;"",M38&lt;0.2),"변별력 낮음","양호")))))</f>
        <v/>
      </c>
      <c r="O38" s="39">
        <f>IF(G38=0,"",COUNTIF('공수2'!$L$7:$L$156,1))</f>
        <v/>
      </c>
      <c r="P38" s="39">
        <f>IF(G38=0,"",COUNTIF('공수2'!$L$7:$L$156,2))</f>
        <v/>
      </c>
      <c r="Q38" s="39">
        <f>IF(G38=0,"",COUNTIF('공수2'!$L$7:$L$156,3))</f>
        <v/>
      </c>
      <c r="R38" s="39">
        <f>IF(G38=0,"",COUNTIF('공수2'!$L$7:$L$156,4))</f>
        <v/>
      </c>
      <c r="S38" s="39">
        <f>IF(G38=0,"",COUNTIF('공수2'!$L$7:$L$156,5))</f>
        <v/>
      </c>
    </row>
    <row r="39">
      <c r="A39" s="8" t="n">
        <v>10</v>
      </c>
      <c r="B39" s="17" t="inlineStr">
        <is>
          <t>객관식</t>
        </is>
      </c>
      <c r="C39" s="39">
        <f>'공수2'!M4</f>
        <v/>
      </c>
      <c r="D39" s="10">
        <f>'공수2'!M5</f>
        <v/>
      </c>
      <c r="E39" s="10">
        <f>'공수2'!M3</f>
        <v/>
      </c>
      <c r="F39" s="40">
        <f>IF('공수2'!$M$2="","",'공수2'!$M$2)</f>
        <v/>
      </c>
      <c r="G39" s="10">
        <f>COUNT('공수2'!$Y$7:$Y$156)</f>
        <v/>
      </c>
      <c r="H39" s="10">
        <f>IF(F39="","",SUMPRODUCT(('공수2'!$M$7:$M$156='공수2'!$M$2)*('공수2'!$M$7:$M$156&lt;&gt;"")))</f>
        <v/>
      </c>
      <c r="I39" s="41">
        <f>IF(OR(F39="",G39=0),"",H39/G39)</f>
        <v/>
      </c>
      <c r="J39" s="42">
        <f>IF(F39="","",IFERROR(SUMPRODUCT(('공수2'!$M$7:$M$156='공수2'!$M$2)*('공수2'!$M$7:$M$156&lt;&gt;"")*('반배정'!$K$7:$K$156='설정'!$B$6))/COUNTIFS('반배정'!$K$7:$K$156,'설정'!$B$6,'공수2'!$Y$7:$Y$156,"&gt;=0"),""))</f>
        <v/>
      </c>
      <c r="K39" s="42">
        <f>IF(F39="","",IFERROR(SUMPRODUCT(('공수2'!$M$7:$M$156='공수2'!$M$2)*('공수2'!$M$7:$M$156&lt;&gt;"")*('반배정'!$K$7:$K$156='설정'!$B$7))/COUNTIFS('반배정'!$K$7:$K$156,'설정'!$B$7,'공수2'!$Y$7:$Y$156,"&gt;=0"),""))</f>
        <v/>
      </c>
      <c r="L39" s="42">
        <f>IF(F39="","",IFERROR(SUMPRODUCT(('공수2'!$M$7:$M$156='공수2'!$M$2)*('공수2'!$M$7:$M$156&lt;&gt;"")*('반배정'!$K$7:$K$156='설정'!$B$8))/COUNTIFS('반배정'!$K$7:$K$156,'설정'!$B$8,'공수2'!$Y$7:$Y$156,"&gt;=0"),""))</f>
        <v/>
      </c>
      <c r="M39" s="43">
        <f>IF(OR(J39="",L39=""),"",J39-L39)</f>
        <v/>
      </c>
      <c r="N39" s="39">
        <f>IF(I39="","",IF(AND(M39&lt;&gt;"",M39&lt;0),"역변별·문항검토",IF(I39&gt;=0.9,"매우 쉬움",IF(I39&lt;=0.15,"매우 어려움",IF(AND(M39&lt;&gt;"",M39&lt;0.2),"변별력 낮음","양호")))))</f>
        <v/>
      </c>
      <c r="O39" s="39">
        <f>IF(G39=0,"",COUNTIF('공수2'!$M$7:$M$156,1))</f>
        <v/>
      </c>
      <c r="P39" s="39">
        <f>IF(G39=0,"",COUNTIF('공수2'!$M$7:$M$156,2))</f>
        <v/>
      </c>
      <c r="Q39" s="39">
        <f>IF(G39=0,"",COUNTIF('공수2'!$M$7:$M$156,3))</f>
        <v/>
      </c>
      <c r="R39" s="39">
        <f>IF(G39=0,"",COUNTIF('공수2'!$M$7:$M$156,4))</f>
        <v/>
      </c>
      <c r="S39" s="39">
        <f>IF(G39=0,"",COUNTIF('공수2'!$M$7:$M$156,5))</f>
        <v/>
      </c>
    </row>
    <row r="40">
      <c r="A40" s="8" t="n">
        <v>11</v>
      </c>
      <c r="B40" s="17" t="inlineStr">
        <is>
          <t>객관식</t>
        </is>
      </c>
      <c r="C40" s="39">
        <f>'공수2'!N4</f>
        <v/>
      </c>
      <c r="D40" s="10">
        <f>'공수2'!N5</f>
        <v/>
      </c>
      <c r="E40" s="10">
        <f>'공수2'!N3</f>
        <v/>
      </c>
      <c r="F40" s="40">
        <f>IF('공수2'!$N$2="","",'공수2'!$N$2)</f>
        <v/>
      </c>
      <c r="G40" s="10">
        <f>COUNT('공수2'!$Y$7:$Y$156)</f>
        <v/>
      </c>
      <c r="H40" s="10">
        <f>IF(F40="","",SUMPRODUCT(('공수2'!$N$7:$N$156='공수2'!$N$2)*('공수2'!$N$7:$N$156&lt;&gt;"")))</f>
        <v/>
      </c>
      <c r="I40" s="41">
        <f>IF(OR(F40="",G40=0),"",H40/G40)</f>
        <v/>
      </c>
      <c r="J40" s="42">
        <f>IF(F40="","",IFERROR(SUMPRODUCT(('공수2'!$N$7:$N$156='공수2'!$N$2)*('공수2'!$N$7:$N$156&lt;&gt;"")*('반배정'!$K$7:$K$156='설정'!$B$6))/COUNTIFS('반배정'!$K$7:$K$156,'설정'!$B$6,'공수2'!$Y$7:$Y$156,"&gt;=0"),""))</f>
        <v/>
      </c>
      <c r="K40" s="42">
        <f>IF(F40="","",IFERROR(SUMPRODUCT(('공수2'!$N$7:$N$156='공수2'!$N$2)*('공수2'!$N$7:$N$156&lt;&gt;"")*('반배정'!$K$7:$K$156='설정'!$B$7))/COUNTIFS('반배정'!$K$7:$K$156,'설정'!$B$7,'공수2'!$Y$7:$Y$156,"&gt;=0"),""))</f>
        <v/>
      </c>
      <c r="L40" s="42">
        <f>IF(F40="","",IFERROR(SUMPRODUCT(('공수2'!$N$7:$N$156='공수2'!$N$2)*('공수2'!$N$7:$N$156&lt;&gt;"")*('반배정'!$K$7:$K$156='설정'!$B$8))/COUNTIFS('반배정'!$K$7:$K$156,'설정'!$B$8,'공수2'!$Y$7:$Y$156,"&gt;=0"),""))</f>
        <v/>
      </c>
      <c r="M40" s="43">
        <f>IF(OR(J40="",L40=""),"",J40-L40)</f>
        <v/>
      </c>
      <c r="N40" s="39">
        <f>IF(I40="","",IF(AND(M40&lt;&gt;"",M40&lt;0),"역변별·문항검토",IF(I40&gt;=0.9,"매우 쉬움",IF(I40&lt;=0.15,"매우 어려움",IF(AND(M40&lt;&gt;"",M40&lt;0.2),"변별력 낮음","양호")))))</f>
        <v/>
      </c>
      <c r="O40" s="39">
        <f>IF(G40=0,"",COUNTIF('공수2'!$N$7:$N$156,1))</f>
        <v/>
      </c>
      <c r="P40" s="39">
        <f>IF(G40=0,"",COUNTIF('공수2'!$N$7:$N$156,2))</f>
        <v/>
      </c>
      <c r="Q40" s="39">
        <f>IF(G40=0,"",COUNTIF('공수2'!$N$7:$N$156,3))</f>
        <v/>
      </c>
      <c r="R40" s="39">
        <f>IF(G40=0,"",COUNTIF('공수2'!$N$7:$N$156,4))</f>
        <v/>
      </c>
      <c r="S40" s="39">
        <f>IF(G40=0,"",COUNTIF('공수2'!$N$7:$N$156,5))</f>
        <v/>
      </c>
    </row>
    <row r="41">
      <c r="A41" s="8" t="n">
        <v>12</v>
      </c>
      <c r="B41" s="17" t="inlineStr">
        <is>
          <t>객관식</t>
        </is>
      </c>
      <c r="C41" s="39">
        <f>'공수2'!O4</f>
        <v/>
      </c>
      <c r="D41" s="10">
        <f>'공수2'!O5</f>
        <v/>
      </c>
      <c r="E41" s="10">
        <f>'공수2'!O3</f>
        <v/>
      </c>
      <c r="F41" s="40">
        <f>IF('공수2'!$O$2="","",'공수2'!$O$2)</f>
        <v/>
      </c>
      <c r="G41" s="10">
        <f>COUNT('공수2'!$Y$7:$Y$156)</f>
        <v/>
      </c>
      <c r="H41" s="10">
        <f>IF(F41="","",SUMPRODUCT(('공수2'!$O$7:$O$156='공수2'!$O$2)*('공수2'!$O$7:$O$156&lt;&gt;"")))</f>
        <v/>
      </c>
      <c r="I41" s="41">
        <f>IF(OR(F41="",G41=0),"",H41/G41)</f>
        <v/>
      </c>
      <c r="J41" s="42">
        <f>IF(F41="","",IFERROR(SUMPRODUCT(('공수2'!$O$7:$O$156='공수2'!$O$2)*('공수2'!$O$7:$O$156&lt;&gt;"")*('반배정'!$K$7:$K$156='설정'!$B$6))/COUNTIFS('반배정'!$K$7:$K$156,'설정'!$B$6,'공수2'!$Y$7:$Y$156,"&gt;=0"),""))</f>
        <v/>
      </c>
      <c r="K41" s="42">
        <f>IF(F41="","",IFERROR(SUMPRODUCT(('공수2'!$O$7:$O$156='공수2'!$O$2)*('공수2'!$O$7:$O$156&lt;&gt;"")*('반배정'!$K$7:$K$156='설정'!$B$7))/COUNTIFS('반배정'!$K$7:$K$156,'설정'!$B$7,'공수2'!$Y$7:$Y$156,"&gt;=0"),""))</f>
        <v/>
      </c>
      <c r="L41" s="42">
        <f>IF(F41="","",IFERROR(SUMPRODUCT(('공수2'!$O$7:$O$156='공수2'!$O$2)*('공수2'!$O$7:$O$156&lt;&gt;"")*('반배정'!$K$7:$K$156='설정'!$B$8))/COUNTIFS('반배정'!$K$7:$K$156,'설정'!$B$8,'공수2'!$Y$7:$Y$156,"&gt;=0"),""))</f>
        <v/>
      </c>
      <c r="M41" s="43">
        <f>IF(OR(J41="",L41=""),"",J41-L41)</f>
        <v/>
      </c>
      <c r="N41" s="39">
        <f>IF(I41="","",IF(AND(M41&lt;&gt;"",M41&lt;0),"역변별·문항검토",IF(I41&gt;=0.9,"매우 쉬움",IF(I41&lt;=0.15,"매우 어려움",IF(AND(M41&lt;&gt;"",M41&lt;0.2),"변별력 낮음","양호")))))</f>
        <v/>
      </c>
      <c r="O41" s="39">
        <f>IF(G41=0,"",COUNTIF('공수2'!$O$7:$O$156,1))</f>
        <v/>
      </c>
      <c r="P41" s="39">
        <f>IF(G41=0,"",COUNTIF('공수2'!$O$7:$O$156,2))</f>
        <v/>
      </c>
      <c r="Q41" s="39">
        <f>IF(G41=0,"",COUNTIF('공수2'!$O$7:$O$156,3))</f>
        <v/>
      </c>
      <c r="R41" s="39">
        <f>IF(G41=0,"",COUNTIF('공수2'!$O$7:$O$156,4))</f>
        <v/>
      </c>
      <c r="S41" s="39">
        <f>IF(G41=0,"",COUNTIF('공수2'!$O$7:$O$156,5))</f>
        <v/>
      </c>
    </row>
    <row r="42">
      <c r="A42" s="8" t="n">
        <v>13</v>
      </c>
      <c r="B42" s="17" t="inlineStr">
        <is>
          <t>객관식</t>
        </is>
      </c>
      <c r="C42" s="39">
        <f>'공수2'!P4</f>
        <v/>
      </c>
      <c r="D42" s="10">
        <f>'공수2'!P5</f>
        <v/>
      </c>
      <c r="E42" s="10">
        <f>'공수2'!P3</f>
        <v/>
      </c>
      <c r="F42" s="40">
        <f>IF('공수2'!$P$2="","",'공수2'!$P$2)</f>
        <v/>
      </c>
      <c r="G42" s="10">
        <f>COUNT('공수2'!$Y$7:$Y$156)</f>
        <v/>
      </c>
      <c r="H42" s="10">
        <f>IF(F42="","",SUMPRODUCT(('공수2'!$P$7:$P$156='공수2'!$P$2)*('공수2'!$P$7:$P$156&lt;&gt;"")))</f>
        <v/>
      </c>
      <c r="I42" s="41">
        <f>IF(OR(F42="",G42=0),"",H42/G42)</f>
        <v/>
      </c>
      <c r="J42" s="42">
        <f>IF(F42="","",IFERROR(SUMPRODUCT(('공수2'!$P$7:$P$156='공수2'!$P$2)*('공수2'!$P$7:$P$156&lt;&gt;"")*('반배정'!$K$7:$K$156='설정'!$B$6))/COUNTIFS('반배정'!$K$7:$K$156,'설정'!$B$6,'공수2'!$Y$7:$Y$156,"&gt;=0"),""))</f>
        <v/>
      </c>
      <c r="K42" s="42">
        <f>IF(F42="","",IFERROR(SUMPRODUCT(('공수2'!$P$7:$P$156='공수2'!$P$2)*('공수2'!$P$7:$P$156&lt;&gt;"")*('반배정'!$K$7:$K$156='설정'!$B$7))/COUNTIFS('반배정'!$K$7:$K$156,'설정'!$B$7,'공수2'!$Y$7:$Y$156,"&gt;=0"),""))</f>
        <v/>
      </c>
      <c r="L42" s="42">
        <f>IF(F42="","",IFERROR(SUMPRODUCT(('공수2'!$P$7:$P$156='공수2'!$P$2)*('공수2'!$P$7:$P$156&lt;&gt;"")*('반배정'!$K$7:$K$156='설정'!$B$8))/COUNTIFS('반배정'!$K$7:$K$156,'설정'!$B$8,'공수2'!$Y$7:$Y$156,"&gt;=0"),""))</f>
        <v/>
      </c>
      <c r="M42" s="43">
        <f>IF(OR(J42="",L42=""),"",J42-L42)</f>
        <v/>
      </c>
      <c r="N42" s="39">
        <f>IF(I42="","",IF(AND(M42&lt;&gt;"",M42&lt;0),"역변별·문항검토",IF(I42&gt;=0.9,"매우 쉬움",IF(I42&lt;=0.15,"매우 어려움",IF(AND(M42&lt;&gt;"",M42&lt;0.2),"변별력 낮음","양호")))))</f>
        <v/>
      </c>
      <c r="O42" s="39">
        <f>IF(G42=0,"",COUNTIF('공수2'!$P$7:$P$156,1))</f>
        <v/>
      </c>
      <c r="P42" s="39">
        <f>IF(G42=0,"",COUNTIF('공수2'!$P$7:$P$156,2))</f>
        <v/>
      </c>
      <c r="Q42" s="39">
        <f>IF(G42=0,"",COUNTIF('공수2'!$P$7:$P$156,3))</f>
        <v/>
      </c>
      <c r="R42" s="39">
        <f>IF(G42=0,"",COUNTIF('공수2'!$P$7:$P$156,4))</f>
        <v/>
      </c>
      <c r="S42" s="39">
        <f>IF(G42=0,"",COUNTIF('공수2'!$P$7:$P$156,5))</f>
        <v/>
      </c>
    </row>
    <row r="43">
      <c r="A43" s="8" t="n">
        <v>14</v>
      </c>
      <c r="B43" s="17" t="inlineStr">
        <is>
          <t>객관식</t>
        </is>
      </c>
      <c r="C43" s="39">
        <f>'공수2'!Q4</f>
        <v/>
      </c>
      <c r="D43" s="10">
        <f>'공수2'!Q5</f>
        <v/>
      </c>
      <c r="E43" s="10">
        <f>'공수2'!Q3</f>
        <v/>
      </c>
      <c r="F43" s="40">
        <f>IF('공수2'!$Q$2="","",'공수2'!$Q$2)</f>
        <v/>
      </c>
      <c r="G43" s="10">
        <f>COUNT('공수2'!$Y$7:$Y$156)</f>
        <v/>
      </c>
      <c r="H43" s="10">
        <f>IF(F43="","",SUMPRODUCT(('공수2'!$Q$7:$Q$156='공수2'!$Q$2)*('공수2'!$Q$7:$Q$156&lt;&gt;"")))</f>
        <v/>
      </c>
      <c r="I43" s="41">
        <f>IF(OR(F43="",G43=0),"",H43/G43)</f>
        <v/>
      </c>
      <c r="J43" s="42">
        <f>IF(F43="","",IFERROR(SUMPRODUCT(('공수2'!$Q$7:$Q$156='공수2'!$Q$2)*('공수2'!$Q$7:$Q$156&lt;&gt;"")*('반배정'!$K$7:$K$156='설정'!$B$6))/COUNTIFS('반배정'!$K$7:$K$156,'설정'!$B$6,'공수2'!$Y$7:$Y$156,"&gt;=0"),""))</f>
        <v/>
      </c>
      <c r="K43" s="42">
        <f>IF(F43="","",IFERROR(SUMPRODUCT(('공수2'!$Q$7:$Q$156='공수2'!$Q$2)*('공수2'!$Q$7:$Q$156&lt;&gt;"")*('반배정'!$K$7:$K$156='설정'!$B$7))/COUNTIFS('반배정'!$K$7:$K$156,'설정'!$B$7,'공수2'!$Y$7:$Y$156,"&gt;=0"),""))</f>
        <v/>
      </c>
      <c r="L43" s="42">
        <f>IF(F43="","",IFERROR(SUMPRODUCT(('공수2'!$Q$7:$Q$156='공수2'!$Q$2)*('공수2'!$Q$7:$Q$156&lt;&gt;"")*('반배정'!$K$7:$K$156='설정'!$B$8))/COUNTIFS('반배정'!$K$7:$K$156,'설정'!$B$8,'공수2'!$Y$7:$Y$156,"&gt;=0"),""))</f>
        <v/>
      </c>
      <c r="M43" s="43">
        <f>IF(OR(J43="",L43=""),"",J43-L43)</f>
        <v/>
      </c>
      <c r="N43" s="39">
        <f>IF(I43="","",IF(AND(M43&lt;&gt;"",M43&lt;0),"역변별·문항검토",IF(I43&gt;=0.9,"매우 쉬움",IF(I43&lt;=0.15,"매우 어려움",IF(AND(M43&lt;&gt;"",M43&lt;0.2),"변별력 낮음","양호")))))</f>
        <v/>
      </c>
      <c r="O43" s="39">
        <f>IF(G43=0,"",COUNTIF('공수2'!$Q$7:$Q$156,1))</f>
        <v/>
      </c>
      <c r="P43" s="39">
        <f>IF(G43=0,"",COUNTIF('공수2'!$Q$7:$Q$156,2))</f>
        <v/>
      </c>
      <c r="Q43" s="39">
        <f>IF(G43=0,"",COUNTIF('공수2'!$Q$7:$Q$156,3))</f>
        <v/>
      </c>
      <c r="R43" s="39">
        <f>IF(G43=0,"",COUNTIF('공수2'!$Q$7:$Q$156,4))</f>
        <v/>
      </c>
      <c r="S43" s="39">
        <f>IF(G43=0,"",COUNTIF('공수2'!$Q$7:$Q$156,5))</f>
        <v/>
      </c>
    </row>
    <row r="44">
      <c r="A44" s="8" t="n">
        <v>15</v>
      </c>
      <c r="B44" s="17" t="inlineStr">
        <is>
          <t>단답형</t>
        </is>
      </c>
      <c r="C44" s="39">
        <f>'공수2'!R4</f>
        <v/>
      </c>
      <c r="D44" s="10">
        <f>'공수2'!R5</f>
        <v/>
      </c>
      <c r="E44" s="10">
        <f>'공수2'!R3</f>
        <v/>
      </c>
      <c r="F44" s="40">
        <f>IF('공수2'!$R$2="","","9")</f>
        <v/>
      </c>
      <c r="G44" s="10">
        <f>COUNT('공수2'!$Y$7:$Y$156)</f>
        <v/>
      </c>
      <c r="H44" s="10">
        <f>IF(F44="","",SUMPRODUCT(('공수2'!$R$7:$R$156='공수2'!$R$2)*('공수2'!$R$7:$R$156&lt;&gt;"")))</f>
        <v/>
      </c>
      <c r="I44" s="41">
        <f>IF(OR(F44="",G44=0),"",H44/G44)</f>
        <v/>
      </c>
      <c r="J44" s="42">
        <f>IF(F44="","",IFERROR(SUMPRODUCT(('공수2'!$R$7:$R$156='공수2'!$R$2)*('공수2'!$R$7:$R$156&lt;&gt;"")*('반배정'!$K$7:$K$156='설정'!$B$6))/COUNTIFS('반배정'!$K$7:$K$156,'설정'!$B$6,'공수2'!$Y$7:$Y$156,"&gt;=0"),""))</f>
        <v/>
      </c>
      <c r="K44" s="42">
        <f>IF(F44="","",IFERROR(SUMPRODUCT(('공수2'!$R$7:$R$156='공수2'!$R$2)*('공수2'!$R$7:$R$156&lt;&gt;"")*('반배정'!$K$7:$K$156='설정'!$B$7))/COUNTIFS('반배정'!$K$7:$K$156,'설정'!$B$7,'공수2'!$Y$7:$Y$156,"&gt;=0"),""))</f>
        <v/>
      </c>
      <c r="L44" s="42">
        <f>IF(F44="","",IFERROR(SUMPRODUCT(('공수2'!$R$7:$R$156='공수2'!$R$2)*('공수2'!$R$7:$R$156&lt;&gt;"")*('반배정'!$K$7:$K$156='설정'!$B$8))/COUNTIFS('반배정'!$K$7:$K$156,'설정'!$B$8,'공수2'!$Y$7:$Y$156,"&gt;=0"),""))</f>
        <v/>
      </c>
      <c r="M44" s="43">
        <f>IF(OR(J44="",L44=""),"",J44-L44)</f>
        <v/>
      </c>
      <c r="N44" s="39">
        <f>IF(I44="","",IF(AND(M44&lt;&gt;"",M44&lt;0),"역변별·문항검토",IF(I44&gt;=0.9,"매우 쉬움",IF(I44&lt;=0.15,"매우 어려움",IF(AND(M44&lt;&gt;"",M44&lt;0.2),"변별력 낮음","양호")))))</f>
        <v/>
      </c>
      <c r="O44" s="44" t="inlineStr">
        <is>
          <t>-</t>
        </is>
      </c>
      <c r="P44" s="44" t="inlineStr">
        <is>
          <t>-</t>
        </is>
      </c>
      <c r="Q44" s="44" t="inlineStr">
        <is>
          <t>-</t>
        </is>
      </c>
      <c r="R44" s="44" t="inlineStr">
        <is>
          <t>-</t>
        </is>
      </c>
      <c r="S44" s="44" t="inlineStr">
        <is>
          <t>-</t>
        </is>
      </c>
    </row>
    <row r="45">
      <c r="A45" s="8" t="n">
        <v>16</v>
      </c>
      <c r="B45" s="17" t="inlineStr">
        <is>
          <t>단답형</t>
        </is>
      </c>
      <c r="C45" s="39">
        <f>'공수2'!S4</f>
        <v/>
      </c>
      <c r="D45" s="10">
        <f>'공수2'!S5</f>
        <v/>
      </c>
      <c r="E45" s="10">
        <f>'공수2'!S3</f>
        <v/>
      </c>
      <c r="F45" s="40">
        <f>IF('공수2'!$S$2="","","160")</f>
        <v/>
      </c>
      <c r="G45" s="10">
        <f>COUNT('공수2'!$Y$7:$Y$156)</f>
        <v/>
      </c>
      <c r="H45" s="10">
        <f>IF(F45="","",SUMPRODUCT(('공수2'!$S$7:$S$156='공수2'!$S$2)*('공수2'!$S$7:$S$156&lt;&gt;"")))</f>
        <v/>
      </c>
      <c r="I45" s="41">
        <f>IF(OR(F45="",G45=0),"",H45/G45)</f>
        <v/>
      </c>
      <c r="J45" s="42">
        <f>IF(F45="","",IFERROR(SUMPRODUCT(('공수2'!$S$7:$S$156='공수2'!$S$2)*('공수2'!$S$7:$S$156&lt;&gt;"")*('반배정'!$K$7:$K$156='설정'!$B$6))/COUNTIFS('반배정'!$K$7:$K$156,'설정'!$B$6,'공수2'!$Y$7:$Y$156,"&gt;=0"),""))</f>
        <v/>
      </c>
      <c r="K45" s="42">
        <f>IF(F45="","",IFERROR(SUMPRODUCT(('공수2'!$S$7:$S$156='공수2'!$S$2)*('공수2'!$S$7:$S$156&lt;&gt;"")*('반배정'!$K$7:$K$156='설정'!$B$7))/COUNTIFS('반배정'!$K$7:$K$156,'설정'!$B$7,'공수2'!$Y$7:$Y$156,"&gt;=0"),""))</f>
        <v/>
      </c>
      <c r="L45" s="42">
        <f>IF(F45="","",IFERROR(SUMPRODUCT(('공수2'!$S$7:$S$156='공수2'!$S$2)*('공수2'!$S$7:$S$156&lt;&gt;"")*('반배정'!$K$7:$K$156='설정'!$B$8))/COUNTIFS('반배정'!$K$7:$K$156,'설정'!$B$8,'공수2'!$Y$7:$Y$156,"&gt;=0"),""))</f>
        <v/>
      </c>
      <c r="M45" s="43">
        <f>IF(OR(J45="",L45=""),"",J45-L45)</f>
        <v/>
      </c>
      <c r="N45" s="39">
        <f>IF(I45="","",IF(AND(M45&lt;&gt;"",M45&lt;0),"역변별·문항검토",IF(I45&gt;=0.9,"매우 쉬움",IF(I45&lt;=0.15,"매우 어려움",IF(AND(M45&lt;&gt;"",M45&lt;0.2),"변별력 낮음","양호")))))</f>
        <v/>
      </c>
      <c r="O45" s="44" t="inlineStr">
        <is>
          <t>-</t>
        </is>
      </c>
      <c r="P45" s="44" t="inlineStr">
        <is>
          <t>-</t>
        </is>
      </c>
      <c r="Q45" s="44" t="inlineStr">
        <is>
          <t>-</t>
        </is>
      </c>
      <c r="R45" s="44" t="inlineStr">
        <is>
          <t>-</t>
        </is>
      </c>
      <c r="S45" s="44" t="inlineStr">
        <is>
          <t>-</t>
        </is>
      </c>
    </row>
    <row r="46">
      <c r="A46" s="8" t="n">
        <v>17</v>
      </c>
      <c r="B46" s="17" t="inlineStr">
        <is>
          <t>단답형</t>
        </is>
      </c>
      <c r="C46" s="39">
        <f>'공수2'!T4</f>
        <v/>
      </c>
      <c r="D46" s="10">
        <f>'공수2'!T5</f>
        <v/>
      </c>
      <c r="E46" s="10">
        <f>'공수2'!T3</f>
        <v/>
      </c>
      <c r="F46" s="40">
        <f>IF('공수2'!$T$2="","","12")</f>
        <v/>
      </c>
      <c r="G46" s="10">
        <f>COUNT('공수2'!$Y$7:$Y$156)</f>
        <v/>
      </c>
      <c r="H46" s="10">
        <f>IF(F46="","",SUMPRODUCT(('공수2'!$T$7:$T$156='공수2'!$T$2)*('공수2'!$T$7:$T$156&lt;&gt;"")))</f>
        <v/>
      </c>
      <c r="I46" s="41">
        <f>IF(OR(F46="",G46=0),"",H46/G46)</f>
        <v/>
      </c>
      <c r="J46" s="42">
        <f>IF(F46="","",IFERROR(SUMPRODUCT(('공수2'!$T$7:$T$156='공수2'!$T$2)*('공수2'!$T$7:$T$156&lt;&gt;"")*('반배정'!$K$7:$K$156='설정'!$B$6))/COUNTIFS('반배정'!$K$7:$K$156,'설정'!$B$6,'공수2'!$Y$7:$Y$156,"&gt;=0"),""))</f>
        <v/>
      </c>
      <c r="K46" s="42">
        <f>IF(F46="","",IFERROR(SUMPRODUCT(('공수2'!$T$7:$T$156='공수2'!$T$2)*('공수2'!$T$7:$T$156&lt;&gt;"")*('반배정'!$K$7:$K$156='설정'!$B$7))/COUNTIFS('반배정'!$K$7:$K$156,'설정'!$B$7,'공수2'!$Y$7:$Y$156,"&gt;=0"),""))</f>
        <v/>
      </c>
      <c r="L46" s="42">
        <f>IF(F46="","",IFERROR(SUMPRODUCT(('공수2'!$T$7:$T$156='공수2'!$T$2)*('공수2'!$T$7:$T$156&lt;&gt;"")*('반배정'!$K$7:$K$156='설정'!$B$8))/COUNTIFS('반배정'!$K$7:$K$156,'설정'!$B$8,'공수2'!$Y$7:$Y$156,"&gt;=0"),""))</f>
        <v/>
      </c>
      <c r="M46" s="43">
        <f>IF(OR(J46="",L46=""),"",J46-L46)</f>
        <v/>
      </c>
      <c r="N46" s="39">
        <f>IF(I46="","",IF(AND(M46&lt;&gt;"",M46&lt;0),"역변별·문항검토",IF(I46&gt;=0.9,"매우 쉬움",IF(I46&lt;=0.15,"매우 어려움",IF(AND(M46&lt;&gt;"",M46&lt;0.2),"변별력 낮음","양호")))))</f>
        <v/>
      </c>
      <c r="O46" s="44" t="inlineStr">
        <is>
          <t>-</t>
        </is>
      </c>
      <c r="P46" s="44" t="inlineStr">
        <is>
          <t>-</t>
        </is>
      </c>
      <c r="Q46" s="44" t="inlineStr">
        <is>
          <t>-</t>
        </is>
      </c>
      <c r="R46" s="44" t="inlineStr">
        <is>
          <t>-</t>
        </is>
      </c>
      <c r="S46" s="44" t="inlineStr">
        <is>
          <t>-</t>
        </is>
      </c>
    </row>
    <row r="47">
      <c r="A47" s="8" t="n">
        <v>18</v>
      </c>
      <c r="B47" s="17" t="inlineStr">
        <is>
          <t>단답형</t>
        </is>
      </c>
      <c r="C47" s="39">
        <f>'공수2'!U4</f>
        <v/>
      </c>
      <c r="D47" s="10">
        <f>'공수2'!U5</f>
        <v/>
      </c>
      <c r="E47" s="10">
        <f>'공수2'!U3</f>
        <v/>
      </c>
      <c r="F47" s="40">
        <f>IF('공수2'!$U$2="","","14")</f>
        <v/>
      </c>
      <c r="G47" s="10">
        <f>COUNT('공수2'!$Y$7:$Y$156)</f>
        <v/>
      </c>
      <c r="H47" s="10">
        <f>IF(F47="","",SUMPRODUCT(('공수2'!$U$7:$U$156='공수2'!$U$2)*('공수2'!$U$7:$U$156&lt;&gt;"")))</f>
        <v/>
      </c>
      <c r="I47" s="41">
        <f>IF(OR(F47="",G47=0),"",H47/G47)</f>
        <v/>
      </c>
      <c r="J47" s="42">
        <f>IF(F47="","",IFERROR(SUMPRODUCT(('공수2'!$U$7:$U$156='공수2'!$U$2)*('공수2'!$U$7:$U$156&lt;&gt;"")*('반배정'!$K$7:$K$156='설정'!$B$6))/COUNTIFS('반배정'!$K$7:$K$156,'설정'!$B$6,'공수2'!$Y$7:$Y$156,"&gt;=0"),""))</f>
        <v/>
      </c>
      <c r="K47" s="42">
        <f>IF(F47="","",IFERROR(SUMPRODUCT(('공수2'!$U$7:$U$156='공수2'!$U$2)*('공수2'!$U$7:$U$156&lt;&gt;"")*('반배정'!$K$7:$K$156='설정'!$B$7))/COUNTIFS('반배정'!$K$7:$K$156,'설정'!$B$7,'공수2'!$Y$7:$Y$156,"&gt;=0"),""))</f>
        <v/>
      </c>
      <c r="L47" s="42">
        <f>IF(F47="","",IFERROR(SUMPRODUCT(('공수2'!$U$7:$U$156='공수2'!$U$2)*('공수2'!$U$7:$U$156&lt;&gt;"")*('반배정'!$K$7:$K$156='설정'!$B$8))/COUNTIFS('반배정'!$K$7:$K$156,'설정'!$B$8,'공수2'!$Y$7:$Y$156,"&gt;=0"),""))</f>
        <v/>
      </c>
      <c r="M47" s="43">
        <f>IF(OR(J47="",L47=""),"",J47-L47)</f>
        <v/>
      </c>
      <c r="N47" s="39">
        <f>IF(I47="","",IF(AND(M47&lt;&gt;"",M47&lt;0),"역변별·문항검토",IF(I47&gt;=0.9,"매우 쉬움",IF(I47&lt;=0.15,"매우 어려움",IF(AND(M47&lt;&gt;"",M47&lt;0.2),"변별력 낮음","양호")))))</f>
        <v/>
      </c>
      <c r="O47" s="44" t="inlineStr">
        <is>
          <t>-</t>
        </is>
      </c>
      <c r="P47" s="44" t="inlineStr">
        <is>
          <t>-</t>
        </is>
      </c>
      <c r="Q47" s="44" t="inlineStr">
        <is>
          <t>-</t>
        </is>
      </c>
      <c r="R47" s="44" t="inlineStr">
        <is>
          <t>-</t>
        </is>
      </c>
      <c r="S47" s="44" t="inlineStr">
        <is>
          <t>-</t>
        </is>
      </c>
    </row>
    <row r="48">
      <c r="A48" s="8" t="n">
        <v>19</v>
      </c>
      <c r="B48" s="17" t="inlineStr">
        <is>
          <t>단답형</t>
        </is>
      </c>
      <c r="C48" s="39">
        <f>'공수2'!V4</f>
        <v/>
      </c>
      <c r="D48" s="10">
        <f>'공수2'!V5</f>
        <v/>
      </c>
      <c r="E48" s="10">
        <f>'공수2'!V3</f>
        <v/>
      </c>
      <c r="F48" s="40">
        <f>IF('공수2'!$V$2="","","15")</f>
        <v/>
      </c>
      <c r="G48" s="10">
        <f>COUNT('공수2'!$Y$7:$Y$156)</f>
        <v/>
      </c>
      <c r="H48" s="10">
        <f>IF(F48="","",SUMPRODUCT(('공수2'!$V$7:$V$156='공수2'!$V$2)*('공수2'!$V$7:$V$156&lt;&gt;"")))</f>
        <v/>
      </c>
      <c r="I48" s="41">
        <f>IF(OR(F48="",G48=0),"",H48/G48)</f>
        <v/>
      </c>
      <c r="J48" s="42">
        <f>IF(F48="","",IFERROR(SUMPRODUCT(('공수2'!$V$7:$V$156='공수2'!$V$2)*('공수2'!$V$7:$V$156&lt;&gt;"")*('반배정'!$K$7:$K$156='설정'!$B$6))/COUNTIFS('반배정'!$K$7:$K$156,'설정'!$B$6,'공수2'!$Y$7:$Y$156,"&gt;=0"),""))</f>
        <v/>
      </c>
      <c r="K48" s="42">
        <f>IF(F48="","",IFERROR(SUMPRODUCT(('공수2'!$V$7:$V$156='공수2'!$V$2)*('공수2'!$V$7:$V$156&lt;&gt;"")*('반배정'!$K$7:$K$156='설정'!$B$7))/COUNTIFS('반배정'!$K$7:$K$156,'설정'!$B$7,'공수2'!$Y$7:$Y$156,"&gt;=0"),""))</f>
        <v/>
      </c>
      <c r="L48" s="42">
        <f>IF(F48="","",IFERROR(SUMPRODUCT(('공수2'!$V$7:$V$156='공수2'!$V$2)*('공수2'!$V$7:$V$156&lt;&gt;"")*('반배정'!$K$7:$K$156='설정'!$B$8))/COUNTIFS('반배정'!$K$7:$K$156,'설정'!$B$8,'공수2'!$Y$7:$Y$156,"&gt;=0"),""))</f>
        <v/>
      </c>
      <c r="M48" s="43">
        <f>IF(OR(J48="",L48=""),"",J48-L48)</f>
        <v/>
      </c>
      <c r="N48" s="39">
        <f>IF(I48="","",IF(AND(M48&lt;&gt;"",M48&lt;0),"역변별·문항검토",IF(I48&gt;=0.9,"매우 쉬움",IF(I48&lt;=0.15,"매우 어려움",IF(AND(M48&lt;&gt;"",M48&lt;0.2),"변별력 낮음","양호")))))</f>
        <v/>
      </c>
      <c r="O48" s="44" t="inlineStr">
        <is>
          <t>-</t>
        </is>
      </c>
      <c r="P48" s="44" t="inlineStr">
        <is>
          <t>-</t>
        </is>
      </c>
      <c r="Q48" s="44" t="inlineStr">
        <is>
          <t>-</t>
        </is>
      </c>
      <c r="R48" s="44" t="inlineStr">
        <is>
          <t>-</t>
        </is>
      </c>
      <c r="S48" s="44" t="inlineStr">
        <is>
          <t>-</t>
        </is>
      </c>
    </row>
    <row r="49">
      <c r="A49" s="8" t="n">
        <v>20</v>
      </c>
      <c r="B49" s="17" t="inlineStr">
        <is>
          <t>단답형</t>
        </is>
      </c>
      <c r="C49" s="39">
        <f>'공수2'!W4</f>
        <v/>
      </c>
      <c r="D49" s="10">
        <f>'공수2'!W5</f>
        <v/>
      </c>
      <c r="E49" s="10">
        <f>'공수2'!W3</f>
        <v/>
      </c>
      <c r="F49" s="40">
        <f>IF('공수2'!$W$2="","","13")</f>
        <v/>
      </c>
      <c r="G49" s="10">
        <f>COUNT('공수2'!$Y$7:$Y$156)</f>
        <v/>
      </c>
      <c r="H49" s="10">
        <f>IF(F49="","",SUMPRODUCT(('공수2'!$W$7:$W$156='공수2'!$W$2)*('공수2'!$W$7:$W$156&lt;&gt;"")))</f>
        <v/>
      </c>
      <c r="I49" s="41">
        <f>IF(OR(F49="",G49=0),"",H49/G49)</f>
        <v/>
      </c>
      <c r="J49" s="42">
        <f>IF(F49="","",IFERROR(SUMPRODUCT(('공수2'!$W$7:$W$156='공수2'!$W$2)*('공수2'!$W$7:$W$156&lt;&gt;"")*('반배정'!$K$7:$K$156='설정'!$B$6))/COUNTIFS('반배정'!$K$7:$K$156,'설정'!$B$6,'공수2'!$Y$7:$Y$156,"&gt;=0"),""))</f>
        <v/>
      </c>
      <c r="K49" s="42">
        <f>IF(F49="","",IFERROR(SUMPRODUCT(('공수2'!$W$7:$W$156='공수2'!$W$2)*('공수2'!$W$7:$W$156&lt;&gt;"")*('반배정'!$K$7:$K$156='설정'!$B$7))/COUNTIFS('반배정'!$K$7:$K$156,'설정'!$B$7,'공수2'!$Y$7:$Y$156,"&gt;=0"),""))</f>
        <v/>
      </c>
      <c r="L49" s="42">
        <f>IF(F49="","",IFERROR(SUMPRODUCT(('공수2'!$W$7:$W$156='공수2'!$W$2)*('공수2'!$W$7:$W$156&lt;&gt;"")*('반배정'!$K$7:$K$156='설정'!$B$8))/COUNTIFS('반배정'!$K$7:$K$156,'설정'!$B$8,'공수2'!$Y$7:$Y$156,"&gt;=0"),""))</f>
        <v/>
      </c>
      <c r="M49" s="43">
        <f>IF(OR(J49="",L49=""),"",J49-L49)</f>
        <v/>
      </c>
      <c r="N49" s="39">
        <f>IF(I49="","",IF(AND(M49&lt;&gt;"",M49&lt;0),"역변별·문항검토",IF(I49&gt;=0.9,"매우 쉬움",IF(I49&lt;=0.15,"매우 어려움",IF(AND(M49&lt;&gt;"",M49&lt;0.2),"변별력 낮음","양호")))))</f>
        <v/>
      </c>
      <c r="O49" s="44" t="inlineStr">
        <is>
          <t>-</t>
        </is>
      </c>
      <c r="P49" s="44" t="inlineStr">
        <is>
          <t>-</t>
        </is>
      </c>
      <c r="Q49" s="44" t="inlineStr">
        <is>
          <t>-</t>
        </is>
      </c>
      <c r="R49" s="44" t="inlineStr">
        <is>
          <t>-</t>
        </is>
      </c>
      <c r="S49" s="44" t="inlineStr">
        <is>
          <t>-</t>
        </is>
      </c>
    </row>
  </sheetData>
  <mergeCells count="4">
    <mergeCell ref="A28:E28"/>
    <mergeCell ref="A2:R2"/>
    <mergeCell ref="A4:E4"/>
    <mergeCell ref="A1:R1"/>
  </mergeCells>
  <conditionalFormatting sqref="N6:N25">
    <cfRule type="expression" priority="1" dxfId="4">
      <formula>N6="양호"</formula>
    </cfRule>
    <cfRule type="expression" priority="2" dxfId="5">
      <formula>AND(N6&lt;&gt;"",N6&lt;&gt;"양호")</formula>
    </cfRule>
  </conditionalFormatting>
  <conditionalFormatting sqref="O6:S19">
    <cfRule type="expression" priority="3" dxfId="7">
      <formula>COLUMN(O6)-14=$F6</formula>
    </cfRule>
  </conditionalFormatting>
  <conditionalFormatting sqref="N30:N49">
    <cfRule type="expression" priority="4" dxfId="4">
      <formula>N30="양호"</formula>
    </cfRule>
    <cfRule type="expression" priority="5" dxfId="5">
      <formula>AND(N30&lt;&gt;"",N30&lt;&gt;"양호")</formula>
    </cfRule>
  </conditionalFormatting>
  <conditionalFormatting sqref="O30:S43">
    <cfRule type="expression" priority="6" dxfId="7">
      <formula>COLUMN(O30)-14=$F30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2026-10-16T16:25:04Z</dcterms:created>
  <dcterms:modified xmlns:dcterms="http://purl.org/dc/terms/" xmlns:xsi="http://www.w3.org/2001/XMLSchema-instance" xsi:type="dcterms:W3CDTF">2026-10-16T16:25:05Z</dcterms:modified>
</cp:coreProperties>
</file>