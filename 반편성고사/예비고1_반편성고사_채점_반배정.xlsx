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7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C00000"/>
      <sz val="8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0">
      <c r="A10" s="8" t="inlineStr">
        <is>
          <t>학교 지정</t>
        </is>
      </c>
      <c r="B10" s="6" t="inlineStr">
        <is>
          <t>TF자사</t>
        </is>
      </c>
      <c r="C10" s="9" t="inlineStr">
        <is>
          <t>학생명단 '자사/일반' 칸에 학교가 적힌 학생은 점수와 관계없이 이 반 (비우면 적용 안 함)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>
        <f>B10</f>
        <v/>
      </c>
      <c r="B58" s="16" t="inlineStr">
        <is>
          <t>자사고·특목고 진학 예정 학생을 위한 반으로, 고교 내신과 심화 문항 해결력을 함께 준비합니다.</t>
        </is>
      </c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7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C10:F10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IF(AND('설정'!$B$10&lt;&gt;"",'학생명단'!K7&lt;&gt;""),'설정'!$B$10,IF(OR(K7='설정'!$B$6,K7='설정'!$B$8),SUBSTITUTE(K7,"반","")&amp;IF(ISNUMBER(SEARCH("월",'학생명단'!G7)),"월금",IF(ISNUMBER(SEARCH("화",'학생명단'!G7)),"화목","반")),K7))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COUNTIF($O$7:$O$156,SUBSTITUTE(S7,"반","")&amp;"*")</f>
        <v/>
      </c>
      <c r="V7" s="32">
        <f>IFERROR(AVERAGEIF($O$7:$O$156,SUBSTITUTE(S7,"반","")&amp;"*",$G$7:$G$156),"")</f>
        <v/>
      </c>
      <c r="W7" s="32">
        <f>IFERROR(AVERAGEIF($O$7:$O$156,SUBSTITUTE(S7,"반","")&amp;"*",$H$7:$H$156),"")</f>
        <v/>
      </c>
      <c r="X7" s="10">
        <f>COUNTIFS($O$7:$O$156,SUBSTITUTE(S7,"반","")&amp;"*",$D$7:$D$156,"재원")</f>
        <v/>
      </c>
      <c r="Y7" s="10">
        <f>COUNTIFS($O$7:$O$156,SUBSTITUTE(S7,"반","")&amp;"*",$D$7:$D$156,"외부")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IF(AND('설정'!$B$10&lt;&gt;"",'학생명단'!K8&lt;&gt;""),'설정'!$B$10,IF(OR(K8='설정'!$B$6,K8='설정'!$B$8),SUBSTITUTE(K8,"반","")&amp;IF(ISNUMBER(SEARCH("월",'학생명단'!G8)),"월금",IF(ISNUMBER(SEARCH("화",'학생명단'!G8)),"화목","반")),K8))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COUNTIF($O$7:$O$156,SUBSTITUTE(S8,"반","")&amp;"*")</f>
        <v/>
      </c>
      <c r="V8" s="32">
        <f>IFERROR(AVERAGEIF($O$7:$O$156,SUBSTITUTE(S8,"반","")&amp;"*",$G$7:$G$156),"")</f>
        <v/>
      </c>
      <c r="W8" s="32">
        <f>IFERROR(AVERAGEIF($O$7:$O$156,SUBSTITUTE(S8,"반","")&amp;"*",$H$7:$H$156),"")</f>
        <v/>
      </c>
      <c r="X8" s="10">
        <f>COUNTIFS($O$7:$O$156,SUBSTITUTE(S8,"반","")&amp;"*",$D$7:$D$156,"재원")</f>
        <v/>
      </c>
      <c r="Y8" s="10">
        <f>COUNTIFS($O$7:$O$156,SUBSTITUTE(S8,"반","")&amp;"*",$D$7:$D$156,"외부")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IF(AND('설정'!$B$10&lt;&gt;"",'학생명단'!K9&lt;&gt;""),'설정'!$B$10,IF(OR(K9='설정'!$B$6,K9='설정'!$B$8),SUBSTITUTE(K9,"반","")&amp;IF(ISNUMBER(SEARCH("월",'학생명단'!G9)),"월금",IF(ISNUMBER(SEARCH("화",'학생명단'!G9)),"화목","반")),K9))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COUNTIF($O$7:$O$156,SUBSTITUTE(S9,"반","")&amp;"*")</f>
        <v/>
      </c>
      <c r="V9" s="32">
        <f>IFERROR(AVERAGEIF($O$7:$O$156,SUBSTITUTE(S9,"반","")&amp;"*",$G$7:$G$156),"")</f>
        <v/>
      </c>
      <c r="W9" s="32">
        <f>IFERROR(AVERAGEIF($O$7:$O$156,SUBSTITUTE(S9,"반","")&amp;"*",$H$7:$H$156),"")</f>
        <v/>
      </c>
      <c r="X9" s="10">
        <f>COUNTIFS($O$7:$O$156,SUBSTITUTE(S9,"반","")&amp;"*",$D$7:$D$156,"재원")</f>
        <v/>
      </c>
      <c r="Y9" s="10">
        <f>COUNTIFS($O$7:$O$156,SUBSTITUTE(S9,"반","")&amp;"*",$D$7:$D$156,"외부")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IF(AND('설정'!$B$10&lt;&gt;"",'학생명단'!K10&lt;&gt;""),'설정'!$B$10,IF(OR(K10='설정'!$B$6,K10='설정'!$B$8),SUBSTITUTE(K10,"반","")&amp;IF(ISNUMBER(SEARCH("월",'학생명단'!G10)),"월금",IF(ISNUMBER(SEARCH("화",'학생명단'!G10)),"화목","반")),K10))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COUNTIF($O$7:$O$156,SUBSTITUTE(S10,"반","")&amp;"*")</f>
        <v/>
      </c>
      <c r="V10" s="32">
        <f>IFERROR(AVERAGEIF($O$7:$O$156,SUBSTITUTE(S10,"반","")&amp;"*",$G$7:$G$156),"")</f>
        <v/>
      </c>
      <c r="W10" s="32">
        <f>IFERROR(AVERAGEIF($O$7:$O$156,SUBSTITUTE(S10,"반","")&amp;"*",$H$7:$H$156),"")</f>
        <v/>
      </c>
      <c r="X10" s="10">
        <f>COUNTIFS($O$7:$O$156,SUBSTITUTE(S10,"반","")&amp;"*",$D$7:$D$156,"재원")</f>
        <v/>
      </c>
      <c r="Y10" s="10">
        <f>COUNTIFS($O$7:$O$156,SUBSTITUTE(S10,"반","")&amp;"*",$D$7:$D$156,"외부")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IF(AND('설정'!$B$10&lt;&gt;"",'학생명단'!K11&lt;&gt;""),'설정'!$B$10,IF(OR(K11='설정'!$B$6,K11='설정'!$B$8),SUBSTITUTE(K11,"반","")&amp;IF(ISNUMBER(SEARCH("월",'학생명단'!G11)),"월금",IF(ISNUMBER(SEARCH("화",'학생명단'!G11)),"화목","반")),K11))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COUNTIF($O$7:$O$156,"?*")</f>
        <v/>
      </c>
      <c r="V11" s="36">
        <f>IFERROR(AVERAGE($G$7:$G$156),"")</f>
        <v/>
      </c>
      <c r="W11" s="36">
        <f>IFERROR(AVERAGE($H$7:$H$156),"")</f>
        <v/>
      </c>
      <c r="X11" s="8">
        <f>COUNTIFS($O$7:$O$156,"?*",$D$7:$D$156,"재원")</f>
        <v/>
      </c>
      <c r="Y11" s="8">
        <f>COUNTIFS($O$7:$O$156,"?*",$D$7:$D$156,"외부")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IF(AND('설정'!$B$10&lt;&gt;"",'학생명단'!K12&lt;&gt;""),'설정'!$B$10,IF(OR(K12='설정'!$B$6,K12='설정'!$B$8),SUBSTITUTE(K12,"반","")&amp;IF(ISNUMBER(SEARCH("월",'학생명단'!G12)),"월금",IF(ISNUMBER(SEARCH("화",'학생명단'!G12)),"화목","반")),K12)))</f>
        <v/>
      </c>
      <c r="P12" s="30">
        <f>IF(I12="","",IF(G12="","공수1 미응시",IF(H12="","공수2 미응시","")))</f>
        <v/>
      </c>
      <c r="Q12" s="10">
        <f>IF(J12="","",J12+ROW()/100000)</f>
        <v/>
      </c>
      <c r="S12" s="37">
        <f>IF('설정'!$B$10="","","※ "&amp;'설정'!$B$10&amp;" "&amp;COUNTIF($O$7:$O$156,'설정'!$B$10)&amp;"명은 위 반별 인원에 없음(아래 요일반 표)")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IF(AND('설정'!$B$10&lt;&gt;"",'학생명단'!K13&lt;&gt;""),'설정'!$B$10,IF(OR(K13='설정'!$B$6,K13='설정'!$B$8),SUBSTITUTE(K13,"반","")&amp;IF(ISNUMBER(SEARCH("월",'학생명단'!G13)),"월금",IF(ISNUMBER(SEARCH("화",'학생명단'!G13)),"화목","반")),K13))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공통수학반(최종): '자사/일반'에 학교가 적힌 학생은 '설정' B10 반, 그 외 TF1·TF2는 등원 요일에 따라 월금/화목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IF(AND('설정'!$B$10&lt;&gt;"",'학생명단'!K14&lt;&gt;""),'설정'!$B$10,IF(OR(K14='설정'!$B$6,K14='설정'!$B$8),SUBSTITUTE(K14,"반","")&amp;IF(ISNUMBER(SEARCH("월",'학생명단'!G14)),"월금",IF(ISNUMBER(SEARCH("화",'학생명단'!G14)),"화목","반")),K14))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IF(AND('설정'!$B$10&lt;&gt;"",'학생명단'!K15&lt;&gt;""),'설정'!$B$10,IF(OR(K15='설정'!$B$6,K15='설정'!$B$8),SUBSTITUTE(K15,"반","")&amp;IF(ISNUMBER(SEARCH("월",'학생명단'!G15)),"월금",IF(ISNUMBER(SEARCH("화",'학생명단'!G15)),"화목","반")),K15))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IF(AND('설정'!$B$10&lt;&gt;"",'학생명단'!K16&lt;&gt;""),'설정'!$B$10,IF(OR(K16='설정'!$B$6,K16='설정'!$B$8),SUBSTITUTE(K16,"반","")&amp;IF(ISNUMBER(SEARCH("월",'학생명단'!G16)),"월금",IF(ISNUMBER(SEARCH("화",'학생명단'!G16)),"화목","반")),K16))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IF(AND('설정'!$B$10&lt;&gt;"",'학생명단'!K17&lt;&gt;""),'설정'!$B$10,IF(OR(K17='설정'!$B$6,K17='설정'!$B$8),SUBSTITUTE(K17,"반","")&amp;IF(ISNUMBER(SEARCH("월",'학생명단'!G17)),"월금",IF(ISNUMBER(SEARCH("화",'학생명단'!G17)),"화목","반")),K17))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IF(AND('설정'!$B$10&lt;&gt;"",'학생명단'!K18&lt;&gt;""),'설정'!$B$10,IF(OR(K18='설정'!$B$6,K18='설정'!$B$8),SUBSTITUTE(K18,"반","")&amp;IF(ISNUMBER(SEARCH("월",'학생명단'!G18)),"월금",IF(ISNUMBER(SEARCH("화",'학생명단'!G18)),"화목","반")),K18))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IF(AND('설정'!$B$10&lt;&gt;"",'학생명단'!K19&lt;&gt;""),'설정'!$B$10,IF(OR(K19='설정'!$B$6,K19='설정'!$B$8),SUBSTITUTE(K19,"반","")&amp;IF(ISNUMBER(SEARCH("월",'학생명단'!G19)),"월금",IF(ISNUMBER(SEARCH("화",'학생명단'!G19)),"화목","반")),K19))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IF(AND('설정'!$B$10&lt;&gt;"",'학생명단'!K20&lt;&gt;""),'설정'!$B$10,IF(OR(K20='설정'!$B$6,K20='설정'!$B$8),SUBSTITUTE(K20,"반","")&amp;IF(ISNUMBER(SEARCH("월",'학생명단'!G20)),"월금",IF(ISNUMBER(SEARCH("화",'학생명단'!G20)),"화목","반")),K20)))</f>
        <v/>
      </c>
      <c r="P20" s="30">
        <f>IF(I20="","",IF(G20="","공수1 미응시",IF(H20="","공수2 미응시","")))</f>
        <v/>
      </c>
      <c r="Q20" s="10">
        <f>IF(J20="","",J20+ROW()/100000)</f>
        <v/>
      </c>
      <c r="S20" s="3" t="inlineStr">
        <is>
          <t>요일반별 인원 (최종 기준)</t>
        </is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IF(AND('설정'!$B$10&lt;&gt;"",'학생명단'!K21&lt;&gt;""),'설정'!$B$10,IF(OR(K21='설정'!$B$6,K21='설정'!$B$8),SUBSTITUTE(K21,"반","")&amp;IF(ISNUMBER(SEARCH("월",'학생명단'!G21)),"월금",IF(ISNUMBER(SEARCH("화",'학생명단'!G21)),"화목","반")),K21)))</f>
        <v/>
      </c>
      <c r="P21" s="30">
        <f>IF(I21="","",IF(G21="","공수1 미응시",IF(H21="","공수2 미응시","")))</f>
        <v/>
      </c>
      <c r="Q21" s="10">
        <f>IF(J21="","",J21+ROW()/100000)</f>
        <v/>
      </c>
      <c r="S21" s="4" t="inlineStr">
        <is>
          <t>반</t>
        </is>
      </c>
      <c r="T21" s="4" t="inlineStr">
        <is>
          <t>인원</t>
        </is>
      </c>
      <c r="U21" s="4" t="inlineStr">
        <is>
          <t>공수1
평균</t>
        </is>
      </c>
      <c r="V21" s="4" t="inlineStr">
        <is>
          <t>공수2
평균</t>
        </is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IF(AND('설정'!$B$10&lt;&gt;"",'학생명단'!K22&lt;&gt;""),'설정'!$B$10,IF(OR(K22='설정'!$B$6,K22='설정'!$B$8),SUBSTITUTE(K22,"반","")&amp;IF(ISNUMBER(SEARCH("월",'학생명단'!G22)),"월금",IF(ISNUMBER(SEARCH("화",'학생명단'!G22)),"화목","반")),K22)))</f>
        <v/>
      </c>
      <c r="P22" s="30">
        <f>IF(I22="","",IF(G22="","공수1 미응시",IF(H22="","공수2 미응시","")))</f>
        <v/>
      </c>
      <c r="Q22" s="10">
        <f>IF(J22="","",J22+ROW()/100000)</f>
        <v/>
      </c>
      <c r="S22" s="31">
        <f>IF('설정'!$B$10="","-",'설정'!$B$10)</f>
        <v/>
      </c>
      <c r="T22" s="27">
        <f>COUNTIF($O$7:$O$156,S22)</f>
        <v/>
      </c>
      <c r="U22" s="32">
        <f>IFERROR(AVERAGEIF($O$7:$O$156,S22,$G$7:$G$156),"")</f>
        <v/>
      </c>
      <c r="V22" s="32">
        <f>IFERROR(AVERAGEIF($O$7:$O$156,S22,$H$7:$H$156),"")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IF(AND('설정'!$B$10&lt;&gt;"",'학생명단'!K23&lt;&gt;""),'설정'!$B$10,IF(OR(K23='설정'!$B$6,K23='설정'!$B$8),SUBSTITUTE(K23,"반","")&amp;IF(ISNUMBER(SEARCH("월",'학생명단'!G23)),"월금",IF(ISNUMBER(SEARCH("화",'학생명단'!G23)),"화목","반")),K23)))</f>
        <v/>
      </c>
      <c r="P23" s="30">
        <f>IF(I23="","",IF(G23="","공수1 미응시",IF(H23="","공수2 미응시","")))</f>
        <v/>
      </c>
      <c r="Q23" s="10">
        <f>IF(J23="","",J23+ROW()/100000)</f>
        <v/>
      </c>
      <c r="S23" s="31">
        <f>SUBSTITUTE('설정'!$B$6,"반","")&amp;"월금"</f>
        <v/>
      </c>
      <c r="T23" s="27">
        <f>COUNTIF($O$7:$O$156,S23)</f>
        <v/>
      </c>
      <c r="U23" s="32">
        <f>IFERROR(AVERAGEIF($O$7:$O$156,S23,$G$7:$G$156),"")</f>
        <v/>
      </c>
      <c r="V23" s="32">
        <f>IFERROR(AVERAGEIF($O$7:$O$156,S23,$H$7:$H$156),"")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IF(AND('설정'!$B$10&lt;&gt;"",'학생명단'!K24&lt;&gt;""),'설정'!$B$10,IF(OR(K24='설정'!$B$6,K24='설정'!$B$8),SUBSTITUTE(K24,"반","")&amp;IF(ISNUMBER(SEARCH("월",'학생명단'!G24)),"월금",IF(ISNUMBER(SEARCH("화",'학생명단'!G24)),"화목","반")),K24)))</f>
        <v/>
      </c>
      <c r="P24" s="30">
        <f>IF(I24="","",IF(G24="","공수1 미응시",IF(H24="","공수2 미응시","")))</f>
        <v/>
      </c>
      <c r="Q24" s="10">
        <f>IF(J24="","",J24+ROW()/100000)</f>
        <v/>
      </c>
      <c r="S24" s="31">
        <f>SUBSTITUTE('설정'!$B$6,"반","")&amp;"화목"</f>
        <v/>
      </c>
      <c r="T24" s="27">
        <f>COUNTIF($O$7:$O$156,S24)</f>
        <v/>
      </c>
      <c r="U24" s="32">
        <f>IFERROR(AVERAGEIF($O$7:$O$156,S24,$G$7:$G$156),"")</f>
        <v/>
      </c>
      <c r="V24" s="32">
        <f>IFERROR(AVERAGEIF($O$7:$O$156,S24,$H$7:$H$156),"")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IF(AND('설정'!$B$10&lt;&gt;"",'학생명단'!K25&lt;&gt;""),'설정'!$B$10,IF(OR(K25='설정'!$B$6,K25='설정'!$B$8),SUBSTITUTE(K25,"반","")&amp;IF(ISNUMBER(SEARCH("월",'학생명단'!G25)),"월금",IF(ISNUMBER(SEARCH("화",'학생명단'!G25)),"화목","반")),K25)))</f>
        <v/>
      </c>
      <c r="P25" s="30">
        <f>IF(I25="","",IF(G25="","공수1 미응시",IF(H25="","공수2 미응시","")))</f>
        <v/>
      </c>
      <c r="Q25" s="10">
        <f>IF(J25="","",J25+ROW()/100000)</f>
        <v/>
      </c>
      <c r="S25" s="34">
        <f>SUBSTITUTE('설정'!$B$8,"반","")&amp;"월금"</f>
        <v/>
      </c>
      <c r="T25" s="27">
        <f>COUNTIF($O$7:$O$156,S25)</f>
        <v/>
      </c>
      <c r="U25" s="32">
        <f>IFERROR(AVERAGEIF($O$7:$O$156,S25,$G$7:$G$156),"")</f>
        <v/>
      </c>
      <c r="V25" s="32">
        <f>IFERROR(AVERAGEIF($O$7:$O$156,S25,$H$7:$H$156),"")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IF(AND('설정'!$B$10&lt;&gt;"",'학생명단'!K26&lt;&gt;""),'설정'!$B$10,IF(OR(K26='설정'!$B$6,K26='설정'!$B$8),SUBSTITUTE(K26,"반","")&amp;IF(ISNUMBER(SEARCH("월",'학생명단'!G26)),"월금",IF(ISNUMBER(SEARCH("화",'학생명단'!G26)),"화목","반")),K26)))</f>
        <v/>
      </c>
      <c r="P26" s="30">
        <f>IF(I26="","",IF(G26="","공수1 미응시",IF(H26="","공수2 미응시","")))</f>
        <v/>
      </c>
      <c r="Q26" s="10">
        <f>IF(J26="","",J26+ROW()/100000)</f>
        <v/>
      </c>
      <c r="S26" s="34">
        <f>SUBSTITUTE('설정'!$B$8,"반","")&amp;"화목"</f>
        <v/>
      </c>
      <c r="T26" s="27">
        <f>COUNTIF($O$7:$O$156,S26)</f>
        <v/>
      </c>
      <c r="U26" s="32">
        <f>IFERROR(AVERAGEIF($O$7:$O$156,S26,$G$7:$G$156),"")</f>
        <v/>
      </c>
      <c r="V26" s="32">
        <f>IFERROR(AVERAGEIF($O$7:$O$156,S26,$H$7:$H$156),"")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IF(AND('설정'!$B$10&lt;&gt;"",'학생명단'!K27&lt;&gt;""),'설정'!$B$10,IF(OR(K27='설정'!$B$6,K27='설정'!$B$8),SUBSTITUTE(K27,"반","")&amp;IF(ISNUMBER(SEARCH("월",'학생명단'!G27)),"월금",IF(ISNUMBER(SEARCH("화",'학생명단'!G27)),"화목","반")),K27))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IF(AND('설정'!$B$10&lt;&gt;"",'학생명단'!K28&lt;&gt;""),'설정'!$B$10,IF(OR(K28='설정'!$B$6,K28='설정'!$B$8),SUBSTITUTE(K28,"반","")&amp;IF(ISNUMBER(SEARCH("월",'학생명단'!G28)),"월금",IF(ISNUMBER(SEARCH("화",'학생명단'!G28)),"화목","반")),K28))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IF(AND('설정'!$B$10&lt;&gt;"",'학생명단'!K29&lt;&gt;""),'설정'!$B$10,IF(OR(K29='설정'!$B$6,K29='설정'!$B$8),SUBSTITUTE(K29,"반","")&amp;IF(ISNUMBER(SEARCH("월",'학생명단'!G29)),"월금",IF(ISNUMBER(SEARCH("화",'학생명단'!G29)),"화목","반")),K29))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IF(AND('설정'!$B$10&lt;&gt;"",'학생명단'!K30&lt;&gt;""),'설정'!$B$10,IF(OR(K30='설정'!$B$6,K30='설정'!$B$8),SUBSTITUTE(K30,"반","")&amp;IF(ISNUMBER(SEARCH("월",'학생명단'!G30)),"월금",IF(ISNUMBER(SEARCH("화",'학생명단'!G30)),"화목","반")),K30))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IF(AND('설정'!$B$10&lt;&gt;"",'학생명단'!K31&lt;&gt;""),'설정'!$B$10,IF(OR(K31='설정'!$B$6,K31='설정'!$B$8),SUBSTITUTE(K31,"반","")&amp;IF(ISNUMBER(SEARCH("월",'학생명단'!G31)),"월금",IF(ISNUMBER(SEARCH("화",'학생명단'!G31)),"화목","반")),K31))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IF(AND('설정'!$B$10&lt;&gt;"",'학생명단'!K32&lt;&gt;""),'설정'!$B$10,IF(OR(K32='설정'!$B$6,K32='설정'!$B$8),SUBSTITUTE(K32,"반","")&amp;IF(ISNUMBER(SEARCH("월",'학생명단'!G32)),"월금",IF(ISNUMBER(SEARCH("화",'학생명단'!G32)),"화목","반")),K32))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IF(AND('설정'!$B$10&lt;&gt;"",'학생명단'!K33&lt;&gt;""),'설정'!$B$10,IF(OR(K33='설정'!$B$6,K33='설정'!$B$8),SUBSTITUTE(K33,"반","")&amp;IF(ISNUMBER(SEARCH("월",'학생명단'!G33)),"월금",IF(ISNUMBER(SEARCH("화",'학생명단'!G33)),"화목","반")),K33))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IF(AND('설정'!$B$10&lt;&gt;"",'학생명단'!K34&lt;&gt;""),'설정'!$B$10,IF(OR(K34='설정'!$B$6,K34='설정'!$B$8),SUBSTITUTE(K34,"반","")&amp;IF(ISNUMBER(SEARCH("월",'학생명단'!G34)),"월금",IF(ISNUMBER(SEARCH("화",'학생명단'!G34)),"화목","반")),K34))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IF(AND('설정'!$B$10&lt;&gt;"",'학생명단'!K35&lt;&gt;""),'설정'!$B$10,IF(OR(K35='설정'!$B$6,K35='설정'!$B$8),SUBSTITUTE(K35,"반","")&amp;IF(ISNUMBER(SEARCH("월",'학생명단'!G35)),"월금",IF(ISNUMBER(SEARCH("화",'학생명단'!G35)),"화목","반")),K35))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IF(AND('설정'!$B$10&lt;&gt;"",'학생명단'!K36&lt;&gt;""),'설정'!$B$10,IF(OR(K36='설정'!$B$6,K36='설정'!$B$8),SUBSTITUTE(K36,"반","")&amp;IF(ISNUMBER(SEARCH("월",'학생명단'!G36)),"월금",IF(ISNUMBER(SEARCH("화",'학생명단'!G36)),"화목","반")),K36))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IF(AND('설정'!$B$10&lt;&gt;"",'학생명단'!K37&lt;&gt;""),'설정'!$B$10,IF(OR(K37='설정'!$B$6,K37='설정'!$B$8),SUBSTITUTE(K37,"반","")&amp;IF(ISNUMBER(SEARCH("월",'학생명단'!G37)),"월금",IF(ISNUMBER(SEARCH("화",'학생명단'!G37)),"화목","반")),K37))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IF(AND('설정'!$B$10&lt;&gt;"",'학생명단'!K38&lt;&gt;""),'설정'!$B$10,IF(OR(K38='설정'!$B$6,K38='설정'!$B$8),SUBSTITUTE(K38,"반","")&amp;IF(ISNUMBER(SEARCH("월",'학생명단'!G38)),"월금",IF(ISNUMBER(SEARCH("화",'학생명단'!G38)),"화목","반")),K38))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IF(AND('설정'!$B$10&lt;&gt;"",'학생명단'!K39&lt;&gt;""),'설정'!$B$10,IF(OR(K39='설정'!$B$6,K39='설정'!$B$8),SUBSTITUTE(K39,"반","")&amp;IF(ISNUMBER(SEARCH("월",'학생명단'!G39)),"월금",IF(ISNUMBER(SEARCH("화",'학생명단'!G39)),"화목","반")),K39))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IF(AND('설정'!$B$10&lt;&gt;"",'학생명단'!K40&lt;&gt;""),'설정'!$B$10,IF(OR(K40='설정'!$B$6,K40='설정'!$B$8),SUBSTITUTE(K40,"반","")&amp;IF(ISNUMBER(SEARCH("월",'학생명단'!G40)),"월금",IF(ISNUMBER(SEARCH("화",'학생명단'!G40)),"화목","반")),K40))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IF(AND('설정'!$B$10&lt;&gt;"",'학생명단'!K41&lt;&gt;""),'설정'!$B$10,IF(OR(K41='설정'!$B$6,K41='설정'!$B$8),SUBSTITUTE(K41,"반","")&amp;IF(ISNUMBER(SEARCH("월",'학생명단'!G41)),"월금",IF(ISNUMBER(SEARCH("화",'학생명단'!G41)),"화목","반")),K41))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IF(AND('설정'!$B$10&lt;&gt;"",'학생명단'!K42&lt;&gt;""),'설정'!$B$10,IF(OR(K42='설정'!$B$6,K42='설정'!$B$8),SUBSTITUTE(K42,"반","")&amp;IF(ISNUMBER(SEARCH("월",'학생명단'!G42)),"월금",IF(ISNUMBER(SEARCH("화",'학생명단'!G42)),"화목","반")),K42))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IF(AND('설정'!$B$10&lt;&gt;"",'학생명단'!K43&lt;&gt;""),'설정'!$B$10,IF(OR(K43='설정'!$B$6,K43='설정'!$B$8),SUBSTITUTE(K43,"반","")&amp;IF(ISNUMBER(SEARCH("월",'학생명단'!G43)),"월금",IF(ISNUMBER(SEARCH("화",'학생명단'!G43)),"화목","반")),K43))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IF(AND('설정'!$B$10&lt;&gt;"",'학생명단'!K44&lt;&gt;""),'설정'!$B$10,IF(OR(K44='설정'!$B$6,K44='설정'!$B$8),SUBSTITUTE(K44,"반","")&amp;IF(ISNUMBER(SEARCH("월",'학생명단'!G44)),"월금",IF(ISNUMBER(SEARCH("화",'학생명단'!G44)),"화목","반")),K44))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IF(AND('설정'!$B$10&lt;&gt;"",'학생명단'!K45&lt;&gt;""),'설정'!$B$10,IF(OR(K45='설정'!$B$6,K45='설정'!$B$8),SUBSTITUTE(K45,"반","")&amp;IF(ISNUMBER(SEARCH("월",'학생명단'!G45)),"월금",IF(ISNUMBER(SEARCH("화",'학생명단'!G45)),"화목","반")),K45))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IF(AND('설정'!$B$10&lt;&gt;"",'학생명단'!K46&lt;&gt;""),'설정'!$B$10,IF(OR(K46='설정'!$B$6,K46='설정'!$B$8),SUBSTITUTE(K46,"반","")&amp;IF(ISNUMBER(SEARCH("월",'학생명단'!G46)),"월금",IF(ISNUMBER(SEARCH("화",'학생명단'!G46)),"화목","반")),K46))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IF(AND('설정'!$B$10&lt;&gt;"",'학생명단'!K47&lt;&gt;""),'설정'!$B$10,IF(OR(K47='설정'!$B$6,K47='설정'!$B$8),SUBSTITUTE(K47,"반","")&amp;IF(ISNUMBER(SEARCH("월",'학생명단'!G47)),"월금",IF(ISNUMBER(SEARCH("화",'학생명단'!G47)),"화목","반")),K47))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IF(AND('설정'!$B$10&lt;&gt;"",'학생명단'!K48&lt;&gt;""),'설정'!$B$10,IF(OR(K48='설정'!$B$6,K48='설정'!$B$8),SUBSTITUTE(K48,"반","")&amp;IF(ISNUMBER(SEARCH("월",'학생명단'!G48)),"월금",IF(ISNUMBER(SEARCH("화",'학생명단'!G48)),"화목","반")),K48))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IF(AND('설정'!$B$10&lt;&gt;"",'학생명단'!K49&lt;&gt;""),'설정'!$B$10,IF(OR(K49='설정'!$B$6,K49='설정'!$B$8),SUBSTITUTE(K49,"반","")&amp;IF(ISNUMBER(SEARCH("월",'학생명단'!G49)),"월금",IF(ISNUMBER(SEARCH("화",'학생명단'!G49)),"화목","반")),K49))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IF(AND('설정'!$B$10&lt;&gt;"",'학생명단'!K50&lt;&gt;""),'설정'!$B$10,IF(OR(K50='설정'!$B$6,K50='설정'!$B$8),SUBSTITUTE(K50,"반","")&amp;IF(ISNUMBER(SEARCH("월",'학생명단'!G50)),"월금",IF(ISNUMBER(SEARCH("화",'학생명단'!G50)),"화목","반")),K50))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IF(AND('설정'!$B$10&lt;&gt;"",'학생명단'!K51&lt;&gt;""),'설정'!$B$10,IF(OR(K51='설정'!$B$6,K51='설정'!$B$8),SUBSTITUTE(K51,"반","")&amp;IF(ISNUMBER(SEARCH("월",'학생명단'!G51)),"월금",IF(ISNUMBER(SEARCH("화",'학생명단'!G51)),"화목","반")),K51))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IF(AND('설정'!$B$10&lt;&gt;"",'학생명단'!K52&lt;&gt;""),'설정'!$B$10,IF(OR(K52='설정'!$B$6,K52='설정'!$B$8),SUBSTITUTE(K52,"반","")&amp;IF(ISNUMBER(SEARCH("월",'학생명단'!G52)),"월금",IF(ISNUMBER(SEARCH("화",'학생명단'!G52)),"화목","반")),K52))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IF(AND('설정'!$B$10&lt;&gt;"",'학생명단'!K53&lt;&gt;""),'설정'!$B$10,IF(OR(K53='설정'!$B$6,K53='설정'!$B$8),SUBSTITUTE(K53,"반","")&amp;IF(ISNUMBER(SEARCH("월",'학생명단'!G53)),"월금",IF(ISNUMBER(SEARCH("화",'학생명단'!G53)),"화목","반")),K53))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IF(AND('설정'!$B$10&lt;&gt;"",'학생명단'!K54&lt;&gt;""),'설정'!$B$10,IF(OR(K54='설정'!$B$6,K54='설정'!$B$8),SUBSTITUTE(K54,"반","")&amp;IF(ISNUMBER(SEARCH("월",'학생명단'!G54)),"월금",IF(ISNUMBER(SEARCH("화",'학생명단'!G54)),"화목","반")),K54))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IF(AND('설정'!$B$10&lt;&gt;"",'학생명단'!K55&lt;&gt;""),'설정'!$B$10,IF(OR(K55='설정'!$B$6,K55='설정'!$B$8),SUBSTITUTE(K55,"반","")&amp;IF(ISNUMBER(SEARCH("월",'학생명단'!G55)),"월금",IF(ISNUMBER(SEARCH("화",'학생명단'!G55)),"화목","반")),K55))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IF(AND('설정'!$B$10&lt;&gt;"",'학생명단'!K56&lt;&gt;""),'설정'!$B$10,IF(OR(K56='설정'!$B$6,K56='설정'!$B$8),SUBSTITUTE(K56,"반","")&amp;IF(ISNUMBER(SEARCH("월",'학생명단'!G56)),"월금",IF(ISNUMBER(SEARCH("화",'학생명단'!G56)),"화목","반")),K56))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IF(AND('설정'!$B$10&lt;&gt;"",'학생명단'!K57&lt;&gt;""),'설정'!$B$10,IF(OR(K57='설정'!$B$6,K57='설정'!$B$8),SUBSTITUTE(K57,"반","")&amp;IF(ISNUMBER(SEARCH("월",'학생명단'!G57)),"월금",IF(ISNUMBER(SEARCH("화",'학생명단'!G57)),"화목","반")),K57))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IF(AND('설정'!$B$10&lt;&gt;"",'학생명단'!K58&lt;&gt;""),'설정'!$B$10,IF(OR(K58='설정'!$B$6,K58='설정'!$B$8),SUBSTITUTE(K58,"반","")&amp;IF(ISNUMBER(SEARCH("월",'학생명단'!G58)),"월금",IF(ISNUMBER(SEARCH("화",'학생명단'!G58)),"화목","반")),K58))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IF(AND('설정'!$B$10&lt;&gt;"",'학생명단'!K59&lt;&gt;""),'설정'!$B$10,IF(OR(K59='설정'!$B$6,K59='설정'!$B$8),SUBSTITUTE(K59,"반","")&amp;IF(ISNUMBER(SEARCH("월",'학생명단'!G59)),"월금",IF(ISNUMBER(SEARCH("화",'학생명단'!G59)),"화목","반")),K59))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IF(AND('설정'!$B$10&lt;&gt;"",'학생명단'!K60&lt;&gt;""),'설정'!$B$10,IF(OR(K60='설정'!$B$6,K60='설정'!$B$8),SUBSTITUTE(K60,"반","")&amp;IF(ISNUMBER(SEARCH("월",'학생명단'!G60)),"월금",IF(ISNUMBER(SEARCH("화",'학생명단'!G60)),"화목","반")),K60))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IF(AND('설정'!$B$10&lt;&gt;"",'학생명단'!K61&lt;&gt;""),'설정'!$B$10,IF(OR(K61='설정'!$B$6,K61='설정'!$B$8),SUBSTITUTE(K61,"반","")&amp;IF(ISNUMBER(SEARCH("월",'학생명단'!G61)),"월금",IF(ISNUMBER(SEARCH("화",'학생명단'!G61)),"화목","반")),K61))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IF(AND('설정'!$B$10&lt;&gt;"",'학생명단'!K62&lt;&gt;""),'설정'!$B$10,IF(OR(K62='설정'!$B$6,K62='설정'!$B$8),SUBSTITUTE(K62,"반","")&amp;IF(ISNUMBER(SEARCH("월",'학생명단'!G62)),"월금",IF(ISNUMBER(SEARCH("화",'학생명단'!G62)),"화목","반")),K62))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IF(AND('설정'!$B$10&lt;&gt;"",'학생명단'!K63&lt;&gt;""),'설정'!$B$10,IF(OR(K63='설정'!$B$6,K63='설정'!$B$8),SUBSTITUTE(K63,"반","")&amp;IF(ISNUMBER(SEARCH("월",'학생명단'!G63)),"월금",IF(ISNUMBER(SEARCH("화",'학생명단'!G63)),"화목","반")),K63))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IF(AND('설정'!$B$10&lt;&gt;"",'학생명단'!K64&lt;&gt;""),'설정'!$B$10,IF(OR(K64='설정'!$B$6,K64='설정'!$B$8),SUBSTITUTE(K64,"반","")&amp;IF(ISNUMBER(SEARCH("월",'학생명단'!G64)),"월금",IF(ISNUMBER(SEARCH("화",'학생명단'!G64)),"화목","반")),K64))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IF(AND('설정'!$B$10&lt;&gt;"",'학생명단'!K65&lt;&gt;""),'설정'!$B$10,IF(OR(K65='설정'!$B$6,K65='설정'!$B$8),SUBSTITUTE(K65,"반","")&amp;IF(ISNUMBER(SEARCH("월",'학생명단'!G65)),"월금",IF(ISNUMBER(SEARCH("화",'학생명단'!G65)),"화목","반")),K65))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IF(AND('설정'!$B$10&lt;&gt;"",'학생명단'!K66&lt;&gt;""),'설정'!$B$10,IF(OR(K66='설정'!$B$6,K66='설정'!$B$8),SUBSTITUTE(K66,"반","")&amp;IF(ISNUMBER(SEARCH("월",'학생명단'!G66)),"월금",IF(ISNUMBER(SEARCH("화",'학생명단'!G66)),"화목","반")),K66))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IF(AND('설정'!$B$10&lt;&gt;"",'학생명단'!K67&lt;&gt;""),'설정'!$B$10,IF(OR(K67='설정'!$B$6,K67='설정'!$B$8),SUBSTITUTE(K67,"반","")&amp;IF(ISNUMBER(SEARCH("월",'학생명단'!G67)),"월금",IF(ISNUMBER(SEARCH("화",'학생명단'!G67)),"화목","반")),K67))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IF(AND('설정'!$B$10&lt;&gt;"",'학생명단'!K68&lt;&gt;""),'설정'!$B$10,IF(OR(K68='설정'!$B$6,K68='설정'!$B$8),SUBSTITUTE(K68,"반","")&amp;IF(ISNUMBER(SEARCH("월",'학생명단'!G68)),"월금",IF(ISNUMBER(SEARCH("화",'학생명단'!G68)),"화목","반")),K68))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IF(AND('설정'!$B$10&lt;&gt;"",'학생명단'!K69&lt;&gt;""),'설정'!$B$10,IF(OR(K69='설정'!$B$6,K69='설정'!$B$8),SUBSTITUTE(K69,"반","")&amp;IF(ISNUMBER(SEARCH("월",'학생명단'!G69)),"월금",IF(ISNUMBER(SEARCH("화",'학생명단'!G69)),"화목","반")),K69))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IF(AND('설정'!$B$10&lt;&gt;"",'학생명단'!K70&lt;&gt;""),'설정'!$B$10,IF(OR(K70='설정'!$B$6,K70='설정'!$B$8),SUBSTITUTE(K70,"반","")&amp;IF(ISNUMBER(SEARCH("월",'학생명단'!G70)),"월금",IF(ISNUMBER(SEARCH("화",'학생명단'!G70)),"화목","반")),K70))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IF(AND('설정'!$B$10&lt;&gt;"",'학생명단'!K71&lt;&gt;""),'설정'!$B$10,IF(OR(K71='설정'!$B$6,K71='설정'!$B$8),SUBSTITUTE(K71,"반","")&amp;IF(ISNUMBER(SEARCH("월",'학생명단'!G71)),"월금",IF(ISNUMBER(SEARCH("화",'학생명단'!G71)),"화목","반")),K71))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IF(AND('설정'!$B$10&lt;&gt;"",'학생명단'!K72&lt;&gt;""),'설정'!$B$10,IF(OR(K72='설정'!$B$6,K72='설정'!$B$8),SUBSTITUTE(K72,"반","")&amp;IF(ISNUMBER(SEARCH("월",'학생명단'!G72)),"월금",IF(ISNUMBER(SEARCH("화",'학생명단'!G72)),"화목","반")),K72))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IF(AND('설정'!$B$10&lt;&gt;"",'학생명단'!K73&lt;&gt;""),'설정'!$B$10,IF(OR(K73='설정'!$B$6,K73='설정'!$B$8),SUBSTITUTE(K73,"반","")&amp;IF(ISNUMBER(SEARCH("월",'학생명단'!G73)),"월금",IF(ISNUMBER(SEARCH("화",'학생명단'!G73)),"화목","반")),K73))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IF(AND('설정'!$B$10&lt;&gt;"",'학생명단'!K74&lt;&gt;""),'설정'!$B$10,IF(OR(K74='설정'!$B$6,K74='설정'!$B$8),SUBSTITUTE(K74,"반","")&amp;IF(ISNUMBER(SEARCH("월",'학생명단'!G74)),"월금",IF(ISNUMBER(SEARCH("화",'학생명단'!G74)),"화목","반")),K74))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IF(AND('설정'!$B$10&lt;&gt;"",'학생명단'!K75&lt;&gt;""),'설정'!$B$10,IF(OR(K75='설정'!$B$6,K75='설정'!$B$8),SUBSTITUTE(K75,"반","")&amp;IF(ISNUMBER(SEARCH("월",'학생명단'!G75)),"월금",IF(ISNUMBER(SEARCH("화",'학생명단'!G75)),"화목","반")),K75))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IF(AND('설정'!$B$10&lt;&gt;"",'학생명단'!K76&lt;&gt;""),'설정'!$B$10,IF(OR(K76='설정'!$B$6,K76='설정'!$B$8),SUBSTITUTE(K76,"반","")&amp;IF(ISNUMBER(SEARCH("월",'학생명단'!G76)),"월금",IF(ISNUMBER(SEARCH("화",'학생명단'!G76)),"화목","반")),K76))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IF(AND('설정'!$B$10&lt;&gt;"",'학생명단'!K77&lt;&gt;""),'설정'!$B$10,IF(OR(K77='설정'!$B$6,K77='설정'!$B$8),SUBSTITUTE(K77,"반","")&amp;IF(ISNUMBER(SEARCH("월",'학생명단'!G77)),"월금",IF(ISNUMBER(SEARCH("화",'학생명단'!G77)),"화목","반")),K77))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IF(AND('설정'!$B$10&lt;&gt;"",'학생명단'!K78&lt;&gt;""),'설정'!$B$10,IF(OR(K78='설정'!$B$6,K78='설정'!$B$8),SUBSTITUTE(K78,"반","")&amp;IF(ISNUMBER(SEARCH("월",'학생명단'!G78)),"월금",IF(ISNUMBER(SEARCH("화",'학생명단'!G78)),"화목","반")),K78))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IF(AND('설정'!$B$10&lt;&gt;"",'학생명단'!K79&lt;&gt;""),'설정'!$B$10,IF(OR(K79='설정'!$B$6,K79='설정'!$B$8),SUBSTITUTE(K79,"반","")&amp;IF(ISNUMBER(SEARCH("월",'학생명단'!G79)),"월금",IF(ISNUMBER(SEARCH("화",'학생명단'!G79)),"화목","반")),K79))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IF(AND('설정'!$B$10&lt;&gt;"",'학생명단'!K80&lt;&gt;""),'설정'!$B$10,IF(OR(K80='설정'!$B$6,K80='설정'!$B$8),SUBSTITUTE(K80,"반","")&amp;IF(ISNUMBER(SEARCH("월",'학생명단'!G80)),"월금",IF(ISNUMBER(SEARCH("화",'학생명단'!G80)),"화목","반")),K80))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IF(AND('설정'!$B$10&lt;&gt;"",'학생명단'!K81&lt;&gt;""),'설정'!$B$10,IF(OR(K81='설정'!$B$6,K81='설정'!$B$8),SUBSTITUTE(K81,"반","")&amp;IF(ISNUMBER(SEARCH("월",'학생명단'!G81)),"월금",IF(ISNUMBER(SEARCH("화",'학생명단'!G81)),"화목","반")),K81))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IF(AND('설정'!$B$10&lt;&gt;"",'학생명단'!K82&lt;&gt;""),'설정'!$B$10,IF(OR(K82='설정'!$B$6,K82='설정'!$B$8),SUBSTITUTE(K82,"반","")&amp;IF(ISNUMBER(SEARCH("월",'학생명단'!G82)),"월금",IF(ISNUMBER(SEARCH("화",'학생명단'!G82)),"화목","반")),K82))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IF(AND('설정'!$B$10&lt;&gt;"",'학생명단'!K83&lt;&gt;""),'설정'!$B$10,IF(OR(K83='설정'!$B$6,K83='설정'!$B$8),SUBSTITUTE(K83,"반","")&amp;IF(ISNUMBER(SEARCH("월",'학생명단'!G83)),"월금",IF(ISNUMBER(SEARCH("화",'학생명단'!G83)),"화목","반")),K83))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IF(AND('설정'!$B$10&lt;&gt;"",'학생명단'!K84&lt;&gt;""),'설정'!$B$10,IF(OR(K84='설정'!$B$6,K84='설정'!$B$8),SUBSTITUTE(K84,"반","")&amp;IF(ISNUMBER(SEARCH("월",'학생명단'!G84)),"월금",IF(ISNUMBER(SEARCH("화",'학생명단'!G84)),"화목","반")),K84))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IF(AND('설정'!$B$10&lt;&gt;"",'학생명단'!K85&lt;&gt;""),'설정'!$B$10,IF(OR(K85='설정'!$B$6,K85='설정'!$B$8),SUBSTITUTE(K85,"반","")&amp;IF(ISNUMBER(SEARCH("월",'학생명단'!G85)),"월금",IF(ISNUMBER(SEARCH("화",'학생명단'!G85)),"화목","반")),K85))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IF(AND('설정'!$B$10&lt;&gt;"",'학생명단'!K86&lt;&gt;""),'설정'!$B$10,IF(OR(K86='설정'!$B$6,K86='설정'!$B$8),SUBSTITUTE(K86,"반","")&amp;IF(ISNUMBER(SEARCH("월",'학생명단'!G86)),"월금",IF(ISNUMBER(SEARCH("화",'학생명단'!G86)),"화목","반")),K86))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IF(AND('설정'!$B$10&lt;&gt;"",'학생명단'!K87&lt;&gt;""),'설정'!$B$10,IF(OR(K87='설정'!$B$6,K87='설정'!$B$8),SUBSTITUTE(K87,"반","")&amp;IF(ISNUMBER(SEARCH("월",'학생명단'!G87)),"월금",IF(ISNUMBER(SEARCH("화",'학생명단'!G87)),"화목","반")),K87))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IF(AND('설정'!$B$10&lt;&gt;"",'학생명단'!K88&lt;&gt;""),'설정'!$B$10,IF(OR(K88='설정'!$B$6,K88='설정'!$B$8),SUBSTITUTE(K88,"반","")&amp;IF(ISNUMBER(SEARCH("월",'학생명단'!G88)),"월금",IF(ISNUMBER(SEARCH("화",'학생명단'!G88)),"화목","반")),K88))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IF(AND('설정'!$B$10&lt;&gt;"",'학생명단'!K89&lt;&gt;""),'설정'!$B$10,IF(OR(K89='설정'!$B$6,K89='설정'!$B$8),SUBSTITUTE(K89,"반","")&amp;IF(ISNUMBER(SEARCH("월",'학생명단'!G89)),"월금",IF(ISNUMBER(SEARCH("화",'학생명단'!G89)),"화목","반")),K89))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IF(AND('설정'!$B$10&lt;&gt;"",'학생명단'!K90&lt;&gt;""),'설정'!$B$10,IF(OR(K90='설정'!$B$6,K90='설정'!$B$8),SUBSTITUTE(K90,"반","")&amp;IF(ISNUMBER(SEARCH("월",'학생명단'!G90)),"월금",IF(ISNUMBER(SEARCH("화",'학생명단'!G90)),"화목","반")),K90))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IF(AND('설정'!$B$10&lt;&gt;"",'학생명단'!K91&lt;&gt;""),'설정'!$B$10,IF(OR(K91='설정'!$B$6,K91='설정'!$B$8),SUBSTITUTE(K91,"반","")&amp;IF(ISNUMBER(SEARCH("월",'학생명단'!G91)),"월금",IF(ISNUMBER(SEARCH("화",'학생명단'!G91)),"화목","반")),K91))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IF(AND('설정'!$B$10&lt;&gt;"",'학생명단'!K92&lt;&gt;""),'설정'!$B$10,IF(OR(K92='설정'!$B$6,K92='설정'!$B$8),SUBSTITUTE(K92,"반","")&amp;IF(ISNUMBER(SEARCH("월",'학생명단'!G92)),"월금",IF(ISNUMBER(SEARCH("화",'학생명단'!G92)),"화목","반")),K92))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IF(AND('설정'!$B$10&lt;&gt;"",'학생명단'!K93&lt;&gt;""),'설정'!$B$10,IF(OR(K93='설정'!$B$6,K93='설정'!$B$8),SUBSTITUTE(K93,"반","")&amp;IF(ISNUMBER(SEARCH("월",'학생명단'!G93)),"월금",IF(ISNUMBER(SEARCH("화",'학생명단'!G93)),"화목","반")),K93))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IF(AND('설정'!$B$10&lt;&gt;"",'학생명단'!K94&lt;&gt;""),'설정'!$B$10,IF(OR(K94='설정'!$B$6,K94='설정'!$B$8),SUBSTITUTE(K94,"반","")&amp;IF(ISNUMBER(SEARCH("월",'학생명단'!G94)),"월금",IF(ISNUMBER(SEARCH("화",'학생명단'!G94)),"화목","반")),K94))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IF(AND('설정'!$B$10&lt;&gt;"",'학생명단'!K95&lt;&gt;""),'설정'!$B$10,IF(OR(K95='설정'!$B$6,K95='설정'!$B$8),SUBSTITUTE(K95,"반","")&amp;IF(ISNUMBER(SEARCH("월",'학생명단'!G95)),"월금",IF(ISNUMBER(SEARCH("화",'학생명단'!G95)),"화목","반")),K95))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IF(AND('설정'!$B$10&lt;&gt;"",'학생명단'!K96&lt;&gt;""),'설정'!$B$10,IF(OR(K96='설정'!$B$6,K96='설정'!$B$8),SUBSTITUTE(K96,"반","")&amp;IF(ISNUMBER(SEARCH("월",'학생명단'!G96)),"월금",IF(ISNUMBER(SEARCH("화",'학생명단'!G96)),"화목","반")),K96))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IF(AND('설정'!$B$10&lt;&gt;"",'학생명단'!K97&lt;&gt;""),'설정'!$B$10,IF(OR(K97='설정'!$B$6,K97='설정'!$B$8),SUBSTITUTE(K97,"반","")&amp;IF(ISNUMBER(SEARCH("월",'학생명단'!G97)),"월금",IF(ISNUMBER(SEARCH("화",'학생명단'!G97)),"화목","반")),K97))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IF(AND('설정'!$B$10&lt;&gt;"",'학생명단'!K98&lt;&gt;""),'설정'!$B$10,IF(OR(K98='설정'!$B$6,K98='설정'!$B$8),SUBSTITUTE(K98,"반","")&amp;IF(ISNUMBER(SEARCH("월",'학생명단'!G98)),"월금",IF(ISNUMBER(SEARCH("화",'학생명단'!G98)),"화목","반")),K98))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IF(AND('설정'!$B$10&lt;&gt;"",'학생명단'!K99&lt;&gt;""),'설정'!$B$10,IF(OR(K99='설정'!$B$6,K99='설정'!$B$8),SUBSTITUTE(K99,"반","")&amp;IF(ISNUMBER(SEARCH("월",'학생명단'!G99)),"월금",IF(ISNUMBER(SEARCH("화",'학생명단'!G99)),"화목","반")),K99))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IF(AND('설정'!$B$10&lt;&gt;"",'학생명단'!K100&lt;&gt;""),'설정'!$B$10,IF(OR(K100='설정'!$B$6,K100='설정'!$B$8),SUBSTITUTE(K100,"반","")&amp;IF(ISNUMBER(SEARCH("월",'학생명단'!G100)),"월금",IF(ISNUMBER(SEARCH("화",'학생명단'!G100)),"화목","반")),K100))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IF(AND('설정'!$B$10&lt;&gt;"",'학생명단'!K101&lt;&gt;""),'설정'!$B$10,IF(OR(K101='설정'!$B$6,K101='설정'!$B$8),SUBSTITUTE(K101,"반","")&amp;IF(ISNUMBER(SEARCH("월",'학생명단'!G101)),"월금",IF(ISNUMBER(SEARCH("화",'학생명단'!G101)),"화목","반")),K101))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IF(AND('설정'!$B$10&lt;&gt;"",'학생명단'!K102&lt;&gt;""),'설정'!$B$10,IF(OR(K102='설정'!$B$6,K102='설정'!$B$8),SUBSTITUTE(K102,"반","")&amp;IF(ISNUMBER(SEARCH("월",'학생명단'!G102)),"월금",IF(ISNUMBER(SEARCH("화",'학생명단'!G102)),"화목","반")),K102))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IF(AND('설정'!$B$10&lt;&gt;"",'학생명단'!K103&lt;&gt;""),'설정'!$B$10,IF(OR(K103='설정'!$B$6,K103='설정'!$B$8),SUBSTITUTE(K103,"반","")&amp;IF(ISNUMBER(SEARCH("월",'학생명단'!G103)),"월금",IF(ISNUMBER(SEARCH("화",'학생명단'!G103)),"화목","반")),K103))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IF(AND('설정'!$B$10&lt;&gt;"",'학생명단'!K104&lt;&gt;""),'설정'!$B$10,IF(OR(K104='설정'!$B$6,K104='설정'!$B$8),SUBSTITUTE(K104,"반","")&amp;IF(ISNUMBER(SEARCH("월",'학생명단'!G104)),"월금",IF(ISNUMBER(SEARCH("화",'학생명단'!G104)),"화목","반")),K104))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IF(AND('설정'!$B$10&lt;&gt;"",'학생명단'!K105&lt;&gt;""),'설정'!$B$10,IF(OR(K105='설정'!$B$6,K105='설정'!$B$8),SUBSTITUTE(K105,"반","")&amp;IF(ISNUMBER(SEARCH("월",'학생명단'!G105)),"월금",IF(ISNUMBER(SEARCH("화",'학생명단'!G105)),"화목","반")),K105))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IF(AND('설정'!$B$10&lt;&gt;"",'학생명단'!K106&lt;&gt;""),'설정'!$B$10,IF(OR(K106='설정'!$B$6,K106='설정'!$B$8),SUBSTITUTE(K106,"반","")&amp;IF(ISNUMBER(SEARCH("월",'학생명단'!G106)),"월금",IF(ISNUMBER(SEARCH("화",'학생명단'!G106)),"화목","반")),K106))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IF(AND('설정'!$B$10&lt;&gt;"",'학생명단'!K107&lt;&gt;""),'설정'!$B$10,IF(OR(K107='설정'!$B$6,K107='설정'!$B$8),SUBSTITUTE(K107,"반","")&amp;IF(ISNUMBER(SEARCH("월",'학생명단'!G107)),"월금",IF(ISNUMBER(SEARCH("화",'학생명단'!G107)),"화목","반")),K107))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IF(AND('설정'!$B$10&lt;&gt;"",'학생명단'!K108&lt;&gt;""),'설정'!$B$10,IF(OR(K108='설정'!$B$6,K108='설정'!$B$8),SUBSTITUTE(K108,"반","")&amp;IF(ISNUMBER(SEARCH("월",'학생명단'!G108)),"월금",IF(ISNUMBER(SEARCH("화",'학생명단'!G108)),"화목","반")),K108))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IF(AND('설정'!$B$10&lt;&gt;"",'학생명단'!K109&lt;&gt;""),'설정'!$B$10,IF(OR(K109='설정'!$B$6,K109='설정'!$B$8),SUBSTITUTE(K109,"반","")&amp;IF(ISNUMBER(SEARCH("월",'학생명단'!G109)),"월금",IF(ISNUMBER(SEARCH("화",'학생명단'!G109)),"화목","반")),K109))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IF(AND('설정'!$B$10&lt;&gt;"",'학생명단'!K110&lt;&gt;""),'설정'!$B$10,IF(OR(K110='설정'!$B$6,K110='설정'!$B$8),SUBSTITUTE(K110,"반","")&amp;IF(ISNUMBER(SEARCH("월",'학생명단'!G110)),"월금",IF(ISNUMBER(SEARCH("화",'학생명단'!G110)),"화목","반")),K110))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IF(AND('설정'!$B$10&lt;&gt;"",'학생명단'!K111&lt;&gt;""),'설정'!$B$10,IF(OR(K111='설정'!$B$6,K111='설정'!$B$8),SUBSTITUTE(K111,"반","")&amp;IF(ISNUMBER(SEARCH("월",'학생명단'!G111)),"월금",IF(ISNUMBER(SEARCH("화",'학생명단'!G111)),"화목","반")),K111))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IF(AND('설정'!$B$10&lt;&gt;"",'학생명단'!K112&lt;&gt;""),'설정'!$B$10,IF(OR(K112='설정'!$B$6,K112='설정'!$B$8),SUBSTITUTE(K112,"반","")&amp;IF(ISNUMBER(SEARCH("월",'학생명단'!G112)),"월금",IF(ISNUMBER(SEARCH("화",'학생명단'!G112)),"화목","반")),K112))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IF(AND('설정'!$B$10&lt;&gt;"",'학생명단'!K113&lt;&gt;""),'설정'!$B$10,IF(OR(K113='설정'!$B$6,K113='설정'!$B$8),SUBSTITUTE(K113,"반","")&amp;IF(ISNUMBER(SEARCH("월",'학생명단'!G113)),"월금",IF(ISNUMBER(SEARCH("화",'학생명단'!G113)),"화목","반")),K113))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IF(AND('설정'!$B$10&lt;&gt;"",'학생명단'!K114&lt;&gt;""),'설정'!$B$10,IF(OR(K114='설정'!$B$6,K114='설정'!$B$8),SUBSTITUTE(K114,"반","")&amp;IF(ISNUMBER(SEARCH("월",'학생명단'!G114)),"월금",IF(ISNUMBER(SEARCH("화",'학생명단'!G114)),"화목","반")),K114))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IF(AND('설정'!$B$10&lt;&gt;"",'학생명단'!K115&lt;&gt;""),'설정'!$B$10,IF(OR(K115='설정'!$B$6,K115='설정'!$B$8),SUBSTITUTE(K115,"반","")&amp;IF(ISNUMBER(SEARCH("월",'학생명단'!G115)),"월금",IF(ISNUMBER(SEARCH("화",'학생명단'!G115)),"화목","반")),K115))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IF(AND('설정'!$B$10&lt;&gt;"",'학생명단'!K116&lt;&gt;""),'설정'!$B$10,IF(OR(K116='설정'!$B$6,K116='설정'!$B$8),SUBSTITUTE(K116,"반","")&amp;IF(ISNUMBER(SEARCH("월",'학생명단'!G116)),"월금",IF(ISNUMBER(SEARCH("화",'학생명단'!G116)),"화목","반")),K116))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IF(AND('설정'!$B$10&lt;&gt;"",'학생명단'!K117&lt;&gt;""),'설정'!$B$10,IF(OR(K117='설정'!$B$6,K117='설정'!$B$8),SUBSTITUTE(K117,"반","")&amp;IF(ISNUMBER(SEARCH("월",'학생명단'!G117)),"월금",IF(ISNUMBER(SEARCH("화",'학생명단'!G117)),"화목","반")),K117))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IF(AND('설정'!$B$10&lt;&gt;"",'학생명단'!K118&lt;&gt;""),'설정'!$B$10,IF(OR(K118='설정'!$B$6,K118='설정'!$B$8),SUBSTITUTE(K118,"반","")&amp;IF(ISNUMBER(SEARCH("월",'학생명단'!G118)),"월금",IF(ISNUMBER(SEARCH("화",'학생명단'!G118)),"화목","반")),K118))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IF(AND('설정'!$B$10&lt;&gt;"",'학생명단'!K119&lt;&gt;""),'설정'!$B$10,IF(OR(K119='설정'!$B$6,K119='설정'!$B$8),SUBSTITUTE(K119,"반","")&amp;IF(ISNUMBER(SEARCH("월",'학생명단'!G119)),"월금",IF(ISNUMBER(SEARCH("화",'학생명단'!G119)),"화목","반")),K119))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IF(AND('설정'!$B$10&lt;&gt;"",'학생명단'!K120&lt;&gt;""),'설정'!$B$10,IF(OR(K120='설정'!$B$6,K120='설정'!$B$8),SUBSTITUTE(K120,"반","")&amp;IF(ISNUMBER(SEARCH("월",'학생명단'!G120)),"월금",IF(ISNUMBER(SEARCH("화",'학생명단'!G120)),"화목","반")),K120))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IF(AND('설정'!$B$10&lt;&gt;"",'학생명단'!K121&lt;&gt;""),'설정'!$B$10,IF(OR(K121='설정'!$B$6,K121='설정'!$B$8),SUBSTITUTE(K121,"반","")&amp;IF(ISNUMBER(SEARCH("월",'학생명단'!G121)),"월금",IF(ISNUMBER(SEARCH("화",'학생명단'!G121)),"화목","반")),K121))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IF(AND('설정'!$B$10&lt;&gt;"",'학생명단'!K122&lt;&gt;""),'설정'!$B$10,IF(OR(K122='설정'!$B$6,K122='설정'!$B$8),SUBSTITUTE(K122,"반","")&amp;IF(ISNUMBER(SEARCH("월",'학생명단'!G122)),"월금",IF(ISNUMBER(SEARCH("화",'학생명단'!G122)),"화목","반")),K122))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IF(AND('설정'!$B$10&lt;&gt;"",'학생명단'!K123&lt;&gt;""),'설정'!$B$10,IF(OR(K123='설정'!$B$6,K123='설정'!$B$8),SUBSTITUTE(K123,"반","")&amp;IF(ISNUMBER(SEARCH("월",'학생명단'!G123)),"월금",IF(ISNUMBER(SEARCH("화",'학생명단'!G123)),"화목","반")),K123))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IF(AND('설정'!$B$10&lt;&gt;"",'학생명단'!K124&lt;&gt;""),'설정'!$B$10,IF(OR(K124='설정'!$B$6,K124='설정'!$B$8),SUBSTITUTE(K124,"반","")&amp;IF(ISNUMBER(SEARCH("월",'학생명단'!G124)),"월금",IF(ISNUMBER(SEARCH("화",'학생명단'!G124)),"화목","반")),K124))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IF(AND('설정'!$B$10&lt;&gt;"",'학생명단'!K125&lt;&gt;""),'설정'!$B$10,IF(OR(K125='설정'!$B$6,K125='설정'!$B$8),SUBSTITUTE(K125,"반","")&amp;IF(ISNUMBER(SEARCH("월",'학생명단'!G125)),"월금",IF(ISNUMBER(SEARCH("화",'학생명단'!G125)),"화목","반")),K125))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IF(AND('설정'!$B$10&lt;&gt;"",'학생명단'!K126&lt;&gt;""),'설정'!$B$10,IF(OR(K126='설정'!$B$6,K126='설정'!$B$8),SUBSTITUTE(K126,"반","")&amp;IF(ISNUMBER(SEARCH("월",'학생명단'!G126)),"월금",IF(ISNUMBER(SEARCH("화",'학생명단'!G126)),"화목","반")),K126))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IF(AND('설정'!$B$10&lt;&gt;"",'학생명단'!K127&lt;&gt;""),'설정'!$B$10,IF(OR(K127='설정'!$B$6,K127='설정'!$B$8),SUBSTITUTE(K127,"반","")&amp;IF(ISNUMBER(SEARCH("월",'학생명단'!G127)),"월금",IF(ISNUMBER(SEARCH("화",'학생명단'!G127)),"화목","반")),K127))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IF(AND('설정'!$B$10&lt;&gt;"",'학생명단'!K128&lt;&gt;""),'설정'!$B$10,IF(OR(K128='설정'!$B$6,K128='설정'!$B$8),SUBSTITUTE(K128,"반","")&amp;IF(ISNUMBER(SEARCH("월",'학생명단'!G128)),"월금",IF(ISNUMBER(SEARCH("화",'학생명단'!G128)),"화목","반")),K128))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IF(AND('설정'!$B$10&lt;&gt;"",'학생명단'!K129&lt;&gt;""),'설정'!$B$10,IF(OR(K129='설정'!$B$6,K129='설정'!$B$8),SUBSTITUTE(K129,"반","")&amp;IF(ISNUMBER(SEARCH("월",'학생명단'!G129)),"월금",IF(ISNUMBER(SEARCH("화",'학생명단'!G129)),"화목","반")),K129))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IF(AND('설정'!$B$10&lt;&gt;"",'학생명단'!K130&lt;&gt;""),'설정'!$B$10,IF(OR(K130='설정'!$B$6,K130='설정'!$B$8),SUBSTITUTE(K130,"반","")&amp;IF(ISNUMBER(SEARCH("월",'학생명단'!G130)),"월금",IF(ISNUMBER(SEARCH("화",'학생명단'!G130)),"화목","반")),K130))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IF(AND('설정'!$B$10&lt;&gt;"",'학생명단'!K131&lt;&gt;""),'설정'!$B$10,IF(OR(K131='설정'!$B$6,K131='설정'!$B$8),SUBSTITUTE(K131,"반","")&amp;IF(ISNUMBER(SEARCH("월",'학생명단'!G131)),"월금",IF(ISNUMBER(SEARCH("화",'학생명단'!G131)),"화목","반")),K131))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IF(AND('설정'!$B$10&lt;&gt;"",'학생명단'!K132&lt;&gt;""),'설정'!$B$10,IF(OR(K132='설정'!$B$6,K132='설정'!$B$8),SUBSTITUTE(K132,"반","")&amp;IF(ISNUMBER(SEARCH("월",'학생명단'!G132)),"월금",IF(ISNUMBER(SEARCH("화",'학생명단'!G132)),"화목","반")),K132))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IF(AND('설정'!$B$10&lt;&gt;"",'학생명단'!K133&lt;&gt;""),'설정'!$B$10,IF(OR(K133='설정'!$B$6,K133='설정'!$B$8),SUBSTITUTE(K133,"반","")&amp;IF(ISNUMBER(SEARCH("월",'학생명단'!G133)),"월금",IF(ISNUMBER(SEARCH("화",'학생명단'!G133)),"화목","반")),K133))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IF(AND('설정'!$B$10&lt;&gt;"",'학생명단'!K134&lt;&gt;""),'설정'!$B$10,IF(OR(K134='설정'!$B$6,K134='설정'!$B$8),SUBSTITUTE(K134,"반","")&amp;IF(ISNUMBER(SEARCH("월",'학생명단'!G134)),"월금",IF(ISNUMBER(SEARCH("화",'학생명단'!G134)),"화목","반")),K134))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IF(AND('설정'!$B$10&lt;&gt;"",'학생명단'!K135&lt;&gt;""),'설정'!$B$10,IF(OR(K135='설정'!$B$6,K135='설정'!$B$8),SUBSTITUTE(K135,"반","")&amp;IF(ISNUMBER(SEARCH("월",'학생명단'!G135)),"월금",IF(ISNUMBER(SEARCH("화",'학생명단'!G135)),"화목","반")),K135))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IF(AND('설정'!$B$10&lt;&gt;"",'학생명단'!K136&lt;&gt;""),'설정'!$B$10,IF(OR(K136='설정'!$B$6,K136='설정'!$B$8),SUBSTITUTE(K136,"반","")&amp;IF(ISNUMBER(SEARCH("월",'학생명단'!G136)),"월금",IF(ISNUMBER(SEARCH("화",'학생명단'!G136)),"화목","반")),K136))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IF(AND('설정'!$B$10&lt;&gt;"",'학생명단'!K137&lt;&gt;""),'설정'!$B$10,IF(OR(K137='설정'!$B$6,K137='설정'!$B$8),SUBSTITUTE(K137,"반","")&amp;IF(ISNUMBER(SEARCH("월",'학생명단'!G137)),"월금",IF(ISNUMBER(SEARCH("화",'학생명단'!G137)),"화목","반")),K137))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IF(AND('설정'!$B$10&lt;&gt;"",'학생명단'!K138&lt;&gt;""),'설정'!$B$10,IF(OR(K138='설정'!$B$6,K138='설정'!$B$8),SUBSTITUTE(K138,"반","")&amp;IF(ISNUMBER(SEARCH("월",'학생명단'!G138)),"월금",IF(ISNUMBER(SEARCH("화",'학생명단'!G138)),"화목","반")),K138))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IF(AND('설정'!$B$10&lt;&gt;"",'학생명단'!K139&lt;&gt;""),'설정'!$B$10,IF(OR(K139='설정'!$B$6,K139='설정'!$B$8),SUBSTITUTE(K139,"반","")&amp;IF(ISNUMBER(SEARCH("월",'학생명단'!G139)),"월금",IF(ISNUMBER(SEARCH("화",'학생명단'!G139)),"화목","반")),K139))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IF(AND('설정'!$B$10&lt;&gt;"",'학생명단'!K140&lt;&gt;""),'설정'!$B$10,IF(OR(K140='설정'!$B$6,K140='설정'!$B$8),SUBSTITUTE(K140,"반","")&amp;IF(ISNUMBER(SEARCH("월",'학생명단'!G140)),"월금",IF(ISNUMBER(SEARCH("화",'학생명단'!G140)),"화목","반")),K140))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IF(AND('설정'!$B$10&lt;&gt;"",'학생명단'!K141&lt;&gt;""),'설정'!$B$10,IF(OR(K141='설정'!$B$6,K141='설정'!$B$8),SUBSTITUTE(K141,"반","")&amp;IF(ISNUMBER(SEARCH("월",'학생명단'!G141)),"월금",IF(ISNUMBER(SEARCH("화",'학생명단'!G141)),"화목","반")),K141))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IF(AND('설정'!$B$10&lt;&gt;"",'학생명단'!K142&lt;&gt;""),'설정'!$B$10,IF(OR(K142='설정'!$B$6,K142='설정'!$B$8),SUBSTITUTE(K142,"반","")&amp;IF(ISNUMBER(SEARCH("월",'학생명단'!G142)),"월금",IF(ISNUMBER(SEARCH("화",'학생명단'!G142)),"화목","반")),K142))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IF(AND('설정'!$B$10&lt;&gt;"",'학생명단'!K143&lt;&gt;""),'설정'!$B$10,IF(OR(K143='설정'!$B$6,K143='설정'!$B$8),SUBSTITUTE(K143,"반","")&amp;IF(ISNUMBER(SEARCH("월",'학생명단'!G143)),"월금",IF(ISNUMBER(SEARCH("화",'학생명단'!G143)),"화목","반")),K143))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IF(AND('설정'!$B$10&lt;&gt;"",'학생명단'!K144&lt;&gt;""),'설정'!$B$10,IF(OR(K144='설정'!$B$6,K144='설정'!$B$8),SUBSTITUTE(K144,"반","")&amp;IF(ISNUMBER(SEARCH("월",'학생명단'!G144)),"월금",IF(ISNUMBER(SEARCH("화",'학생명단'!G144)),"화목","반")),K144))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IF(AND('설정'!$B$10&lt;&gt;"",'학생명단'!K145&lt;&gt;""),'설정'!$B$10,IF(OR(K145='설정'!$B$6,K145='설정'!$B$8),SUBSTITUTE(K145,"반","")&amp;IF(ISNUMBER(SEARCH("월",'학생명단'!G145)),"월금",IF(ISNUMBER(SEARCH("화",'학생명단'!G145)),"화목","반")),K145))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IF(AND('설정'!$B$10&lt;&gt;"",'학생명단'!K146&lt;&gt;""),'설정'!$B$10,IF(OR(K146='설정'!$B$6,K146='설정'!$B$8),SUBSTITUTE(K146,"반","")&amp;IF(ISNUMBER(SEARCH("월",'학생명단'!G146)),"월금",IF(ISNUMBER(SEARCH("화",'학생명단'!G146)),"화목","반")),K146))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IF(AND('설정'!$B$10&lt;&gt;"",'학생명단'!K147&lt;&gt;""),'설정'!$B$10,IF(OR(K147='설정'!$B$6,K147='설정'!$B$8),SUBSTITUTE(K147,"반","")&amp;IF(ISNUMBER(SEARCH("월",'학생명단'!G147)),"월금",IF(ISNUMBER(SEARCH("화",'학생명단'!G147)),"화목","반")),K147))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IF(AND('설정'!$B$10&lt;&gt;"",'학생명단'!K148&lt;&gt;""),'설정'!$B$10,IF(OR(K148='설정'!$B$6,K148='설정'!$B$8),SUBSTITUTE(K148,"반","")&amp;IF(ISNUMBER(SEARCH("월",'학생명단'!G148)),"월금",IF(ISNUMBER(SEARCH("화",'학생명단'!G148)),"화목","반")),K148))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IF(AND('설정'!$B$10&lt;&gt;"",'학생명단'!K149&lt;&gt;""),'설정'!$B$10,IF(OR(K149='설정'!$B$6,K149='설정'!$B$8),SUBSTITUTE(K149,"반","")&amp;IF(ISNUMBER(SEARCH("월",'학생명단'!G149)),"월금",IF(ISNUMBER(SEARCH("화",'학생명단'!G149)),"화목","반")),K149))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IF(AND('설정'!$B$10&lt;&gt;"",'학생명단'!K150&lt;&gt;""),'설정'!$B$10,IF(OR(K150='설정'!$B$6,K150='설정'!$B$8),SUBSTITUTE(K150,"반","")&amp;IF(ISNUMBER(SEARCH("월",'학생명단'!G150)),"월금",IF(ISNUMBER(SEARCH("화",'학생명단'!G150)),"화목","반")),K150))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IF(AND('설정'!$B$10&lt;&gt;"",'학생명단'!K151&lt;&gt;""),'설정'!$B$10,IF(OR(K151='설정'!$B$6,K151='설정'!$B$8),SUBSTITUTE(K151,"반","")&amp;IF(ISNUMBER(SEARCH("월",'학생명단'!G151)),"월금",IF(ISNUMBER(SEARCH("화",'학생명단'!G151)),"화목","반")),K151))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IF(AND('설정'!$B$10&lt;&gt;"",'학생명단'!K152&lt;&gt;""),'설정'!$B$10,IF(OR(K152='설정'!$B$6,K152='설정'!$B$8),SUBSTITUTE(K152,"반","")&amp;IF(ISNUMBER(SEARCH("월",'학생명단'!G152)),"월금",IF(ISNUMBER(SEARCH("화",'학생명단'!G152)),"화목","반")),K152))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IF(AND('설정'!$B$10&lt;&gt;"",'학생명단'!K153&lt;&gt;""),'설정'!$B$10,IF(OR(K153='설정'!$B$6,K153='설정'!$B$8),SUBSTITUTE(K153,"반","")&amp;IF(ISNUMBER(SEARCH("월",'학생명단'!G153)),"월금",IF(ISNUMBER(SEARCH("화",'학생명단'!G153)),"화목","반")),K153))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IF(AND('설정'!$B$10&lt;&gt;"",'학생명단'!K154&lt;&gt;""),'설정'!$B$10,IF(OR(K154='설정'!$B$6,K154='설정'!$B$8),SUBSTITUTE(K154,"반","")&amp;IF(ISNUMBER(SEARCH("월",'학생명단'!G154)),"월금",IF(ISNUMBER(SEARCH("화",'학생명단'!G154)),"화목","반")),K154))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IF(AND('설정'!$B$10&lt;&gt;"",'학생명단'!K155&lt;&gt;""),'설정'!$B$10,IF(OR(K155='설정'!$B$6,K155='설정'!$B$8),SUBSTITUTE(K155,"반","")&amp;IF(ISNUMBER(SEARCH("월",'학생명단'!G155)),"월금",IF(ISNUMBER(SEARCH("화",'학생명단'!G155)),"화목","반")),K155))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IF(AND('설정'!$B$10&lt;&gt;"",'학생명단'!K156&lt;&gt;""),'설정'!$B$10,IF(OR(K156='설정'!$B$6,K156='설정'!$B$8),SUBSTITUTE(K156,"반","")&amp;IF(ISNUMBER(SEARCH("월",'학생명단'!G156)),"월금",IF(ISNUMBER(SEARCH("화",'학생명단'!G156)),"화목","반")),K156))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AND($K7&lt;&gt;"",LEFT($K7,LEN(SUBSTITUTE('설정'!$B$6,"반","")))=SUBSTITUTE('설정'!$B$6,"반",""))</formula>
    </cfRule>
    <cfRule type="expression" priority="3" dxfId="4">
      <formula>AND($K7&lt;&gt;"",LEFT($K7,LEN(SUBSTITUTE('설정'!$B$7,"반","")))=SUBSTITUTE('설정'!$B$7,"반",""))</formula>
    </cfRule>
    <cfRule type="expression" priority="4" dxfId="5">
      <formula>AND($K7&lt;&gt;"",LEFT($K7,LEN(SUBSTITUTE('설정'!$B$8,"반","")))=SUBSTITUTE('설정'!$B$8,"반",""))</formula>
    </cfRule>
    <cfRule type="expression" priority="5" dxfId="6">
      <formula>AND($K7&lt;&gt;"",LEFT($K7,LEN(SUBSTITUTE('설정'!$B$9,"반","")))=SUBSTITUTE('설정'!$B$9,"반",""))</formula>
    </cfRule>
  </conditionalFormatting>
  <conditionalFormatting sqref="O7:O156">
    <cfRule type="expression" priority="6" dxfId="3">
      <formula>AND($O7&lt;&gt;"",LEFT($O7,LEN(SUBSTITUTE('설정'!$B$6,"반","")))=SUBSTITUTE('설정'!$B$6,"반",""))</formula>
    </cfRule>
    <cfRule type="expression" priority="7" dxfId="4">
      <formula>AND($O7&lt;&gt;"",LEFT($O7,LEN(SUBSTITUTE('설정'!$B$7,"반","")))=SUBSTITUTE('설정'!$B$7,"반",""))</formula>
    </cfRule>
    <cfRule type="expression" priority="8" dxfId="5">
      <formula>AND($O7&lt;&gt;"",LEFT($O7,LEN(SUBSTITUTE('설정'!$B$8,"반","")))=SUBSTITUTE('설정'!$B$8,"반",""))</formula>
    </cfRule>
    <cfRule type="expression" priority="9" dxfId="6">
      <formula>AND($O7&lt;&gt;"",LEFT($O7,LEN(SUBSTITUTE('설정'!$B$9,"반","")))=SUBSTITUTE('설정'!$B$9,"반",""))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8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8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8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8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8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8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8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8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8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8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8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8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8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8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8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8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8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8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8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8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8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8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8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8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8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8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8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8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8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8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8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8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8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8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8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8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8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8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8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8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8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8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8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8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8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8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8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8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8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8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8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8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8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8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8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8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8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8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8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8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8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8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8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8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8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8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8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8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8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8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8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8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8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8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8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8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8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8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8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8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8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8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8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8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8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8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8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8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8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8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8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8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8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8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8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8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8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8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8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8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8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8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8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8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8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8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8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8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8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8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8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8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8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8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8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8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8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8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8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8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8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8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8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8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8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8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8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8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8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8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8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8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8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8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8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8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8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8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8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8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8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8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8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8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8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8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8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8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8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8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9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40">
        <f>'공수1'!D4</f>
        <v/>
      </c>
      <c r="D6" s="10">
        <f>'공수1'!D5</f>
        <v/>
      </c>
      <c r="E6" s="10">
        <f>'공수1'!D3</f>
        <v/>
      </c>
      <c r="F6" s="41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2">
        <f>IF(OR(F6="",G6=0),"",H6/G6)</f>
        <v/>
      </c>
      <c r="J6" s="43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3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3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4">
        <f>IF(OR(J6="",K6=""),"",J6-K6)</f>
        <v/>
      </c>
      <c r="N6" s="40">
        <f>IF(I6="","",IF(AND(M6&lt;&gt;"",M6&lt;0),"역변별·문항검토",IF(I6&gt;=0.9,"매우 쉬움",IF(I6&lt;=0.15,"매우 어려움",IF(AND(M6&lt;&gt;"",M6&lt;0.2),"변별력 낮음","양호")))))</f>
        <v/>
      </c>
      <c r="O6" s="40">
        <f>IF(G6=0,"",COUNTIF('공수1'!$D$7:$D$156,1))</f>
        <v/>
      </c>
      <c r="P6" s="40">
        <f>IF(G6=0,"",COUNTIF('공수1'!$D$7:$D$156,2))</f>
        <v/>
      </c>
      <c r="Q6" s="40">
        <f>IF(G6=0,"",COUNTIF('공수1'!$D$7:$D$156,3))</f>
        <v/>
      </c>
      <c r="R6" s="40">
        <f>IF(G6=0,"",COUNTIF('공수1'!$D$7:$D$156,4))</f>
        <v/>
      </c>
      <c r="S6" s="40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40">
        <f>'공수1'!E4</f>
        <v/>
      </c>
      <c r="D7" s="10">
        <f>'공수1'!E5</f>
        <v/>
      </c>
      <c r="E7" s="10">
        <f>'공수1'!E3</f>
        <v/>
      </c>
      <c r="F7" s="41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2">
        <f>IF(OR(F7="",G7=0),"",H7/G7)</f>
        <v/>
      </c>
      <c r="J7" s="43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3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3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4">
        <f>IF(OR(J7="",K7=""),"",J7-K7)</f>
        <v/>
      </c>
      <c r="N7" s="40">
        <f>IF(I7="","",IF(AND(M7&lt;&gt;"",M7&lt;0),"역변별·문항검토",IF(I7&gt;=0.9,"매우 쉬움",IF(I7&lt;=0.15,"매우 어려움",IF(AND(M7&lt;&gt;"",M7&lt;0.2),"변별력 낮음","양호")))))</f>
        <v/>
      </c>
      <c r="O7" s="40">
        <f>IF(G7=0,"",COUNTIF('공수1'!$E$7:$E$156,1))</f>
        <v/>
      </c>
      <c r="P7" s="40">
        <f>IF(G7=0,"",COUNTIF('공수1'!$E$7:$E$156,2))</f>
        <v/>
      </c>
      <c r="Q7" s="40">
        <f>IF(G7=0,"",COUNTIF('공수1'!$E$7:$E$156,3))</f>
        <v/>
      </c>
      <c r="R7" s="40">
        <f>IF(G7=0,"",COUNTIF('공수1'!$E$7:$E$156,4))</f>
        <v/>
      </c>
      <c r="S7" s="40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40">
        <f>'공수1'!F4</f>
        <v/>
      </c>
      <c r="D8" s="10">
        <f>'공수1'!F5</f>
        <v/>
      </c>
      <c r="E8" s="10">
        <f>'공수1'!F3</f>
        <v/>
      </c>
      <c r="F8" s="41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2">
        <f>IF(OR(F8="",G8=0),"",H8/G8)</f>
        <v/>
      </c>
      <c r="J8" s="43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3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3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4">
        <f>IF(OR(J8="",K8=""),"",J8-K8)</f>
        <v/>
      </c>
      <c r="N8" s="40">
        <f>IF(I8="","",IF(AND(M8&lt;&gt;"",M8&lt;0),"역변별·문항검토",IF(I8&gt;=0.9,"매우 쉬움",IF(I8&lt;=0.15,"매우 어려움",IF(AND(M8&lt;&gt;"",M8&lt;0.2),"변별력 낮음","양호")))))</f>
        <v/>
      </c>
      <c r="O8" s="40">
        <f>IF(G8=0,"",COUNTIF('공수1'!$F$7:$F$156,1))</f>
        <v/>
      </c>
      <c r="P8" s="40">
        <f>IF(G8=0,"",COUNTIF('공수1'!$F$7:$F$156,2))</f>
        <v/>
      </c>
      <c r="Q8" s="40">
        <f>IF(G8=0,"",COUNTIF('공수1'!$F$7:$F$156,3))</f>
        <v/>
      </c>
      <c r="R8" s="40">
        <f>IF(G8=0,"",COUNTIF('공수1'!$F$7:$F$156,4))</f>
        <v/>
      </c>
      <c r="S8" s="40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40">
        <f>'공수1'!G4</f>
        <v/>
      </c>
      <c r="D9" s="10">
        <f>'공수1'!G5</f>
        <v/>
      </c>
      <c r="E9" s="10">
        <f>'공수1'!G3</f>
        <v/>
      </c>
      <c r="F9" s="41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2">
        <f>IF(OR(F9="",G9=0),"",H9/G9)</f>
        <v/>
      </c>
      <c r="J9" s="43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3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3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4">
        <f>IF(OR(J9="",K9=""),"",J9-K9)</f>
        <v/>
      </c>
      <c r="N9" s="40">
        <f>IF(I9="","",IF(AND(M9&lt;&gt;"",M9&lt;0),"역변별·문항검토",IF(I9&gt;=0.9,"매우 쉬움",IF(I9&lt;=0.15,"매우 어려움",IF(AND(M9&lt;&gt;"",M9&lt;0.2),"변별력 낮음","양호")))))</f>
        <v/>
      </c>
      <c r="O9" s="40">
        <f>IF(G9=0,"",COUNTIF('공수1'!$G$7:$G$156,1))</f>
        <v/>
      </c>
      <c r="P9" s="40">
        <f>IF(G9=0,"",COUNTIF('공수1'!$G$7:$G$156,2))</f>
        <v/>
      </c>
      <c r="Q9" s="40">
        <f>IF(G9=0,"",COUNTIF('공수1'!$G$7:$G$156,3))</f>
        <v/>
      </c>
      <c r="R9" s="40">
        <f>IF(G9=0,"",COUNTIF('공수1'!$G$7:$G$156,4))</f>
        <v/>
      </c>
      <c r="S9" s="40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40">
        <f>'공수1'!H4</f>
        <v/>
      </c>
      <c r="D10" s="10">
        <f>'공수1'!H5</f>
        <v/>
      </c>
      <c r="E10" s="10">
        <f>'공수1'!H3</f>
        <v/>
      </c>
      <c r="F10" s="41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2">
        <f>IF(OR(F10="",G10=0),"",H10/G10)</f>
        <v/>
      </c>
      <c r="J10" s="43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3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3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4">
        <f>IF(OR(J10="",K10=""),"",J10-K10)</f>
        <v/>
      </c>
      <c r="N10" s="40">
        <f>IF(I10="","",IF(AND(M10&lt;&gt;"",M10&lt;0),"역변별·문항검토",IF(I10&gt;=0.9,"매우 쉬움",IF(I10&lt;=0.15,"매우 어려움",IF(AND(M10&lt;&gt;"",M10&lt;0.2),"변별력 낮음","양호")))))</f>
        <v/>
      </c>
      <c r="O10" s="40">
        <f>IF(G10=0,"",COUNTIF('공수1'!$H$7:$H$156,1))</f>
        <v/>
      </c>
      <c r="P10" s="40">
        <f>IF(G10=0,"",COUNTIF('공수1'!$H$7:$H$156,2))</f>
        <v/>
      </c>
      <c r="Q10" s="40">
        <f>IF(G10=0,"",COUNTIF('공수1'!$H$7:$H$156,3))</f>
        <v/>
      </c>
      <c r="R10" s="40">
        <f>IF(G10=0,"",COUNTIF('공수1'!$H$7:$H$156,4))</f>
        <v/>
      </c>
      <c r="S10" s="40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40">
        <f>'공수1'!I4</f>
        <v/>
      </c>
      <c r="D11" s="10">
        <f>'공수1'!I5</f>
        <v/>
      </c>
      <c r="E11" s="10">
        <f>'공수1'!I3</f>
        <v/>
      </c>
      <c r="F11" s="41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2">
        <f>IF(OR(F11="",G11=0),"",H11/G11)</f>
        <v/>
      </c>
      <c r="J11" s="43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3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3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4">
        <f>IF(OR(J11="",K11=""),"",J11-K11)</f>
        <v/>
      </c>
      <c r="N11" s="40">
        <f>IF(I11="","",IF(AND(M11&lt;&gt;"",M11&lt;0),"역변별·문항검토",IF(I11&gt;=0.9,"매우 쉬움",IF(I11&lt;=0.15,"매우 어려움",IF(AND(M11&lt;&gt;"",M11&lt;0.2),"변별력 낮음","양호")))))</f>
        <v/>
      </c>
      <c r="O11" s="40">
        <f>IF(G11=0,"",COUNTIF('공수1'!$I$7:$I$156,1))</f>
        <v/>
      </c>
      <c r="P11" s="40">
        <f>IF(G11=0,"",COUNTIF('공수1'!$I$7:$I$156,2))</f>
        <v/>
      </c>
      <c r="Q11" s="40">
        <f>IF(G11=0,"",COUNTIF('공수1'!$I$7:$I$156,3))</f>
        <v/>
      </c>
      <c r="R11" s="40">
        <f>IF(G11=0,"",COUNTIF('공수1'!$I$7:$I$156,4))</f>
        <v/>
      </c>
      <c r="S11" s="40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40">
        <f>'공수1'!J4</f>
        <v/>
      </c>
      <c r="D12" s="10">
        <f>'공수1'!J5</f>
        <v/>
      </c>
      <c r="E12" s="10">
        <f>'공수1'!J3</f>
        <v/>
      </c>
      <c r="F12" s="41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2">
        <f>IF(OR(F12="",G12=0),"",H12/G12)</f>
        <v/>
      </c>
      <c r="J12" s="43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3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3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4">
        <f>IF(OR(J12="",K12=""),"",J12-K12)</f>
        <v/>
      </c>
      <c r="N12" s="40">
        <f>IF(I12="","",IF(AND(M12&lt;&gt;"",M12&lt;0),"역변별·문항검토",IF(I12&gt;=0.9,"매우 쉬움",IF(I12&lt;=0.15,"매우 어려움",IF(AND(M12&lt;&gt;"",M12&lt;0.2),"변별력 낮음","양호")))))</f>
        <v/>
      </c>
      <c r="O12" s="40">
        <f>IF(G12=0,"",COUNTIF('공수1'!$J$7:$J$156,1))</f>
        <v/>
      </c>
      <c r="P12" s="40">
        <f>IF(G12=0,"",COUNTIF('공수1'!$J$7:$J$156,2))</f>
        <v/>
      </c>
      <c r="Q12" s="40">
        <f>IF(G12=0,"",COUNTIF('공수1'!$J$7:$J$156,3))</f>
        <v/>
      </c>
      <c r="R12" s="40">
        <f>IF(G12=0,"",COUNTIF('공수1'!$J$7:$J$156,4))</f>
        <v/>
      </c>
      <c r="S12" s="40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40">
        <f>'공수1'!K4</f>
        <v/>
      </c>
      <c r="D13" s="10">
        <f>'공수1'!K5</f>
        <v/>
      </c>
      <c r="E13" s="10">
        <f>'공수1'!K3</f>
        <v/>
      </c>
      <c r="F13" s="41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2">
        <f>IF(OR(F13="",G13=0),"",H13/G13)</f>
        <v/>
      </c>
      <c r="J13" s="43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3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3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4">
        <f>IF(OR(J13="",K13=""),"",J13-K13)</f>
        <v/>
      </c>
      <c r="N13" s="40">
        <f>IF(I13="","",IF(AND(M13&lt;&gt;"",M13&lt;0),"역변별·문항검토",IF(I13&gt;=0.9,"매우 쉬움",IF(I13&lt;=0.15,"매우 어려움",IF(AND(M13&lt;&gt;"",M13&lt;0.2),"변별력 낮음","양호")))))</f>
        <v/>
      </c>
      <c r="O13" s="40">
        <f>IF(G13=0,"",COUNTIF('공수1'!$K$7:$K$156,1))</f>
        <v/>
      </c>
      <c r="P13" s="40">
        <f>IF(G13=0,"",COUNTIF('공수1'!$K$7:$K$156,2))</f>
        <v/>
      </c>
      <c r="Q13" s="40">
        <f>IF(G13=0,"",COUNTIF('공수1'!$K$7:$K$156,3))</f>
        <v/>
      </c>
      <c r="R13" s="40">
        <f>IF(G13=0,"",COUNTIF('공수1'!$K$7:$K$156,4))</f>
        <v/>
      </c>
      <c r="S13" s="40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40">
        <f>'공수1'!L4</f>
        <v/>
      </c>
      <c r="D14" s="10">
        <f>'공수1'!L5</f>
        <v/>
      </c>
      <c r="E14" s="10">
        <f>'공수1'!L3</f>
        <v/>
      </c>
      <c r="F14" s="41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2">
        <f>IF(OR(F14="",G14=0),"",H14/G14)</f>
        <v/>
      </c>
      <c r="J14" s="43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3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3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4">
        <f>IF(OR(J14="",K14=""),"",J14-K14)</f>
        <v/>
      </c>
      <c r="N14" s="40">
        <f>IF(I14="","",IF(AND(M14&lt;&gt;"",M14&lt;0),"역변별·문항검토",IF(I14&gt;=0.9,"매우 쉬움",IF(I14&lt;=0.15,"매우 어려움",IF(AND(M14&lt;&gt;"",M14&lt;0.2),"변별력 낮음","양호")))))</f>
        <v/>
      </c>
      <c r="O14" s="40">
        <f>IF(G14=0,"",COUNTIF('공수1'!$L$7:$L$156,1))</f>
        <v/>
      </c>
      <c r="P14" s="40">
        <f>IF(G14=0,"",COUNTIF('공수1'!$L$7:$L$156,2))</f>
        <v/>
      </c>
      <c r="Q14" s="40">
        <f>IF(G14=0,"",COUNTIF('공수1'!$L$7:$L$156,3))</f>
        <v/>
      </c>
      <c r="R14" s="40">
        <f>IF(G14=0,"",COUNTIF('공수1'!$L$7:$L$156,4))</f>
        <v/>
      </c>
      <c r="S14" s="40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40">
        <f>'공수1'!M4</f>
        <v/>
      </c>
      <c r="D15" s="10">
        <f>'공수1'!M5</f>
        <v/>
      </c>
      <c r="E15" s="10">
        <f>'공수1'!M3</f>
        <v/>
      </c>
      <c r="F15" s="41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2">
        <f>IF(OR(F15="",G15=0),"",H15/G15)</f>
        <v/>
      </c>
      <c r="J15" s="43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3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3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4">
        <f>IF(OR(J15="",K15=""),"",J15-K15)</f>
        <v/>
      </c>
      <c r="N15" s="40">
        <f>IF(I15="","",IF(AND(M15&lt;&gt;"",M15&lt;0),"역변별·문항검토",IF(I15&gt;=0.9,"매우 쉬움",IF(I15&lt;=0.15,"매우 어려움",IF(AND(M15&lt;&gt;"",M15&lt;0.2),"변별력 낮음","양호")))))</f>
        <v/>
      </c>
      <c r="O15" s="40">
        <f>IF(G15=0,"",COUNTIF('공수1'!$M$7:$M$156,1))</f>
        <v/>
      </c>
      <c r="P15" s="40">
        <f>IF(G15=0,"",COUNTIF('공수1'!$M$7:$M$156,2))</f>
        <v/>
      </c>
      <c r="Q15" s="40">
        <f>IF(G15=0,"",COUNTIF('공수1'!$M$7:$M$156,3))</f>
        <v/>
      </c>
      <c r="R15" s="40">
        <f>IF(G15=0,"",COUNTIF('공수1'!$M$7:$M$156,4))</f>
        <v/>
      </c>
      <c r="S15" s="40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40">
        <f>'공수1'!N4</f>
        <v/>
      </c>
      <c r="D16" s="10">
        <f>'공수1'!N5</f>
        <v/>
      </c>
      <c r="E16" s="10">
        <f>'공수1'!N3</f>
        <v/>
      </c>
      <c r="F16" s="41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2">
        <f>IF(OR(F16="",G16=0),"",H16/G16)</f>
        <v/>
      </c>
      <c r="J16" s="43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3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3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4">
        <f>IF(OR(J16="",K16=""),"",J16-K16)</f>
        <v/>
      </c>
      <c r="N16" s="40">
        <f>IF(I16="","",IF(AND(M16&lt;&gt;"",M16&lt;0),"역변별·문항검토",IF(I16&gt;=0.9,"매우 쉬움",IF(I16&lt;=0.15,"매우 어려움",IF(AND(M16&lt;&gt;"",M16&lt;0.2),"변별력 낮음","양호")))))</f>
        <v/>
      </c>
      <c r="O16" s="40">
        <f>IF(G16=0,"",COUNTIF('공수1'!$N$7:$N$156,1))</f>
        <v/>
      </c>
      <c r="P16" s="40">
        <f>IF(G16=0,"",COUNTIF('공수1'!$N$7:$N$156,2))</f>
        <v/>
      </c>
      <c r="Q16" s="40">
        <f>IF(G16=0,"",COUNTIF('공수1'!$N$7:$N$156,3))</f>
        <v/>
      </c>
      <c r="R16" s="40">
        <f>IF(G16=0,"",COUNTIF('공수1'!$N$7:$N$156,4))</f>
        <v/>
      </c>
      <c r="S16" s="40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40">
        <f>'공수1'!O4</f>
        <v/>
      </c>
      <c r="D17" s="10">
        <f>'공수1'!O5</f>
        <v/>
      </c>
      <c r="E17" s="10">
        <f>'공수1'!O3</f>
        <v/>
      </c>
      <c r="F17" s="41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2">
        <f>IF(OR(F17="",G17=0),"",H17/G17)</f>
        <v/>
      </c>
      <c r="J17" s="43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3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3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4">
        <f>IF(OR(J17="",K17=""),"",J17-K17)</f>
        <v/>
      </c>
      <c r="N17" s="40">
        <f>IF(I17="","",IF(AND(M17&lt;&gt;"",M17&lt;0),"역변별·문항검토",IF(I17&gt;=0.9,"매우 쉬움",IF(I17&lt;=0.15,"매우 어려움",IF(AND(M17&lt;&gt;"",M17&lt;0.2),"변별력 낮음","양호")))))</f>
        <v/>
      </c>
      <c r="O17" s="40">
        <f>IF(G17=0,"",COUNTIF('공수1'!$O$7:$O$156,1))</f>
        <v/>
      </c>
      <c r="P17" s="40">
        <f>IF(G17=0,"",COUNTIF('공수1'!$O$7:$O$156,2))</f>
        <v/>
      </c>
      <c r="Q17" s="40">
        <f>IF(G17=0,"",COUNTIF('공수1'!$O$7:$O$156,3))</f>
        <v/>
      </c>
      <c r="R17" s="40">
        <f>IF(G17=0,"",COUNTIF('공수1'!$O$7:$O$156,4))</f>
        <v/>
      </c>
      <c r="S17" s="40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40">
        <f>'공수1'!P4</f>
        <v/>
      </c>
      <c r="D18" s="10">
        <f>'공수1'!P5</f>
        <v/>
      </c>
      <c r="E18" s="10">
        <f>'공수1'!P3</f>
        <v/>
      </c>
      <c r="F18" s="41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2">
        <f>IF(OR(F18="",G18=0),"",H18/G18)</f>
        <v/>
      </c>
      <c r="J18" s="43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3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3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4">
        <f>IF(OR(J18="",K18=""),"",J18-K18)</f>
        <v/>
      </c>
      <c r="N18" s="40">
        <f>IF(I18="","",IF(AND(M18&lt;&gt;"",M18&lt;0),"역변별·문항검토",IF(I18&gt;=0.9,"매우 쉬움",IF(I18&lt;=0.15,"매우 어려움",IF(AND(M18&lt;&gt;"",M18&lt;0.2),"변별력 낮음","양호")))))</f>
        <v/>
      </c>
      <c r="O18" s="40">
        <f>IF(G18=0,"",COUNTIF('공수1'!$P$7:$P$156,1))</f>
        <v/>
      </c>
      <c r="P18" s="40">
        <f>IF(G18=0,"",COUNTIF('공수1'!$P$7:$P$156,2))</f>
        <v/>
      </c>
      <c r="Q18" s="40">
        <f>IF(G18=0,"",COUNTIF('공수1'!$P$7:$P$156,3))</f>
        <v/>
      </c>
      <c r="R18" s="40">
        <f>IF(G18=0,"",COUNTIF('공수1'!$P$7:$P$156,4))</f>
        <v/>
      </c>
      <c r="S18" s="40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40">
        <f>'공수1'!Q4</f>
        <v/>
      </c>
      <c r="D19" s="10">
        <f>'공수1'!Q5</f>
        <v/>
      </c>
      <c r="E19" s="10">
        <f>'공수1'!Q3</f>
        <v/>
      </c>
      <c r="F19" s="41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2">
        <f>IF(OR(F19="",G19=0),"",H19/G19)</f>
        <v/>
      </c>
      <c r="J19" s="43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3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3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4">
        <f>IF(OR(J19="",K19=""),"",J19-K19)</f>
        <v/>
      </c>
      <c r="N19" s="40">
        <f>IF(I19="","",IF(AND(M19&lt;&gt;"",M19&lt;0),"역변별·문항검토",IF(I19&gt;=0.9,"매우 쉬움",IF(I19&lt;=0.15,"매우 어려움",IF(AND(M19&lt;&gt;"",M19&lt;0.2),"변별력 낮음","양호")))))</f>
        <v/>
      </c>
      <c r="O19" s="40">
        <f>IF(G19=0,"",COUNTIF('공수1'!$Q$7:$Q$156,1))</f>
        <v/>
      </c>
      <c r="P19" s="40">
        <f>IF(G19=0,"",COUNTIF('공수1'!$Q$7:$Q$156,2))</f>
        <v/>
      </c>
      <c r="Q19" s="40">
        <f>IF(G19=0,"",COUNTIF('공수1'!$Q$7:$Q$156,3))</f>
        <v/>
      </c>
      <c r="R19" s="40">
        <f>IF(G19=0,"",COUNTIF('공수1'!$Q$7:$Q$156,4))</f>
        <v/>
      </c>
      <c r="S19" s="40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40">
        <f>'공수1'!R4</f>
        <v/>
      </c>
      <c r="D20" s="10">
        <f>'공수1'!R5</f>
        <v/>
      </c>
      <c r="E20" s="10">
        <f>'공수1'!R3</f>
        <v/>
      </c>
      <c r="F20" s="41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2">
        <f>IF(OR(F20="",G20=0),"",H20/G20)</f>
        <v/>
      </c>
      <c r="J20" s="43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3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3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4">
        <f>IF(OR(J20="",K20=""),"",J20-K20)</f>
        <v/>
      </c>
      <c r="N20" s="40">
        <f>IF(I20="","",IF(AND(M20&lt;&gt;"",M20&lt;0),"역변별·문항검토",IF(I20&gt;=0.9,"매우 쉬움",IF(I20&lt;=0.15,"매우 어려움",IF(AND(M20&lt;&gt;"",M20&lt;0.2),"변별력 낮음","양호")))))</f>
        <v/>
      </c>
      <c r="O20" s="45" t="inlineStr">
        <is>
          <t>-</t>
        </is>
      </c>
      <c r="P20" s="45" t="inlineStr">
        <is>
          <t>-</t>
        </is>
      </c>
      <c r="Q20" s="45" t="inlineStr">
        <is>
          <t>-</t>
        </is>
      </c>
      <c r="R20" s="45" t="inlineStr">
        <is>
          <t>-</t>
        </is>
      </c>
      <c r="S20" s="45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40">
        <f>'공수1'!S4</f>
        <v/>
      </c>
      <c r="D21" s="10">
        <f>'공수1'!S5</f>
        <v/>
      </c>
      <c r="E21" s="10">
        <f>'공수1'!S3</f>
        <v/>
      </c>
      <c r="F21" s="41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2">
        <f>IF(OR(F21="",G21=0),"",H21/G21)</f>
        <v/>
      </c>
      <c r="J21" s="43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3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3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4">
        <f>IF(OR(J21="",K21=""),"",J21-K21)</f>
        <v/>
      </c>
      <c r="N21" s="40">
        <f>IF(I21="","",IF(AND(M21&lt;&gt;"",M21&lt;0),"역변별·문항검토",IF(I21&gt;=0.9,"매우 쉬움",IF(I21&lt;=0.15,"매우 어려움",IF(AND(M21&lt;&gt;"",M21&lt;0.2),"변별력 낮음","양호")))))</f>
        <v/>
      </c>
      <c r="O21" s="45" t="inlineStr">
        <is>
          <t>-</t>
        </is>
      </c>
      <c r="P21" s="45" t="inlineStr">
        <is>
          <t>-</t>
        </is>
      </c>
      <c r="Q21" s="45" t="inlineStr">
        <is>
          <t>-</t>
        </is>
      </c>
      <c r="R21" s="45" t="inlineStr">
        <is>
          <t>-</t>
        </is>
      </c>
      <c r="S21" s="45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40">
        <f>'공수1'!T4</f>
        <v/>
      </c>
      <c r="D22" s="10">
        <f>'공수1'!T5</f>
        <v/>
      </c>
      <c r="E22" s="10">
        <f>'공수1'!T3</f>
        <v/>
      </c>
      <c r="F22" s="41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2">
        <f>IF(OR(F22="",G22=0),"",H22/G22)</f>
        <v/>
      </c>
      <c r="J22" s="43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3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3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4">
        <f>IF(OR(J22="",K22=""),"",J22-K22)</f>
        <v/>
      </c>
      <c r="N22" s="40">
        <f>IF(I22="","",IF(AND(M22&lt;&gt;"",M22&lt;0),"역변별·문항검토",IF(I22&gt;=0.9,"매우 쉬움",IF(I22&lt;=0.15,"매우 어려움",IF(AND(M22&lt;&gt;"",M22&lt;0.2),"변별력 낮음","양호")))))</f>
        <v/>
      </c>
      <c r="O22" s="45" t="inlineStr">
        <is>
          <t>-</t>
        </is>
      </c>
      <c r="P22" s="45" t="inlineStr">
        <is>
          <t>-</t>
        </is>
      </c>
      <c r="Q22" s="45" t="inlineStr">
        <is>
          <t>-</t>
        </is>
      </c>
      <c r="R22" s="45" t="inlineStr">
        <is>
          <t>-</t>
        </is>
      </c>
      <c r="S22" s="45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40">
        <f>'공수1'!U4</f>
        <v/>
      </c>
      <c r="D23" s="10">
        <f>'공수1'!U5</f>
        <v/>
      </c>
      <c r="E23" s="10">
        <f>'공수1'!U3</f>
        <v/>
      </c>
      <c r="F23" s="41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2">
        <f>IF(OR(F23="",G23=0),"",H23/G23)</f>
        <v/>
      </c>
      <c r="J23" s="43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3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3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4">
        <f>IF(OR(J23="",K23=""),"",J23-K23)</f>
        <v/>
      </c>
      <c r="N23" s="40">
        <f>IF(I23="","",IF(AND(M23&lt;&gt;"",M23&lt;0),"역변별·문항검토",IF(I23&gt;=0.9,"매우 쉬움",IF(I23&lt;=0.15,"매우 어려움",IF(AND(M23&lt;&gt;"",M23&lt;0.2),"변별력 낮음","양호")))))</f>
        <v/>
      </c>
      <c r="O23" s="45" t="inlineStr">
        <is>
          <t>-</t>
        </is>
      </c>
      <c r="P23" s="45" t="inlineStr">
        <is>
          <t>-</t>
        </is>
      </c>
      <c r="Q23" s="45" t="inlineStr">
        <is>
          <t>-</t>
        </is>
      </c>
      <c r="R23" s="45" t="inlineStr">
        <is>
          <t>-</t>
        </is>
      </c>
      <c r="S23" s="45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40">
        <f>'공수1'!V4</f>
        <v/>
      </c>
      <c r="D24" s="10">
        <f>'공수1'!V5</f>
        <v/>
      </c>
      <c r="E24" s="10">
        <f>'공수1'!V3</f>
        <v/>
      </c>
      <c r="F24" s="41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2">
        <f>IF(OR(F24="",G24=0),"",H24/G24)</f>
        <v/>
      </c>
      <c r="J24" s="43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3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3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4">
        <f>IF(OR(J24="",K24=""),"",J24-K24)</f>
        <v/>
      </c>
      <c r="N24" s="40">
        <f>IF(I24="","",IF(AND(M24&lt;&gt;"",M24&lt;0),"역변별·문항검토",IF(I24&gt;=0.9,"매우 쉬움",IF(I24&lt;=0.15,"매우 어려움",IF(AND(M24&lt;&gt;"",M24&lt;0.2),"변별력 낮음","양호")))))</f>
        <v/>
      </c>
      <c r="O24" s="45" t="inlineStr">
        <is>
          <t>-</t>
        </is>
      </c>
      <c r="P24" s="45" t="inlineStr">
        <is>
          <t>-</t>
        </is>
      </c>
      <c r="Q24" s="45" t="inlineStr">
        <is>
          <t>-</t>
        </is>
      </c>
      <c r="R24" s="45" t="inlineStr">
        <is>
          <t>-</t>
        </is>
      </c>
      <c r="S24" s="45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40">
        <f>'공수1'!W4</f>
        <v/>
      </c>
      <c r="D25" s="10">
        <f>'공수1'!W5</f>
        <v/>
      </c>
      <c r="E25" s="10">
        <f>'공수1'!W3</f>
        <v/>
      </c>
      <c r="F25" s="41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2">
        <f>IF(OR(F25="",G25=0),"",H25/G25)</f>
        <v/>
      </c>
      <c r="J25" s="43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3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3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4">
        <f>IF(OR(J25="",K25=""),"",J25-K25)</f>
        <v/>
      </c>
      <c r="N25" s="40">
        <f>IF(I25="","",IF(AND(M25&lt;&gt;"",M25&lt;0),"역변별·문항검토",IF(I25&gt;=0.9,"매우 쉬움",IF(I25&lt;=0.15,"매우 어려움",IF(AND(M25&lt;&gt;"",M25&lt;0.2),"변별력 낮음","양호")))))</f>
        <v/>
      </c>
      <c r="O25" s="45" t="inlineStr">
        <is>
          <t>-</t>
        </is>
      </c>
      <c r="P25" s="45" t="inlineStr">
        <is>
          <t>-</t>
        </is>
      </c>
      <c r="Q25" s="45" t="inlineStr">
        <is>
          <t>-</t>
        </is>
      </c>
      <c r="R25" s="45" t="inlineStr">
        <is>
          <t>-</t>
        </is>
      </c>
      <c r="S25" s="45" t="inlineStr">
        <is>
          <t>-</t>
        </is>
      </c>
    </row>
    <row r="28">
      <c r="A28" s="39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40">
        <f>'공수2'!D4</f>
        <v/>
      </c>
      <c r="D30" s="10">
        <f>'공수2'!D5</f>
        <v/>
      </c>
      <c r="E30" s="10">
        <f>'공수2'!D3</f>
        <v/>
      </c>
      <c r="F30" s="41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2">
        <f>IF(OR(F30="",G30=0),"",H30/G30)</f>
        <v/>
      </c>
      <c r="J30" s="43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3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3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4">
        <f>IF(OR(J30="",K30=""),"",J30-K30)</f>
        <v/>
      </c>
      <c r="N30" s="40">
        <f>IF(I30="","",IF(AND(M30&lt;&gt;"",M30&lt;0),"역변별·문항검토",IF(I30&gt;=0.9,"매우 쉬움",IF(I30&lt;=0.15,"매우 어려움",IF(AND(M30&lt;&gt;"",M30&lt;0.2),"변별력 낮음","양호")))))</f>
        <v/>
      </c>
      <c r="O30" s="40">
        <f>IF(G30=0,"",COUNTIF('공수2'!$D$7:$D$156,1))</f>
        <v/>
      </c>
      <c r="P30" s="40">
        <f>IF(G30=0,"",COUNTIF('공수2'!$D$7:$D$156,2))</f>
        <v/>
      </c>
      <c r="Q30" s="40">
        <f>IF(G30=0,"",COUNTIF('공수2'!$D$7:$D$156,3))</f>
        <v/>
      </c>
      <c r="R30" s="40">
        <f>IF(G30=0,"",COUNTIF('공수2'!$D$7:$D$156,4))</f>
        <v/>
      </c>
      <c r="S30" s="40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40">
        <f>'공수2'!E4</f>
        <v/>
      </c>
      <c r="D31" s="10">
        <f>'공수2'!E5</f>
        <v/>
      </c>
      <c r="E31" s="10">
        <f>'공수2'!E3</f>
        <v/>
      </c>
      <c r="F31" s="41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2">
        <f>IF(OR(F31="",G31=0),"",H31/G31)</f>
        <v/>
      </c>
      <c r="J31" s="43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3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3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4">
        <f>IF(OR(J31="",K31=""),"",J31-K31)</f>
        <v/>
      </c>
      <c r="N31" s="40">
        <f>IF(I31="","",IF(AND(M31&lt;&gt;"",M31&lt;0),"역변별·문항검토",IF(I31&gt;=0.9,"매우 쉬움",IF(I31&lt;=0.15,"매우 어려움",IF(AND(M31&lt;&gt;"",M31&lt;0.2),"변별력 낮음","양호")))))</f>
        <v/>
      </c>
      <c r="O31" s="40">
        <f>IF(G31=0,"",COUNTIF('공수2'!$E$7:$E$156,1))</f>
        <v/>
      </c>
      <c r="P31" s="40">
        <f>IF(G31=0,"",COUNTIF('공수2'!$E$7:$E$156,2))</f>
        <v/>
      </c>
      <c r="Q31" s="40">
        <f>IF(G31=0,"",COUNTIF('공수2'!$E$7:$E$156,3))</f>
        <v/>
      </c>
      <c r="R31" s="40">
        <f>IF(G31=0,"",COUNTIF('공수2'!$E$7:$E$156,4))</f>
        <v/>
      </c>
      <c r="S31" s="40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40">
        <f>'공수2'!F4</f>
        <v/>
      </c>
      <c r="D32" s="10">
        <f>'공수2'!F5</f>
        <v/>
      </c>
      <c r="E32" s="10">
        <f>'공수2'!F3</f>
        <v/>
      </c>
      <c r="F32" s="41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2">
        <f>IF(OR(F32="",G32=0),"",H32/G32)</f>
        <v/>
      </c>
      <c r="J32" s="43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3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3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4">
        <f>IF(OR(J32="",K32=""),"",J32-K32)</f>
        <v/>
      </c>
      <c r="N32" s="40">
        <f>IF(I32="","",IF(AND(M32&lt;&gt;"",M32&lt;0),"역변별·문항검토",IF(I32&gt;=0.9,"매우 쉬움",IF(I32&lt;=0.15,"매우 어려움",IF(AND(M32&lt;&gt;"",M32&lt;0.2),"변별력 낮음","양호")))))</f>
        <v/>
      </c>
      <c r="O32" s="40">
        <f>IF(G32=0,"",COUNTIF('공수2'!$F$7:$F$156,1))</f>
        <v/>
      </c>
      <c r="P32" s="40">
        <f>IF(G32=0,"",COUNTIF('공수2'!$F$7:$F$156,2))</f>
        <v/>
      </c>
      <c r="Q32" s="40">
        <f>IF(G32=0,"",COUNTIF('공수2'!$F$7:$F$156,3))</f>
        <v/>
      </c>
      <c r="R32" s="40">
        <f>IF(G32=0,"",COUNTIF('공수2'!$F$7:$F$156,4))</f>
        <v/>
      </c>
      <c r="S32" s="40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40">
        <f>'공수2'!G4</f>
        <v/>
      </c>
      <c r="D33" s="10">
        <f>'공수2'!G5</f>
        <v/>
      </c>
      <c r="E33" s="10">
        <f>'공수2'!G3</f>
        <v/>
      </c>
      <c r="F33" s="41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2">
        <f>IF(OR(F33="",G33=0),"",H33/G33)</f>
        <v/>
      </c>
      <c r="J33" s="43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3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3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4">
        <f>IF(OR(J33="",K33=""),"",J33-K33)</f>
        <v/>
      </c>
      <c r="N33" s="40">
        <f>IF(I33="","",IF(AND(M33&lt;&gt;"",M33&lt;0),"역변별·문항검토",IF(I33&gt;=0.9,"매우 쉬움",IF(I33&lt;=0.15,"매우 어려움",IF(AND(M33&lt;&gt;"",M33&lt;0.2),"변별력 낮음","양호")))))</f>
        <v/>
      </c>
      <c r="O33" s="40">
        <f>IF(G33=0,"",COUNTIF('공수2'!$G$7:$G$156,1))</f>
        <v/>
      </c>
      <c r="P33" s="40">
        <f>IF(G33=0,"",COUNTIF('공수2'!$G$7:$G$156,2))</f>
        <v/>
      </c>
      <c r="Q33" s="40">
        <f>IF(G33=0,"",COUNTIF('공수2'!$G$7:$G$156,3))</f>
        <v/>
      </c>
      <c r="R33" s="40">
        <f>IF(G33=0,"",COUNTIF('공수2'!$G$7:$G$156,4))</f>
        <v/>
      </c>
      <c r="S33" s="40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40">
        <f>'공수2'!H4</f>
        <v/>
      </c>
      <c r="D34" s="10">
        <f>'공수2'!H5</f>
        <v/>
      </c>
      <c r="E34" s="10">
        <f>'공수2'!H3</f>
        <v/>
      </c>
      <c r="F34" s="41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2">
        <f>IF(OR(F34="",G34=0),"",H34/G34)</f>
        <v/>
      </c>
      <c r="J34" s="43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3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3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4">
        <f>IF(OR(J34="",K34=""),"",J34-K34)</f>
        <v/>
      </c>
      <c r="N34" s="40">
        <f>IF(I34="","",IF(AND(M34&lt;&gt;"",M34&lt;0),"역변별·문항검토",IF(I34&gt;=0.9,"매우 쉬움",IF(I34&lt;=0.15,"매우 어려움",IF(AND(M34&lt;&gt;"",M34&lt;0.2),"변별력 낮음","양호")))))</f>
        <v/>
      </c>
      <c r="O34" s="40">
        <f>IF(G34=0,"",COUNTIF('공수2'!$H$7:$H$156,1))</f>
        <v/>
      </c>
      <c r="P34" s="40">
        <f>IF(G34=0,"",COUNTIF('공수2'!$H$7:$H$156,2))</f>
        <v/>
      </c>
      <c r="Q34" s="40">
        <f>IF(G34=0,"",COUNTIF('공수2'!$H$7:$H$156,3))</f>
        <v/>
      </c>
      <c r="R34" s="40">
        <f>IF(G34=0,"",COUNTIF('공수2'!$H$7:$H$156,4))</f>
        <v/>
      </c>
      <c r="S34" s="40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40">
        <f>'공수2'!I4</f>
        <v/>
      </c>
      <c r="D35" s="10">
        <f>'공수2'!I5</f>
        <v/>
      </c>
      <c r="E35" s="10">
        <f>'공수2'!I3</f>
        <v/>
      </c>
      <c r="F35" s="41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2">
        <f>IF(OR(F35="",G35=0),"",H35/G35)</f>
        <v/>
      </c>
      <c r="J35" s="43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3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3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4">
        <f>IF(OR(J35="",K35=""),"",J35-K35)</f>
        <v/>
      </c>
      <c r="N35" s="40">
        <f>IF(I35="","",IF(AND(M35&lt;&gt;"",M35&lt;0),"역변별·문항검토",IF(I35&gt;=0.9,"매우 쉬움",IF(I35&lt;=0.15,"매우 어려움",IF(AND(M35&lt;&gt;"",M35&lt;0.2),"변별력 낮음","양호")))))</f>
        <v/>
      </c>
      <c r="O35" s="40">
        <f>IF(G35=0,"",COUNTIF('공수2'!$I$7:$I$156,1))</f>
        <v/>
      </c>
      <c r="P35" s="40">
        <f>IF(G35=0,"",COUNTIF('공수2'!$I$7:$I$156,2))</f>
        <v/>
      </c>
      <c r="Q35" s="40">
        <f>IF(G35=0,"",COUNTIF('공수2'!$I$7:$I$156,3))</f>
        <v/>
      </c>
      <c r="R35" s="40">
        <f>IF(G35=0,"",COUNTIF('공수2'!$I$7:$I$156,4))</f>
        <v/>
      </c>
      <c r="S35" s="40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40">
        <f>'공수2'!J4</f>
        <v/>
      </c>
      <c r="D36" s="10">
        <f>'공수2'!J5</f>
        <v/>
      </c>
      <c r="E36" s="10">
        <f>'공수2'!J3</f>
        <v/>
      </c>
      <c r="F36" s="41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2">
        <f>IF(OR(F36="",G36=0),"",H36/G36)</f>
        <v/>
      </c>
      <c r="J36" s="43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3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3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4">
        <f>IF(OR(J36="",K36=""),"",J36-K36)</f>
        <v/>
      </c>
      <c r="N36" s="40">
        <f>IF(I36="","",IF(AND(M36&lt;&gt;"",M36&lt;0),"역변별·문항검토",IF(I36&gt;=0.9,"매우 쉬움",IF(I36&lt;=0.15,"매우 어려움",IF(AND(M36&lt;&gt;"",M36&lt;0.2),"변별력 낮음","양호")))))</f>
        <v/>
      </c>
      <c r="O36" s="40">
        <f>IF(G36=0,"",COUNTIF('공수2'!$J$7:$J$156,1))</f>
        <v/>
      </c>
      <c r="P36" s="40">
        <f>IF(G36=0,"",COUNTIF('공수2'!$J$7:$J$156,2))</f>
        <v/>
      </c>
      <c r="Q36" s="40">
        <f>IF(G36=0,"",COUNTIF('공수2'!$J$7:$J$156,3))</f>
        <v/>
      </c>
      <c r="R36" s="40">
        <f>IF(G36=0,"",COUNTIF('공수2'!$J$7:$J$156,4))</f>
        <v/>
      </c>
      <c r="S36" s="40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40">
        <f>'공수2'!K4</f>
        <v/>
      </c>
      <c r="D37" s="10">
        <f>'공수2'!K5</f>
        <v/>
      </c>
      <c r="E37" s="10">
        <f>'공수2'!K3</f>
        <v/>
      </c>
      <c r="F37" s="41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2">
        <f>IF(OR(F37="",G37=0),"",H37/G37)</f>
        <v/>
      </c>
      <c r="J37" s="43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3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3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4">
        <f>IF(OR(J37="",K37=""),"",J37-K37)</f>
        <v/>
      </c>
      <c r="N37" s="40">
        <f>IF(I37="","",IF(AND(M37&lt;&gt;"",M37&lt;0),"역변별·문항검토",IF(I37&gt;=0.9,"매우 쉬움",IF(I37&lt;=0.15,"매우 어려움",IF(AND(M37&lt;&gt;"",M37&lt;0.2),"변별력 낮음","양호")))))</f>
        <v/>
      </c>
      <c r="O37" s="40">
        <f>IF(G37=0,"",COUNTIF('공수2'!$K$7:$K$156,1))</f>
        <v/>
      </c>
      <c r="P37" s="40">
        <f>IF(G37=0,"",COUNTIF('공수2'!$K$7:$K$156,2))</f>
        <v/>
      </c>
      <c r="Q37" s="40">
        <f>IF(G37=0,"",COUNTIF('공수2'!$K$7:$K$156,3))</f>
        <v/>
      </c>
      <c r="R37" s="40">
        <f>IF(G37=0,"",COUNTIF('공수2'!$K$7:$K$156,4))</f>
        <v/>
      </c>
      <c r="S37" s="40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40">
        <f>'공수2'!L4</f>
        <v/>
      </c>
      <c r="D38" s="10">
        <f>'공수2'!L5</f>
        <v/>
      </c>
      <c r="E38" s="10">
        <f>'공수2'!L3</f>
        <v/>
      </c>
      <c r="F38" s="41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2">
        <f>IF(OR(F38="",G38=0),"",H38/G38)</f>
        <v/>
      </c>
      <c r="J38" s="43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3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3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4">
        <f>IF(OR(J38="",K38=""),"",J38-K38)</f>
        <v/>
      </c>
      <c r="N38" s="40">
        <f>IF(I38="","",IF(AND(M38&lt;&gt;"",M38&lt;0),"역변별·문항검토",IF(I38&gt;=0.9,"매우 쉬움",IF(I38&lt;=0.15,"매우 어려움",IF(AND(M38&lt;&gt;"",M38&lt;0.2),"변별력 낮음","양호")))))</f>
        <v/>
      </c>
      <c r="O38" s="40">
        <f>IF(G38=0,"",COUNTIF('공수2'!$L$7:$L$156,1))</f>
        <v/>
      </c>
      <c r="P38" s="40">
        <f>IF(G38=0,"",COUNTIF('공수2'!$L$7:$L$156,2))</f>
        <v/>
      </c>
      <c r="Q38" s="40">
        <f>IF(G38=0,"",COUNTIF('공수2'!$L$7:$L$156,3))</f>
        <v/>
      </c>
      <c r="R38" s="40">
        <f>IF(G38=0,"",COUNTIF('공수2'!$L$7:$L$156,4))</f>
        <v/>
      </c>
      <c r="S38" s="40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40">
        <f>'공수2'!M4</f>
        <v/>
      </c>
      <c r="D39" s="10">
        <f>'공수2'!M5</f>
        <v/>
      </c>
      <c r="E39" s="10">
        <f>'공수2'!M3</f>
        <v/>
      </c>
      <c r="F39" s="41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2">
        <f>IF(OR(F39="",G39=0),"",H39/G39)</f>
        <v/>
      </c>
      <c r="J39" s="43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3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3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4">
        <f>IF(OR(J39="",K39=""),"",J39-K39)</f>
        <v/>
      </c>
      <c r="N39" s="40">
        <f>IF(I39="","",IF(AND(M39&lt;&gt;"",M39&lt;0),"역변별·문항검토",IF(I39&gt;=0.9,"매우 쉬움",IF(I39&lt;=0.15,"매우 어려움",IF(AND(M39&lt;&gt;"",M39&lt;0.2),"변별력 낮음","양호")))))</f>
        <v/>
      </c>
      <c r="O39" s="40">
        <f>IF(G39=0,"",COUNTIF('공수2'!$M$7:$M$156,1))</f>
        <v/>
      </c>
      <c r="P39" s="40">
        <f>IF(G39=0,"",COUNTIF('공수2'!$M$7:$M$156,2))</f>
        <v/>
      </c>
      <c r="Q39" s="40">
        <f>IF(G39=0,"",COUNTIF('공수2'!$M$7:$M$156,3))</f>
        <v/>
      </c>
      <c r="R39" s="40">
        <f>IF(G39=0,"",COUNTIF('공수2'!$M$7:$M$156,4))</f>
        <v/>
      </c>
      <c r="S39" s="40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40">
        <f>'공수2'!N4</f>
        <v/>
      </c>
      <c r="D40" s="10">
        <f>'공수2'!N5</f>
        <v/>
      </c>
      <c r="E40" s="10">
        <f>'공수2'!N3</f>
        <v/>
      </c>
      <c r="F40" s="41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2">
        <f>IF(OR(F40="",G40=0),"",H40/G40)</f>
        <v/>
      </c>
      <c r="J40" s="43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3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3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4">
        <f>IF(OR(J40="",K40=""),"",J40-K40)</f>
        <v/>
      </c>
      <c r="N40" s="40">
        <f>IF(I40="","",IF(AND(M40&lt;&gt;"",M40&lt;0),"역변별·문항검토",IF(I40&gt;=0.9,"매우 쉬움",IF(I40&lt;=0.15,"매우 어려움",IF(AND(M40&lt;&gt;"",M40&lt;0.2),"변별력 낮음","양호")))))</f>
        <v/>
      </c>
      <c r="O40" s="40">
        <f>IF(G40=0,"",COUNTIF('공수2'!$N$7:$N$156,1))</f>
        <v/>
      </c>
      <c r="P40" s="40">
        <f>IF(G40=0,"",COUNTIF('공수2'!$N$7:$N$156,2))</f>
        <v/>
      </c>
      <c r="Q40" s="40">
        <f>IF(G40=0,"",COUNTIF('공수2'!$N$7:$N$156,3))</f>
        <v/>
      </c>
      <c r="R40" s="40">
        <f>IF(G40=0,"",COUNTIF('공수2'!$N$7:$N$156,4))</f>
        <v/>
      </c>
      <c r="S40" s="40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40">
        <f>'공수2'!O4</f>
        <v/>
      </c>
      <c r="D41" s="10">
        <f>'공수2'!O5</f>
        <v/>
      </c>
      <c r="E41" s="10">
        <f>'공수2'!O3</f>
        <v/>
      </c>
      <c r="F41" s="41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2">
        <f>IF(OR(F41="",G41=0),"",H41/G41)</f>
        <v/>
      </c>
      <c r="J41" s="43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3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3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4">
        <f>IF(OR(J41="",K41=""),"",J41-K41)</f>
        <v/>
      </c>
      <c r="N41" s="40">
        <f>IF(I41="","",IF(AND(M41&lt;&gt;"",M41&lt;0),"역변별·문항검토",IF(I41&gt;=0.9,"매우 쉬움",IF(I41&lt;=0.15,"매우 어려움",IF(AND(M41&lt;&gt;"",M41&lt;0.2),"변별력 낮음","양호")))))</f>
        <v/>
      </c>
      <c r="O41" s="40">
        <f>IF(G41=0,"",COUNTIF('공수2'!$O$7:$O$156,1))</f>
        <v/>
      </c>
      <c r="P41" s="40">
        <f>IF(G41=0,"",COUNTIF('공수2'!$O$7:$O$156,2))</f>
        <v/>
      </c>
      <c r="Q41" s="40">
        <f>IF(G41=0,"",COUNTIF('공수2'!$O$7:$O$156,3))</f>
        <v/>
      </c>
      <c r="R41" s="40">
        <f>IF(G41=0,"",COUNTIF('공수2'!$O$7:$O$156,4))</f>
        <v/>
      </c>
      <c r="S41" s="40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40">
        <f>'공수2'!P4</f>
        <v/>
      </c>
      <c r="D42" s="10">
        <f>'공수2'!P5</f>
        <v/>
      </c>
      <c r="E42" s="10">
        <f>'공수2'!P3</f>
        <v/>
      </c>
      <c r="F42" s="41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2">
        <f>IF(OR(F42="",G42=0),"",H42/G42)</f>
        <v/>
      </c>
      <c r="J42" s="43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3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3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4">
        <f>IF(OR(J42="",K42=""),"",J42-K42)</f>
        <v/>
      </c>
      <c r="N42" s="40">
        <f>IF(I42="","",IF(AND(M42&lt;&gt;"",M42&lt;0),"역변별·문항검토",IF(I42&gt;=0.9,"매우 쉬움",IF(I42&lt;=0.15,"매우 어려움",IF(AND(M42&lt;&gt;"",M42&lt;0.2),"변별력 낮음","양호")))))</f>
        <v/>
      </c>
      <c r="O42" s="40">
        <f>IF(G42=0,"",COUNTIF('공수2'!$P$7:$P$156,1))</f>
        <v/>
      </c>
      <c r="P42" s="40">
        <f>IF(G42=0,"",COUNTIF('공수2'!$P$7:$P$156,2))</f>
        <v/>
      </c>
      <c r="Q42" s="40">
        <f>IF(G42=0,"",COUNTIF('공수2'!$P$7:$P$156,3))</f>
        <v/>
      </c>
      <c r="R42" s="40">
        <f>IF(G42=0,"",COUNTIF('공수2'!$P$7:$P$156,4))</f>
        <v/>
      </c>
      <c r="S42" s="40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40">
        <f>'공수2'!Q4</f>
        <v/>
      </c>
      <c r="D43" s="10">
        <f>'공수2'!Q5</f>
        <v/>
      </c>
      <c r="E43" s="10">
        <f>'공수2'!Q3</f>
        <v/>
      </c>
      <c r="F43" s="41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2">
        <f>IF(OR(F43="",G43=0),"",H43/G43)</f>
        <v/>
      </c>
      <c r="J43" s="43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3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3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4">
        <f>IF(OR(J43="",K43=""),"",J43-K43)</f>
        <v/>
      </c>
      <c r="N43" s="40">
        <f>IF(I43="","",IF(AND(M43&lt;&gt;"",M43&lt;0),"역변별·문항검토",IF(I43&gt;=0.9,"매우 쉬움",IF(I43&lt;=0.15,"매우 어려움",IF(AND(M43&lt;&gt;"",M43&lt;0.2),"변별력 낮음","양호")))))</f>
        <v/>
      </c>
      <c r="O43" s="40">
        <f>IF(G43=0,"",COUNTIF('공수2'!$Q$7:$Q$156,1))</f>
        <v/>
      </c>
      <c r="P43" s="40">
        <f>IF(G43=0,"",COUNTIF('공수2'!$Q$7:$Q$156,2))</f>
        <v/>
      </c>
      <c r="Q43" s="40">
        <f>IF(G43=0,"",COUNTIF('공수2'!$Q$7:$Q$156,3))</f>
        <v/>
      </c>
      <c r="R43" s="40">
        <f>IF(G43=0,"",COUNTIF('공수2'!$Q$7:$Q$156,4))</f>
        <v/>
      </c>
      <c r="S43" s="40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40">
        <f>'공수2'!R4</f>
        <v/>
      </c>
      <c r="D44" s="10">
        <f>'공수2'!R5</f>
        <v/>
      </c>
      <c r="E44" s="10">
        <f>'공수2'!R3</f>
        <v/>
      </c>
      <c r="F44" s="41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2">
        <f>IF(OR(F44="",G44=0),"",H44/G44)</f>
        <v/>
      </c>
      <c r="J44" s="43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3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3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4">
        <f>IF(OR(J44="",K44=""),"",J44-K44)</f>
        <v/>
      </c>
      <c r="N44" s="40">
        <f>IF(I44="","",IF(AND(M44&lt;&gt;"",M44&lt;0),"역변별·문항검토",IF(I44&gt;=0.9,"매우 쉬움",IF(I44&lt;=0.15,"매우 어려움",IF(AND(M44&lt;&gt;"",M44&lt;0.2),"변별력 낮음","양호")))))</f>
        <v/>
      </c>
      <c r="O44" s="45" t="inlineStr">
        <is>
          <t>-</t>
        </is>
      </c>
      <c r="P44" s="45" t="inlineStr">
        <is>
          <t>-</t>
        </is>
      </c>
      <c r="Q44" s="45" t="inlineStr">
        <is>
          <t>-</t>
        </is>
      </c>
      <c r="R44" s="45" t="inlineStr">
        <is>
          <t>-</t>
        </is>
      </c>
      <c r="S44" s="45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40">
        <f>'공수2'!S4</f>
        <v/>
      </c>
      <c r="D45" s="10">
        <f>'공수2'!S5</f>
        <v/>
      </c>
      <c r="E45" s="10">
        <f>'공수2'!S3</f>
        <v/>
      </c>
      <c r="F45" s="41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2">
        <f>IF(OR(F45="",G45=0),"",H45/G45)</f>
        <v/>
      </c>
      <c r="J45" s="43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3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3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4">
        <f>IF(OR(J45="",K45=""),"",J45-K45)</f>
        <v/>
      </c>
      <c r="N45" s="40">
        <f>IF(I45="","",IF(AND(M45&lt;&gt;"",M45&lt;0),"역변별·문항검토",IF(I45&gt;=0.9,"매우 쉬움",IF(I45&lt;=0.15,"매우 어려움",IF(AND(M45&lt;&gt;"",M45&lt;0.2),"변별력 낮음","양호")))))</f>
        <v/>
      </c>
      <c r="O45" s="45" t="inlineStr">
        <is>
          <t>-</t>
        </is>
      </c>
      <c r="P45" s="45" t="inlineStr">
        <is>
          <t>-</t>
        </is>
      </c>
      <c r="Q45" s="45" t="inlineStr">
        <is>
          <t>-</t>
        </is>
      </c>
      <c r="R45" s="45" t="inlineStr">
        <is>
          <t>-</t>
        </is>
      </c>
      <c r="S45" s="45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40">
        <f>'공수2'!T4</f>
        <v/>
      </c>
      <c r="D46" s="10">
        <f>'공수2'!T5</f>
        <v/>
      </c>
      <c r="E46" s="10">
        <f>'공수2'!T3</f>
        <v/>
      </c>
      <c r="F46" s="41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2">
        <f>IF(OR(F46="",G46=0),"",H46/G46)</f>
        <v/>
      </c>
      <c r="J46" s="43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3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3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4">
        <f>IF(OR(J46="",K46=""),"",J46-K46)</f>
        <v/>
      </c>
      <c r="N46" s="40">
        <f>IF(I46="","",IF(AND(M46&lt;&gt;"",M46&lt;0),"역변별·문항검토",IF(I46&gt;=0.9,"매우 쉬움",IF(I46&lt;=0.15,"매우 어려움",IF(AND(M46&lt;&gt;"",M46&lt;0.2),"변별력 낮음","양호")))))</f>
        <v/>
      </c>
      <c r="O46" s="45" t="inlineStr">
        <is>
          <t>-</t>
        </is>
      </c>
      <c r="P46" s="45" t="inlineStr">
        <is>
          <t>-</t>
        </is>
      </c>
      <c r="Q46" s="45" t="inlineStr">
        <is>
          <t>-</t>
        </is>
      </c>
      <c r="R46" s="45" t="inlineStr">
        <is>
          <t>-</t>
        </is>
      </c>
      <c r="S46" s="45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40">
        <f>'공수2'!U4</f>
        <v/>
      </c>
      <c r="D47" s="10">
        <f>'공수2'!U5</f>
        <v/>
      </c>
      <c r="E47" s="10">
        <f>'공수2'!U3</f>
        <v/>
      </c>
      <c r="F47" s="41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2">
        <f>IF(OR(F47="",G47=0),"",H47/G47)</f>
        <v/>
      </c>
      <c r="J47" s="43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3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3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4">
        <f>IF(OR(J47="",K47=""),"",J47-K47)</f>
        <v/>
      </c>
      <c r="N47" s="40">
        <f>IF(I47="","",IF(AND(M47&lt;&gt;"",M47&lt;0),"역변별·문항검토",IF(I47&gt;=0.9,"매우 쉬움",IF(I47&lt;=0.15,"매우 어려움",IF(AND(M47&lt;&gt;"",M47&lt;0.2),"변별력 낮음","양호")))))</f>
        <v/>
      </c>
      <c r="O47" s="45" t="inlineStr">
        <is>
          <t>-</t>
        </is>
      </c>
      <c r="P47" s="45" t="inlineStr">
        <is>
          <t>-</t>
        </is>
      </c>
      <c r="Q47" s="45" t="inlineStr">
        <is>
          <t>-</t>
        </is>
      </c>
      <c r="R47" s="45" t="inlineStr">
        <is>
          <t>-</t>
        </is>
      </c>
      <c r="S47" s="45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40">
        <f>'공수2'!V4</f>
        <v/>
      </c>
      <c r="D48" s="10">
        <f>'공수2'!V5</f>
        <v/>
      </c>
      <c r="E48" s="10">
        <f>'공수2'!V3</f>
        <v/>
      </c>
      <c r="F48" s="41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2">
        <f>IF(OR(F48="",G48=0),"",H48/G48)</f>
        <v/>
      </c>
      <c r="J48" s="43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3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3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4">
        <f>IF(OR(J48="",K48=""),"",J48-K48)</f>
        <v/>
      </c>
      <c r="N48" s="40">
        <f>IF(I48="","",IF(AND(M48&lt;&gt;"",M48&lt;0),"역변별·문항검토",IF(I48&gt;=0.9,"매우 쉬움",IF(I48&lt;=0.15,"매우 어려움",IF(AND(M48&lt;&gt;"",M48&lt;0.2),"변별력 낮음","양호")))))</f>
        <v/>
      </c>
      <c r="O48" s="45" t="inlineStr">
        <is>
          <t>-</t>
        </is>
      </c>
      <c r="P48" s="45" t="inlineStr">
        <is>
          <t>-</t>
        </is>
      </c>
      <c r="Q48" s="45" t="inlineStr">
        <is>
          <t>-</t>
        </is>
      </c>
      <c r="R48" s="45" t="inlineStr">
        <is>
          <t>-</t>
        </is>
      </c>
      <c r="S48" s="45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40">
        <f>'공수2'!W4</f>
        <v/>
      </c>
      <c r="D49" s="10">
        <f>'공수2'!W5</f>
        <v/>
      </c>
      <c r="E49" s="10">
        <f>'공수2'!W3</f>
        <v/>
      </c>
      <c r="F49" s="41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2">
        <f>IF(OR(F49="",G49=0),"",H49/G49)</f>
        <v/>
      </c>
      <c r="J49" s="43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3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3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4">
        <f>IF(OR(J49="",K49=""),"",J49-K49)</f>
        <v/>
      </c>
      <c r="N49" s="40">
        <f>IF(I49="","",IF(AND(M49&lt;&gt;"",M49&lt;0),"역변별·문항검토",IF(I49&gt;=0.9,"매우 쉬움",IF(I49&lt;=0.15,"매우 어려움",IF(AND(M49&lt;&gt;"",M49&lt;0.2),"변별력 낮음","양호")))))</f>
        <v/>
      </c>
      <c r="O49" s="45" t="inlineStr">
        <is>
          <t>-</t>
        </is>
      </c>
      <c r="P49" s="45" t="inlineStr">
        <is>
          <t>-</t>
        </is>
      </c>
      <c r="Q49" s="45" t="inlineStr">
        <is>
          <t>-</t>
        </is>
      </c>
      <c r="R49" s="45" t="inlineStr">
        <is>
          <t>-</t>
        </is>
      </c>
      <c r="S49" s="45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2026-10-18T03:27:38Z</dcterms:created>
  <dcterms:modified xmlns:dcterms="http://purl.org/dc/terms/" xmlns:xsi="http://www.w3.org/2001/XMLSchema-instance" xsi:type="dcterms:W3CDTF">2026-10-18T03:27:39Z</dcterms:modified>
</cp:coreProperties>
</file>