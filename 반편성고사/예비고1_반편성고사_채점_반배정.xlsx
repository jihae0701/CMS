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공수1 미만</t>
        </is>
      </c>
      <c r="E5" s="4" t="inlineStr">
        <is>
          <t>공수2 이상</t>
        </is>
      </c>
      <c r="F5" s="4" t="inlineStr">
        <is>
          <t>공수2 미만</t>
        </is>
      </c>
      <c r="H5" s="2" t="inlineStr">
        <is>
          <t>· 점수(100점 만점)로 판정, 빈칸은 조건 없음
· 위 순위부터 차례로 확인해 처음 맞는 반에 배정
· 예) TF2반: 공수1 60점 이상이고 공수2 40점 미만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60</v>
      </c>
      <c r="D6" s="7" t="n"/>
      <c r="E6" s="7" t="n">
        <v>60</v>
      </c>
      <c r="F6" s="7" t="n"/>
    </row>
    <row r="7">
      <c r="A7" s="5" t="inlineStr">
        <is>
          <t>2순위</t>
        </is>
      </c>
      <c r="B7" s="6" t="inlineStr">
        <is>
          <t>TF2반</t>
        </is>
      </c>
      <c r="C7" s="7" t="n">
        <v>60</v>
      </c>
      <c r="D7" s="7" t="n"/>
      <c r="E7" s="7" t="n"/>
      <c r="F7" s="7" t="n">
        <v>40</v>
      </c>
    </row>
    <row r="8">
      <c r="A8" s="5" t="inlineStr">
        <is>
          <t>3순위</t>
        </is>
      </c>
      <c r="B8" s="6" t="inlineStr">
        <is>
          <t>TF3반</t>
        </is>
      </c>
      <c r="C8" s="7" t="n"/>
      <c r="D8" s="7" t="n">
        <v>40</v>
      </c>
      <c r="E8" s="7" t="n"/>
      <c r="F8" s="7" t="n">
        <v>40</v>
      </c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위 조건에 모두 해당하지 않거나 미응시 과목이 있으면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과목별 점수 기준으로만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어느 과목이든 기준 점수(①의 숫자)와 차이가 이 값 이내면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 모두 탄탄한 기초를 갖춘 학생을 위한 반으로, 개념 심화와 고난도 문항 해결력, 고1 내신 상위권 대비까지 진행합니다.</t>
        </is>
      </c>
    </row>
    <row r="56" ht="30" customHeight="1">
      <c r="A56" s="8">
        <f>B7</f>
        <v/>
      </c>
      <c r="B56" s="16" t="inlineStr">
        <is>
          <t>공통수학1의 강점을 살리면서 공통수학2의 개념을 처음부터 체계적으로 다져, 두 과목의 균형을 맞추는 반입니다.</t>
        </is>
      </c>
    </row>
    <row r="57" ht="30" customHeight="1">
      <c r="A57" s="8">
        <f>B8</f>
        <v/>
      </c>
      <c r="B57" s="16" t="inlineStr">
        <is>
          <t>중등 연계 개념부터 차근차근 점검하며, 공통수학1·2의 핵심 개념과 기본 유형을 확실히 완성하는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" customWidth="1" min="4" max="4"/>
    <col width="12" customWidth="1" min="5" max="5"/>
    <col width="30" customWidth="1" min="6" max="6"/>
    <col width="16" customWidth="1" min="7" max="7"/>
    <col width="30" customWidth="1" min="8" max="8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연락처</t>
        </is>
      </c>
      <c r="H6" s="4" t="inlineStr">
        <is>
          <t>비고(내부용)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공통수학1 1회독 완료, 공통수학2 집합까지</t>
        </is>
      </c>
      <c r="G7" s="7" t="inlineStr">
        <is>
          <t>010-0000-0000</t>
        </is>
      </c>
      <c r="H7" s="16" t="inlineStr">
        <is>
          <t>예시 행 — 삭제 후 사용</t>
        </is>
      </c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16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16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16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16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16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16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16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16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16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16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16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16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16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16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16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16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16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16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16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16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16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16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16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16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16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16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16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16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16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16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16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16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16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16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16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16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16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16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16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16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16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16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16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16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16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16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16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16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16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16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16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16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16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16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16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16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16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16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16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16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16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16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16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16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16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16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16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16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16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16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16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16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16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16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16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16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16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16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16" t="n"/>
    </row>
  </sheetData>
  <mergeCells count="2">
    <mergeCell ref="A2:H2"/>
    <mergeCell ref="A1:H1"/>
  </mergeCells>
  <dataValidations count="1">
    <dataValidation sqref="D7:D8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86 S7:S86 T7:T86 U7:U86 V7:V86 W7:W8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86 S7:S86 T7:T86 U7:U86 V7:V86 W7:W8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IF(I7="","",COUNTIF($I$7:$I$86,"&gt;"&amp;I7)+1)</f>
        <v/>
      </c>
      <c r="K7" s="27">
        <f>IF(I7="","",IF(OR(G7="",H7=""),'설정'!$B$9,IF(AND(OR('설정'!$C$6="",G7&gt;='설정'!$C$6),OR('설정'!$D$6="",G7&lt;'설정'!$D$6),OR('설정'!$E$6="",H7&gt;='설정'!$E$6),OR('설정'!$F$6="",H7&lt;'설정'!$F$6)),'설정'!$B$6,IF(AND(OR('설정'!$C$7="",G7&gt;='설정'!$C$7),OR('설정'!$D$7="",G7&lt;'설정'!$D$7),OR('설정'!$E$7="",H7&gt;='설정'!$E$7),OR('설정'!$F$7="",H7&lt;'설정'!$F$7)),'설정'!$B$7,IF(AND(OR('설정'!$C$8="",G7&gt;='설정'!$C$8),OR('설정'!$D$8="",G7&lt;'설정'!$D$8),OR('설정'!$E$8="",H7&gt;='설정'!$E$8),OR('설정'!$F$8="",H7&lt;'설정'!$F$8)),'설정'!$B$8,'설정'!$B$9)))))</f>
        <v/>
      </c>
      <c r="L7" s="29">
        <f>IF(OR(G7="",H7=""),"",IF(SUMPRODUCT(ISNUMBER('설정'!$C$6:$D$8)*(ABS(G7-'설정'!$C$6:$D$8)&lt;='설정'!$C$15))+SUMPRODUCT(ISNUMBER('설정'!$E$6:$F$8)*(ABS(H7-'설정'!$E$6:$F$8)&lt;='설정'!$C$15))&gt;0,"경계",""))</f>
        <v/>
      </c>
      <c r="M7" s="7" t="n"/>
      <c r="N7" s="7" t="n"/>
      <c r="O7" s="27">
        <f>IF(M7&lt;&gt;"",M7,K7)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COUNTIF($K$7:$K$86,S7)</f>
        <v/>
      </c>
      <c r="U7" s="27">
        <f>COUNTIF($O$7:$O$86,S7)</f>
        <v/>
      </c>
      <c r="V7" s="32">
        <f>IFERROR(AVERAGEIF($O$7:$O$86,S7,$G$7:$G$86),"")</f>
        <v/>
      </c>
      <c r="W7" s="32">
        <f>IFERROR(AVERAGEIF($O$7:$O$86,S7,$H$7:$H$86),"")</f>
        <v/>
      </c>
      <c r="X7" s="10">
        <f>COUNTIFS($O$7:$O$86,S7,$D$7:$D$86,"재원")</f>
        <v/>
      </c>
      <c r="Y7" s="10">
        <f>COUNTIFS($O$7:$O$86,S7,$D$7:$D$86,"외부")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IF(I8="","",COUNTIF($I$7:$I$86,"&gt;"&amp;I8)+1)</f>
        <v/>
      </c>
      <c r="K8" s="27">
        <f>IF(I8="","",IF(OR(G8="",H8=""),'설정'!$B$9,IF(AND(OR('설정'!$C$6="",G8&gt;='설정'!$C$6),OR('설정'!$D$6="",G8&lt;'설정'!$D$6),OR('설정'!$E$6="",H8&gt;='설정'!$E$6),OR('설정'!$F$6="",H8&lt;'설정'!$F$6)),'설정'!$B$6,IF(AND(OR('설정'!$C$7="",G8&gt;='설정'!$C$7),OR('설정'!$D$7="",G8&lt;'설정'!$D$7),OR('설정'!$E$7="",H8&gt;='설정'!$E$7),OR('설정'!$F$7="",H8&lt;'설정'!$F$7)),'설정'!$B$7,IF(AND(OR('설정'!$C$8="",G8&gt;='설정'!$C$8),OR('설정'!$D$8="",G8&lt;'설정'!$D$8),OR('설정'!$E$8="",H8&gt;='설정'!$E$8),OR('설정'!$F$8="",H8&lt;'설정'!$F$8)),'설정'!$B$8,'설정'!$B$9)))))</f>
        <v/>
      </c>
      <c r="L8" s="29">
        <f>IF(OR(G8="",H8=""),"",IF(SUMPRODUCT(ISNUMBER('설정'!$C$6:$D$8)*(ABS(G8-'설정'!$C$6:$D$8)&lt;='설정'!$C$15))+SUMPRODUCT(ISNUMBER('설정'!$E$6:$F$8)*(ABS(H8-'설정'!$E$6:$F$8)&lt;='설정'!$C$15))&gt;0,"경계",""))</f>
        <v/>
      </c>
      <c r="M8" s="7" t="n"/>
      <c r="N8" s="7" t="n"/>
      <c r="O8" s="27">
        <f>IF(M8&lt;&gt;"",M8,K8)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COUNTIF($K$7:$K$86,S8)</f>
        <v/>
      </c>
      <c r="U8" s="27">
        <f>COUNTIF($O$7:$O$86,S8)</f>
        <v/>
      </c>
      <c r="V8" s="32">
        <f>IFERROR(AVERAGEIF($O$7:$O$86,S8,$G$7:$G$86),"")</f>
        <v/>
      </c>
      <c r="W8" s="32">
        <f>IFERROR(AVERAGEIF($O$7:$O$86,S8,$H$7:$H$86),"")</f>
        <v/>
      </c>
      <c r="X8" s="10">
        <f>COUNTIFS($O$7:$O$86,S8,$D$7:$D$86,"재원")</f>
        <v/>
      </c>
      <c r="Y8" s="10">
        <f>COUNTIFS($O$7:$O$86,S8,$D$7:$D$86,"외부")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IF(I9="","",COUNTIF($I$7:$I$86,"&gt;"&amp;I9)+1)</f>
        <v/>
      </c>
      <c r="K9" s="27">
        <f>IF(I9="","",IF(OR(G9="",H9=""),'설정'!$B$9,IF(AND(OR('설정'!$C$6="",G9&gt;='설정'!$C$6),OR('설정'!$D$6="",G9&lt;'설정'!$D$6),OR('설정'!$E$6="",H9&gt;='설정'!$E$6),OR('설정'!$F$6="",H9&lt;'설정'!$F$6)),'설정'!$B$6,IF(AND(OR('설정'!$C$7="",G9&gt;='설정'!$C$7),OR('설정'!$D$7="",G9&lt;'설정'!$D$7),OR('설정'!$E$7="",H9&gt;='설정'!$E$7),OR('설정'!$F$7="",H9&lt;'설정'!$F$7)),'설정'!$B$7,IF(AND(OR('설정'!$C$8="",G9&gt;='설정'!$C$8),OR('설정'!$D$8="",G9&lt;'설정'!$D$8),OR('설정'!$E$8="",H9&gt;='설정'!$E$8),OR('설정'!$F$8="",H9&lt;'설정'!$F$8)),'설정'!$B$8,'설정'!$B$9)))))</f>
        <v/>
      </c>
      <c r="L9" s="29">
        <f>IF(OR(G9="",H9=""),"",IF(SUMPRODUCT(ISNUMBER('설정'!$C$6:$D$8)*(ABS(G9-'설정'!$C$6:$D$8)&lt;='설정'!$C$15))+SUMPRODUCT(ISNUMBER('설정'!$E$6:$F$8)*(ABS(H9-'설정'!$E$6:$F$8)&lt;='설정'!$C$15))&gt;0,"경계",""))</f>
        <v/>
      </c>
      <c r="M9" s="7" t="n"/>
      <c r="N9" s="7" t="n"/>
      <c r="O9" s="27">
        <f>IF(M9&lt;&gt;"",M9,K9)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COUNTIF($K$7:$K$86,S9)</f>
        <v/>
      </c>
      <c r="U9" s="27">
        <f>COUNTIF($O$7:$O$86,S9)</f>
        <v/>
      </c>
      <c r="V9" s="32">
        <f>IFERROR(AVERAGEIF($O$7:$O$86,S9,$G$7:$G$86),"")</f>
        <v/>
      </c>
      <c r="W9" s="32">
        <f>IFERROR(AVERAGEIF($O$7:$O$86,S9,$H$7:$H$86),"")</f>
        <v/>
      </c>
      <c r="X9" s="10">
        <f>COUNTIFS($O$7:$O$86,S9,$D$7:$D$86,"재원")</f>
        <v/>
      </c>
      <c r="Y9" s="10">
        <f>COUNTIFS($O$7:$O$86,S9,$D$7:$D$86,"외부")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IF(I10="","",COUNTIF($I$7:$I$86,"&gt;"&amp;I10)+1)</f>
        <v/>
      </c>
      <c r="K10" s="27">
        <f>IF(I10="","",IF(OR(G10="",H10=""),'설정'!$B$9,IF(AND(OR('설정'!$C$6="",G10&gt;='설정'!$C$6),OR('설정'!$D$6="",G10&lt;'설정'!$D$6),OR('설정'!$E$6="",H10&gt;='설정'!$E$6),OR('설정'!$F$6="",H10&lt;'설정'!$F$6)),'설정'!$B$6,IF(AND(OR('설정'!$C$7="",G10&gt;='설정'!$C$7),OR('설정'!$D$7="",G10&lt;'설정'!$D$7),OR('설정'!$E$7="",H10&gt;='설정'!$E$7),OR('설정'!$F$7="",H10&lt;'설정'!$F$7)),'설정'!$B$7,IF(AND(OR('설정'!$C$8="",G10&gt;='설정'!$C$8),OR('설정'!$D$8="",G10&lt;'설정'!$D$8),OR('설정'!$E$8="",H10&gt;='설정'!$E$8),OR('설정'!$F$8="",H10&lt;'설정'!$F$8)),'설정'!$B$8,'설정'!$B$9)))))</f>
        <v/>
      </c>
      <c r="L10" s="29">
        <f>IF(OR(G10="",H10=""),"",IF(SUMPRODUCT(ISNUMBER('설정'!$C$6:$D$8)*(ABS(G10-'설정'!$C$6:$D$8)&lt;='설정'!$C$15))+SUMPRODUCT(ISNUMBER('설정'!$E$6:$F$8)*(ABS(H10-'설정'!$E$6:$F$8)&lt;='설정'!$C$15))&gt;0,"경계",""))</f>
        <v/>
      </c>
      <c r="M10" s="7" t="n"/>
      <c r="N10" s="7" t="n"/>
      <c r="O10" s="27">
        <f>IF(M10&lt;&gt;"",M10,K10)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COUNTIF($K$7:$K$86,S10)</f>
        <v/>
      </c>
      <c r="U10" s="27">
        <f>COUNTIF($O$7:$O$86,S10)</f>
        <v/>
      </c>
      <c r="V10" s="32">
        <f>IFERROR(AVERAGEIF($O$7:$O$86,S10,$G$7:$G$86),"")</f>
        <v/>
      </c>
      <c r="W10" s="32">
        <f>IFERROR(AVERAGEIF($O$7:$O$86,S10,$H$7:$H$86),"")</f>
        <v/>
      </c>
      <c r="X10" s="10">
        <f>COUNTIFS($O$7:$O$86,S10,$D$7:$D$86,"재원")</f>
        <v/>
      </c>
      <c r="Y10" s="10">
        <f>COUNTIFS($O$7:$O$86,S10,$D$7:$D$86,"외부")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IF(I11="","",COUNTIF($I$7:$I$86,"&gt;"&amp;I11)+1)</f>
        <v/>
      </c>
      <c r="K11" s="27">
        <f>IF(I11="","",IF(OR(G11="",H11=""),'설정'!$B$9,IF(AND(OR('설정'!$C$6="",G11&gt;='설정'!$C$6),OR('설정'!$D$6="",G11&lt;'설정'!$D$6),OR('설정'!$E$6="",H11&gt;='설정'!$E$6),OR('설정'!$F$6="",H11&lt;'설정'!$F$6)),'설정'!$B$6,IF(AND(OR('설정'!$C$7="",G11&gt;='설정'!$C$7),OR('설정'!$D$7="",G11&lt;'설정'!$D$7),OR('설정'!$E$7="",H11&gt;='설정'!$E$7),OR('설정'!$F$7="",H11&lt;'설정'!$F$7)),'설정'!$B$7,IF(AND(OR('설정'!$C$8="",G11&gt;='설정'!$C$8),OR('설정'!$D$8="",G11&lt;'설정'!$D$8),OR('설정'!$E$8="",H11&gt;='설정'!$E$8),OR('설정'!$F$8="",H11&lt;'설정'!$F$8)),'설정'!$B$8,'설정'!$B$9)))))</f>
        <v/>
      </c>
      <c r="L11" s="29">
        <f>IF(OR(G11="",H11=""),"",IF(SUMPRODUCT(ISNUMBER('설정'!$C$6:$D$8)*(ABS(G11-'설정'!$C$6:$D$8)&lt;='설정'!$C$15))+SUMPRODUCT(ISNUMBER('설정'!$E$6:$F$8)*(ABS(H11-'설정'!$E$6:$F$8)&lt;='설정'!$C$15))&gt;0,"경계",""))</f>
        <v/>
      </c>
      <c r="M11" s="7" t="n"/>
      <c r="N11" s="7" t="n"/>
      <c r="O11" s="27">
        <f>IF(M11&lt;&gt;"",M11,K11)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6">
        <f>IFERROR(AVERAGE($G$7:$G$86),"")</f>
        <v/>
      </c>
      <c r="W11" s="36">
        <f>IFERROR(AVERAGE($H$7:$H$86),"")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IF(I12="","",COUNTIF($I$7:$I$86,"&gt;"&amp;I12)+1)</f>
        <v/>
      </c>
      <c r="K12" s="27">
        <f>IF(I12="","",IF(OR(G12="",H12=""),'설정'!$B$9,IF(AND(OR('설정'!$C$6="",G12&gt;='설정'!$C$6),OR('설정'!$D$6="",G12&lt;'설정'!$D$6),OR('설정'!$E$6="",H12&gt;='설정'!$E$6),OR('설정'!$F$6="",H12&lt;'설정'!$F$6)),'설정'!$B$6,IF(AND(OR('설정'!$C$7="",G12&gt;='설정'!$C$7),OR('설정'!$D$7="",G12&lt;'설정'!$D$7),OR('설정'!$E$7="",H12&gt;='설정'!$E$7),OR('설정'!$F$7="",H12&lt;'설정'!$F$7)),'설정'!$B$7,IF(AND(OR('설정'!$C$8="",G12&gt;='설정'!$C$8),OR('설정'!$D$8="",G12&lt;'설정'!$D$8),OR('설정'!$E$8="",H12&gt;='설정'!$E$8),OR('설정'!$F$8="",H12&lt;'설정'!$F$8)),'설정'!$B$8,'설정'!$B$9)))))</f>
        <v/>
      </c>
      <c r="L12" s="29">
        <f>IF(OR(G12="",H12=""),"",IF(SUMPRODUCT(ISNUMBER('설정'!$C$6:$D$8)*(ABS(G12-'설정'!$C$6:$D$8)&lt;='설정'!$C$15))+SUMPRODUCT(ISNUMBER('설정'!$E$6:$F$8)*(ABS(H12-'설정'!$E$6:$F$8)&lt;='설정'!$C$15))&gt;0,"경계",""))</f>
        <v/>
      </c>
      <c r="M12" s="7" t="n"/>
      <c r="N12" s="7" t="n"/>
      <c r="O12" s="27">
        <f>IF(M12&lt;&gt;"",M12,K12)</f>
        <v/>
      </c>
      <c r="P12" s="30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IF(I13="","",COUNTIF($I$7:$I$86,"&gt;"&amp;I13)+1)</f>
        <v/>
      </c>
      <c r="K13" s="27">
        <f>IF(I13="","",IF(OR(G13="",H13=""),'설정'!$B$9,IF(AND(OR('설정'!$C$6="",G13&gt;='설정'!$C$6),OR('설정'!$D$6="",G13&lt;'설정'!$D$6),OR('설정'!$E$6="",H13&gt;='설정'!$E$6),OR('설정'!$F$6="",H13&lt;'설정'!$F$6)),'설정'!$B$6,IF(AND(OR('설정'!$C$7="",G13&gt;='설정'!$C$7),OR('설정'!$D$7="",G13&lt;'설정'!$D$7),OR('설정'!$E$7="",H13&gt;='설정'!$E$7),OR('설정'!$F$7="",H13&lt;'설정'!$F$7)),'설정'!$B$7,IF(AND(OR('설정'!$C$8="",G13&gt;='설정'!$C$8),OR('설정'!$D$8="",G13&lt;'설정'!$D$8),OR('설정'!$E$8="",H13&gt;='설정'!$E$8),OR('설정'!$F$8="",H13&lt;'설정'!$F$8)),'설정'!$B$8,'설정'!$B$9)))))</f>
        <v/>
      </c>
      <c r="L13" s="29">
        <f>IF(OR(G13="",H13=""),"",IF(SUMPRODUCT(ISNUMBER('설정'!$C$6:$D$8)*(ABS(G13-'설정'!$C$6:$D$8)&lt;='설정'!$C$15))+SUMPRODUCT(ISNUMBER('설정'!$E$6:$F$8)*(ABS(H13-'설정'!$E$6:$F$8)&lt;='설정'!$C$15))&gt;0,"경계",""))</f>
        <v/>
      </c>
      <c r="M13" s="7" t="n"/>
      <c r="N13" s="7" t="n"/>
      <c r="O13" s="27">
        <f>IF(M13&lt;&gt;"",M13,K13)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과목별 점수 기준(절대평가)
· 경계 = 어느 과목이든 기준 점수와의 차이가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IF(I14="","",COUNTIF($I$7:$I$86,"&gt;"&amp;I14)+1)</f>
        <v/>
      </c>
      <c r="K14" s="27">
        <f>IF(I14="","",IF(OR(G14="",H14=""),'설정'!$B$9,IF(AND(OR('설정'!$C$6="",G14&gt;='설정'!$C$6),OR('설정'!$D$6="",G14&lt;'설정'!$D$6),OR('설정'!$E$6="",H14&gt;='설정'!$E$6),OR('설정'!$F$6="",H14&lt;'설정'!$F$6)),'설정'!$B$6,IF(AND(OR('설정'!$C$7="",G14&gt;='설정'!$C$7),OR('설정'!$D$7="",G14&lt;'설정'!$D$7),OR('설정'!$E$7="",H14&gt;='설정'!$E$7),OR('설정'!$F$7="",H14&lt;'설정'!$F$7)),'설정'!$B$7,IF(AND(OR('설정'!$C$8="",G14&gt;='설정'!$C$8),OR('설정'!$D$8="",G14&lt;'설정'!$D$8),OR('설정'!$E$8="",H14&gt;='설정'!$E$8),OR('설정'!$F$8="",H14&lt;'설정'!$F$8)),'설정'!$B$8,'설정'!$B$9)))))</f>
        <v/>
      </c>
      <c r="L14" s="29">
        <f>IF(OR(G14="",H14=""),"",IF(SUMPRODUCT(ISNUMBER('설정'!$C$6:$D$8)*(ABS(G14-'설정'!$C$6:$D$8)&lt;='설정'!$C$15))+SUMPRODUCT(ISNUMBER('설정'!$E$6:$F$8)*(ABS(H14-'설정'!$E$6:$F$8)&lt;='설정'!$C$15))&gt;0,"경계",""))</f>
        <v/>
      </c>
      <c r="M14" s="7" t="n"/>
      <c r="N14" s="7" t="n"/>
      <c r="O14" s="27">
        <f>IF(M14&lt;&gt;"",M14,K14)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IF(I15="","",COUNTIF($I$7:$I$86,"&gt;"&amp;I15)+1)</f>
        <v/>
      </c>
      <c r="K15" s="27">
        <f>IF(I15="","",IF(OR(G15="",H15=""),'설정'!$B$9,IF(AND(OR('설정'!$C$6="",G15&gt;='설정'!$C$6),OR('설정'!$D$6="",G15&lt;'설정'!$D$6),OR('설정'!$E$6="",H15&gt;='설정'!$E$6),OR('설정'!$F$6="",H15&lt;'설정'!$F$6)),'설정'!$B$6,IF(AND(OR('설정'!$C$7="",G15&gt;='설정'!$C$7),OR('설정'!$D$7="",G15&lt;'설정'!$D$7),OR('설정'!$E$7="",H15&gt;='설정'!$E$7),OR('설정'!$F$7="",H15&lt;'설정'!$F$7)),'설정'!$B$7,IF(AND(OR('설정'!$C$8="",G15&gt;='설정'!$C$8),OR('설정'!$D$8="",G15&lt;'설정'!$D$8),OR('설정'!$E$8="",H15&gt;='설정'!$E$8),OR('설정'!$F$8="",H15&lt;'설정'!$F$8)),'설정'!$B$8,'설정'!$B$9)))))</f>
        <v/>
      </c>
      <c r="L15" s="29">
        <f>IF(OR(G15="",H15=""),"",IF(SUMPRODUCT(ISNUMBER('설정'!$C$6:$D$8)*(ABS(G15-'설정'!$C$6:$D$8)&lt;='설정'!$C$15))+SUMPRODUCT(ISNUMBER('설정'!$E$6:$F$8)*(ABS(H15-'설정'!$E$6:$F$8)&lt;='설정'!$C$15))&gt;0,"경계",""))</f>
        <v/>
      </c>
      <c r="M15" s="7" t="n"/>
      <c r="N15" s="7" t="n"/>
      <c r="O15" s="27">
        <f>IF(M15&lt;&gt;"",M15,K15)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IF(I16="","",COUNTIF($I$7:$I$86,"&gt;"&amp;I16)+1)</f>
        <v/>
      </c>
      <c r="K16" s="27">
        <f>IF(I16="","",IF(OR(G16="",H16=""),'설정'!$B$9,IF(AND(OR('설정'!$C$6="",G16&gt;='설정'!$C$6),OR('설정'!$D$6="",G16&lt;'설정'!$D$6),OR('설정'!$E$6="",H16&gt;='설정'!$E$6),OR('설정'!$F$6="",H16&lt;'설정'!$F$6)),'설정'!$B$6,IF(AND(OR('설정'!$C$7="",G16&gt;='설정'!$C$7),OR('설정'!$D$7="",G16&lt;'설정'!$D$7),OR('설정'!$E$7="",H16&gt;='설정'!$E$7),OR('설정'!$F$7="",H16&lt;'설정'!$F$7)),'설정'!$B$7,IF(AND(OR('설정'!$C$8="",G16&gt;='설정'!$C$8),OR('설정'!$D$8="",G16&lt;'설정'!$D$8),OR('설정'!$E$8="",H16&gt;='설정'!$E$8),OR('설정'!$F$8="",H16&lt;'설정'!$F$8)),'설정'!$B$8,'설정'!$B$9)))))</f>
        <v/>
      </c>
      <c r="L16" s="29">
        <f>IF(OR(G16="",H16=""),"",IF(SUMPRODUCT(ISNUMBER('설정'!$C$6:$D$8)*(ABS(G16-'설정'!$C$6:$D$8)&lt;='설정'!$C$15))+SUMPRODUCT(ISNUMBER('설정'!$E$6:$F$8)*(ABS(H16-'설정'!$E$6:$F$8)&lt;='설정'!$C$15))&gt;0,"경계",""))</f>
        <v/>
      </c>
      <c r="M16" s="7" t="n"/>
      <c r="N16" s="7" t="n"/>
      <c r="O16" s="27">
        <f>IF(M16&lt;&gt;"",M16,K16)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IF(I17="","",COUNTIF($I$7:$I$86,"&gt;"&amp;I17)+1)</f>
        <v/>
      </c>
      <c r="K17" s="27">
        <f>IF(I17="","",IF(OR(G17="",H17=""),'설정'!$B$9,IF(AND(OR('설정'!$C$6="",G17&gt;='설정'!$C$6),OR('설정'!$D$6="",G17&lt;'설정'!$D$6),OR('설정'!$E$6="",H17&gt;='설정'!$E$6),OR('설정'!$F$6="",H17&lt;'설정'!$F$6)),'설정'!$B$6,IF(AND(OR('설정'!$C$7="",G17&gt;='설정'!$C$7),OR('설정'!$D$7="",G17&lt;'설정'!$D$7),OR('설정'!$E$7="",H17&gt;='설정'!$E$7),OR('설정'!$F$7="",H17&lt;'설정'!$F$7)),'설정'!$B$7,IF(AND(OR('설정'!$C$8="",G17&gt;='설정'!$C$8),OR('설정'!$D$8="",G17&lt;'설정'!$D$8),OR('설정'!$E$8="",H17&gt;='설정'!$E$8),OR('설정'!$F$8="",H17&lt;'설정'!$F$8)),'설정'!$B$8,'설정'!$B$9)))))</f>
        <v/>
      </c>
      <c r="L17" s="29">
        <f>IF(OR(G17="",H17=""),"",IF(SUMPRODUCT(ISNUMBER('설정'!$C$6:$D$8)*(ABS(G17-'설정'!$C$6:$D$8)&lt;='설정'!$C$15))+SUMPRODUCT(ISNUMBER('설정'!$E$6:$F$8)*(ABS(H17-'설정'!$E$6:$F$8)&lt;='설정'!$C$15))&gt;0,"경계",""))</f>
        <v/>
      </c>
      <c r="M17" s="7" t="n"/>
      <c r="N17" s="7" t="n"/>
      <c r="O17" s="27">
        <f>IF(M17&lt;&gt;"",M17,K17)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IF(I18="","",COUNTIF($I$7:$I$86,"&gt;"&amp;I18)+1)</f>
        <v/>
      </c>
      <c r="K18" s="27">
        <f>IF(I18="","",IF(OR(G18="",H18=""),'설정'!$B$9,IF(AND(OR('설정'!$C$6="",G18&gt;='설정'!$C$6),OR('설정'!$D$6="",G18&lt;'설정'!$D$6),OR('설정'!$E$6="",H18&gt;='설정'!$E$6),OR('설정'!$F$6="",H18&lt;'설정'!$F$6)),'설정'!$B$6,IF(AND(OR('설정'!$C$7="",G18&gt;='설정'!$C$7),OR('설정'!$D$7="",G18&lt;'설정'!$D$7),OR('설정'!$E$7="",H18&gt;='설정'!$E$7),OR('설정'!$F$7="",H18&lt;'설정'!$F$7)),'설정'!$B$7,IF(AND(OR('설정'!$C$8="",G18&gt;='설정'!$C$8),OR('설정'!$D$8="",G18&lt;'설정'!$D$8),OR('설정'!$E$8="",H18&gt;='설정'!$E$8),OR('설정'!$F$8="",H18&lt;'설정'!$F$8)),'설정'!$B$8,'설정'!$B$9)))))</f>
        <v/>
      </c>
      <c r="L18" s="29">
        <f>IF(OR(G18="",H18=""),"",IF(SUMPRODUCT(ISNUMBER('설정'!$C$6:$D$8)*(ABS(G18-'설정'!$C$6:$D$8)&lt;='설정'!$C$15))+SUMPRODUCT(ISNUMBER('설정'!$E$6:$F$8)*(ABS(H18-'설정'!$E$6:$F$8)&lt;='설정'!$C$15))&gt;0,"경계",""))</f>
        <v/>
      </c>
      <c r="M18" s="7" t="n"/>
      <c r="N18" s="7" t="n"/>
      <c r="O18" s="27">
        <f>IF(M18&lt;&gt;"",M18,K18)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IF(I19="","",COUNTIF($I$7:$I$86,"&gt;"&amp;I19)+1)</f>
        <v/>
      </c>
      <c r="K19" s="27">
        <f>IF(I19="","",IF(OR(G19="",H19=""),'설정'!$B$9,IF(AND(OR('설정'!$C$6="",G19&gt;='설정'!$C$6),OR('설정'!$D$6="",G19&lt;'설정'!$D$6),OR('설정'!$E$6="",H19&gt;='설정'!$E$6),OR('설정'!$F$6="",H19&lt;'설정'!$F$6)),'설정'!$B$6,IF(AND(OR('설정'!$C$7="",G19&gt;='설정'!$C$7),OR('설정'!$D$7="",G19&lt;'설정'!$D$7),OR('설정'!$E$7="",H19&gt;='설정'!$E$7),OR('설정'!$F$7="",H19&lt;'설정'!$F$7)),'설정'!$B$7,IF(AND(OR('설정'!$C$8="",G19&gt;='설정'!$C$8),OR('설정'!$D$8="",G19&lt;'설정'!$D$8),OR('설정'!$E$8="",H19&gt;='설정'!$E$8),OR('설정'!$F$8="",H19&lt;'설정'!$F$8)),'설정'!$B$8,'설정'!$B$9)))))</f>
        <v/>
      </c>
      <c r="L19" s="29">
        <f>IF(OR(G19="",H19=""),"",IF(SUMPRODUCT(ISNUMBER('설정'!$C$6:$D$8)*(ABS(G19-'설정'!$C$6:$D$8)&lt;='설정'!$C$15))+SUMPRODUCT(ISNUMBER('설정'!$E$6:$F$8)*(ABS(H19-'설정'!$E$6:$F$8)&lt;='설정'!$C$15))&gt;0,"경계",""))</f>
        <v/>
      </c>
      <c r="M19" s="7" t="n"/>
      <c r="N19" s="7" t="n"/>
      <c r="O19" s="27">
        <f>IF(M19&lt;&gt;"",M19,K19)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IF(I20="","",COUNTIF($I$7:$I$86,"&gt;"&amp;I20)+1)</f>
        <v/>
      </c>
      <c r="K20" s="27">
        <f>IF(I20="","",IF(OR(G20="",H20=""),'설정'!$B$9,IF(AND(OR('설정'!$C$6="",G20&gt;='설정'!$C$6),OR('설정'!$D$6="",G20&lt;'설정'!$D$6),OR('설정'!$E$6="",H20&gt;='설정'!$E$6),OR('설정'!$F$6="",H20&lt;'설정'!$F$6)),'설정'!$B$6,IF(AND(OR('설정'!$C$7="",G20&gt;='설정'!$C$7),OR('설정'!$D$7="",G20&lt;'설정'!$D$7),OR('설정'!$E$7="",H20&gt;='설정'!$E$7),OR('설정'!$F$7="",H20&lt;'설정'!$F$7)),'설정'!$B$7,IF(AND(OR('설정'!$C$8="",G20&gt;='설정'!$C$8),OR('설정'!$D$8="",G20&lt;'설정'!$D$8),OR('설정'!$E$8="",H20&gt;='설정'!$E$8),OR('설정'!$F$8="",H20&lt;'설정'!$F$8)),'설정'!$B$8,'설정'!$B$9)))))</f>
        <v/>
      </c>
      <c r="L20" s="29">
        <f>IF(OR(G20="",H20=""),"",IF(SUMPRODUCT(ISNUMBER('설정'!$C$6:$D$8)*(ABS(G20-'설정'!$C$6:$D$8)&lt;='설정'!$C$15))+SUMPRODUCT(ISNUMBER('설정'!$E$6:$F$8)*(ABS(H20-'설정'!$E$6:$F$8)&lt;='설정'!$C$15))&gt;0,"경계",""))</f>
        <v/>
      </c>
      <c r="M20" s="7" t="n"/>
      <c r="N20" s="7" t="n"/>
      <c r="O20" s="27">
        <f>IF(M20&lt;&gt;"",M20,K20)</f>
        <v/>
      </c>
      <c r="P20" s="30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IF(I21="","",COUNTIF($I$7:$I$86,"&gt;"&amp;I21)+1)</f>
        <v/>
      </c>
      <c r="K21" s="27">
        <f>IF(I21="","",IF(OR(G21="",H21=""),'설정'!$B$9,IF(AND(OR('설정'!$C$6="",G21&gt;='설정'!$C$6),OR('설정'!$D$6="",G21&lt;'설정'!$D$6),OR('설정'!$E$6="",H21&gt;='설정'!$E$6),OR('설정'!$F$6="",H21&lt;'설정'!$F$6)),'설정'!$B$6,IF(AND(OR('설정'!$C$7="",G21&gt;='설정'!$C$7),OR('설정'!$D$7="",G21&lt;'설정'!$D$7),OR('설정'!$E$7="",H21&gt;='설정'!$E$7),OR('설정'!$F$7="",H21&lt;'설정'!$F$7)),'설정'!$B$7,IF(AND(OR('설정'!$C$8="",G21&gt;='설정'!$C$8),OR('설정'!$D$8="",G21&lt;'설정'!$D$8),OR('설정'!$E$8="",H21&gt;='설정'!$E$8),OR('설정'!$F$8="",H21&lt;'설정'!$F$8)),'설정'!$B$8,'설정'!$B$9)))))</f>
        <v/>
      </c>
      <c r="L21" s="29">
        <f>IF(OR(G21="",H21=""),"",IF(SUMPRODUCT(ISNUMBER('설정'!$C$6:$D$8)*(ABS(G21-'설정'!$C$6:$D$8)&lt;='설정'!$C$15))+SUMPRODUCT(ISNUMBER('설정'!$E$6:$F$8)*(ABS(H21-'설정'!$E$6:$F$8)&lt;='설정'!$C$15))&gt;0,"경계",""))</f>
        <v/>
      </c>
      <c r="M21" s="7" t="n"/>
      <c r="N21" s="7" t="n"/>
      <c r="O21" s="27">
        <f>IF(M21&lt;&gt;"",M21,K21)</f>
        <v/>
      </c>
      <c r="P21" s="30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IF(I22="","",COUNTIF($I$7:$I$86,"&gt;"&amp;I22)+1)</f>
        <v/>
      </c>
      <c r="K22" s="27">
        <f>IF(I22="","",IF(OR(G22="",H22=""),'설정'!$B$9,IF(AND(OR('설정'!$C$6="",G22&gt;='설정'!$C$6),OR('설정'!$D$6="",G22&lt;'설정'!$D$6),OR('설정'!$E$6="",H22&gt;='설정'!$E$6),OR('설정'!$F$6="",H22&lt;'설정'!$F$6)),'설정'!$B$6,IF(AND(OR('설정'!$C$7="",G22&gt;='설정'!$C$7),OR('설정'!$D$7="",G22&lt;'설정'!$D$7),OR('설정'!$E$7="",H22&gt;='설정'!$E$7),OR('설정'!$F$7="",H22&lt;'설정'!$F$7)),'설정'!$B$7,IF(AND(OR('설정'!$C$8="",G22&gt;='설정'!$C$8),OR('설정'!$D$8="",G22&lt;'설정'!$D$8),OR('설정'!$E$8="",H22&gt;='설정'!$E$8),OR('설정'!$F$8="",H22&lt;'설정'!$F$8)),'설정'!$B$8,'설정'!$B$9)))))</f>
        <v/>
      </c>
      <c r="L22" s="29">
        <f>IF(OR(G22="",H22=""),"",IF(SUMPRODUCT(ISNUMBER('설정'!$C$6:$D$8)*(ABS(G22-'설정'!$C$6:$D$8)&lt;='설정'!$C$15))+SUMPRODUCT(ISNUMBER('설정'!$E$6:$F$8)*(ABS(H22-'설정'!$E$6:$F$8)&lt;='설정'!$C$15))&gt;0,"경계",""))</f>
        <v/>
      </c>
      <c r="M22" s="7" t="n"/>
      <c r="N22" s="7" t="n"/>
      <c r="O22" s="27">
        <f>IF(M22&lt;&gt;"",M22,K22)</f>
        <v/>
      </c>
      <c r="P22" s="30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IF(I23="","",COUNTIF($I$7:$I$86,"&gt;"&amp;I23)+1)</f>
        <v/>
      </c>
      <c r="K23" s="27">
        <f>IF(I23="","",IF(OR(G23="",H23=""),'설정'!$B$9,IF(AND(OR('설정'!$C$6="",G23&gt;='설정'!$C$6),OR('설정'!$D$6="",G23&lt;'설정'!$D$6),OR('설정'!$E$6="",H23&gt;='설정'!$E$6),OR('설정'!$F$6="",H23&lt;'설정'!$F$6)),'설정'!$B$6,IF(AND(OR('설정'!$C$7="",G23&gt;='설정'!$C$7),OR('설정'!$D$7="",G23&lt;'설정'!$D$7),OR('설정'!$E$7="",H23&gt;='설정'!$E$7),OR('설정'!$F$7="",H23&lt;'설정'!$F$7)),'설정'!$B$7,IF(AND(OR('설정'!$C$8="",G23&gt;='설정'!$C$8),OR('설정'!$D$8="",G23&lt;'설정'!$D$8),OR('설정'!$E$8="",H23&gt;='설정'!$E$8),OR('설정'!$F$8="",H23&lt;'설정'!$F$8)),'설정'!$B$8,'설정'!$B$9)))))</f>
        <v/>
      </c>
      <c r="L23" s="29">
        <f>IF(OR(G23="",H23=""),"",IF(SUMPRODUCT(ISNUMBER('설정'!$C$6:$D$8)*(ABS(G23-'설정'!$C$6:$D$8)&lt;='설정'!$C$15))+SUMPRODUCT(ISNUMBER('설정'!$E$6:$F$8)*(ABS(H23-'설정'!$E$6:$F$8)&lt;='설정'!$C$15))&gt;0,"경계",""))</f>
        <v/>
      </c>
      <c r="M23" s="7" t="n"/>
      <c r="N23" s="7" t="n"/>
      <c r="O23" s="27">
        <f>IF(M23&lt;&gt;"",M23,K23)</f>
        <v/>
      </c>
      <c r="P23" s="30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IF(I24="","",COUNTIF($I$7:$I$86,"&gt;"&amp;I24)+1)</f>
        <v/>
      </c>
      <c r="K24" s="27">
        <f>IF(I24="","",IF(OR(G24="",H24=""),'설정'!$B$9,IF(AND(OR('설정'!$C$6="",G24&gt;='설정'!$C$6),OR('설정'!$D$6="",G24&lt;'설정'!$D$6),OR('설정'!$E$6="",H24&gt;='설정'!$E$6),OR('설정'!$F$6="",H24&lt;'설정'!$F$6)),'설정'!$B$6,IF(AND(OR('설정'!$C$7="",G24&gt;='설정'!$C$7),OR('설정'!$D$7="",G24&lt;'설정'!$D$7),OR('설정'!$E$7="",H24&gt;='설정'!$E$7),OR('설정'!$F$7="",H24&lt;'설정'!$F$7)),'설정'!$B$7,IF(AND(OR('설정'!$C$8="",G24&gt;='설정'!$C$8),OR('설정'!$D$8="",G24&lt;'설정'!$D$8),OR('설정'!$E$8="",H24&gt;='설정'!$E$8),OR('설정'!$F$8="",H24&lt;'설정'!$F$8)),'설정'!$B$8,'설정'!$B$9)))))</f>
        <v/>
      </c>
      <c r="L24" s="29">
        <f>IF(OR(G24="",H24=""),"",IF(SUMPRODUCT(ISNUMBER('설정'!$C$6:$D$8)*(ABS(G24-'설정'!$C$6:$D$8)&lt;='설정'!$C$15))+SUMPRODUCT(ISNUMBER('설정'!$E$6:$F$8)*(ABS(H24-'설정'!$E$6:$F$8)&lt;='설정'!$C$15))&gt;0,"경계",""))</f>
        <v/>
      </c>
      <c r="M24" s="7" t="n"/>
      <c r="N24" s="7" t="n"/>
      <c r="O24" s="27">
        <f>IF(M24&lt;&gt;"",M24,K24)</f>
        <v/>
      </c>
      <c r="P24" s="30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IF(I25="","",COUNTIF($I$7:$I$86,"&gt;"&amp;I25)+1)</f>
        <v/>
      </c>
      <c r="K25" s="27">
        <f>IF(I25="","",IF(OR(G25="",H25=""),'설정'!$B$9,IF(AND(OR('설정'!$C$6="",G25&gt;='설정'!$C$6),OR('설정'!$D$6="",G25&lt;'설정'!$D$6),OR('설정'!$E$6="",H25&gt;='설정'!$E$6),OR('설정'!$F$6="",H25&lt;'설정'!$F$6)),'설정'!$B$6,IF(AND(OR('설정'!$C$7="",G25&gt;='설정'!$C$7),OR('설정'!$D$7="",G25&lt;'설정'!$D$7),OR('설정'!$E$7="",H25&gt;='설정'!$E$7),OR('설정'!$F$7="",H25&lt;'설정'!$F$7)),'설정'!$B$7,IF(AND(OR('설정'!$C$8="",G25&gt;='설정'!$C$8),OR('설정'!$D$8="",G25&lt;'설정'!$D$8),OR('설정'!$E$8="",H25&gt;='설정'!$E$8),OR('설정'!$F$8="",H25&lt;'설정'!$F$8)),'설정'!$B$8,'설정'!$B$9)))))</f>
        <v/>
      </c>
      <c r="L25" s="29">
        <f>IF(OR(G25="",H25=""),"",IF(SUMPRODUCT(ISNUMBER('설정'!$C$6:$D$8)*(ABS(G25-'설정'!$C$6:$D$8)&lt;='설정'!$C$15))+SUMPRODUCT(ISNUMBER('설정'!$E$6:$F$8)*(ABS(H25-'설정'!$E$6:$F$8)&lt;='설정'!$C$15))&gt;0,"경계",""))</f>
        <v/>
      </c>
      <c r="M25" s="7" t="n"/>
      <c r="N25" s="7" t="n"/>
      <c r="O25" s="27">
        <f>IF(M25&lt;&gt;"",M25,K25)</f>
        <v/>
      </c>
      <c r="P25" s="30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IF(I26="","",COUNTIF($I$7:$I$86,"&gt;"&amp;I26)+1)</f>
        <v/>
      </c>
      <c r="K26" s="27">
        <f>IF(I26="","",IF(OR(G26="",H26=""),'설정'!$B$9,IF(AND(OR('설정'!$C$6="",G26&gt;='설정'!$C$6),OR('설정'!$D$6="",G26&lt;'설정'!$D$6),OR('설정'!$E$6="",H26&gt;='설정'!$E$6),OR('설정'!$F$6="",H26&lt;'설정'!$F$6)),'설정'!$B$6,IF(AND(OR('설정'!$C$7="",G26&gt;='설정'!$C$7),OR('설정'!$D$7="",G26&lt;'설정'!$D$7),OR('설정'!$E$7="",H26&gt;='설정'!$E$7),OR('설정'!$F$7="",H26&lt;'설정'!$F$7)),'설정'!$B$7,IF(AND(OR('설정'!$C$8="",G26&gt;='설정'!$C$8),OR('설정'!$D$8="",G26&lt;'설정'!$D$8),OR('설정'!$E$8="",H26&gt;='설정'!$E$8),OR('설정'!$F$8="",H26&lt;'설정'!$F$8)),'설정'!$B$8,'설정'!$B$9)))))</f>
        <v/>
      </c>
      <c r="L26" s="29">
        <f>IF(OR(G26="",H26=""),"",IF(SUMPRODUCT(ISNUMBER('설정'!$C$6:$D$8)*(ABS(G26-'설정'!$C$6:$D$8)&lt;='설정'!$C$15))+SUMPRODUCT(ISNUMBER('설정'!$E$6:$F$8)*(ABS(H26-'설정'!$E$6:$F$8)&lt;='설정'!$C$15))&gt;0,"경계",""))</f>
        <v/>
      </c>
      <c r="M26" s="7" t="n"/>
      <c r="N26" s="7" t="n"/>
      <c r="O26" s="27">
        <f>IF(M26&lt;&gt;"",M26,K26)</f>
        <v/>
      </c>
      <c r="P26" s="30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IF(I27="","",COUNTIF($I$7:$I$86,"&gt;"&amp;I27)+1)</f>
        <v/>
      </c>
      <c r="K27" s="27">
        <f>IF(I27="","",IF(OR(G27="",H27=""),'설정'!$B$9,IF(AND(OR('설정'!$C$6="",G27&gt;='설정'!$C$6),OR('설정'!$D$6="",G27&lt;'설정'!$D$6),OR('설정'!$E$6="",H27&gt;='설정'!$E$6),OR('설정'!$F$6="",H27&lt;'설정'!$F$6)),'설정'!$B$6,IF(AND(OR('설정'!$C$7="",G27&gt;='설정'!$C$7),OR('설정'!$D$7="",G27&lt;'설정'!$D$7),OR('설정'!$E$7="",H27&gt;='설정'!$E$7),OR('설정'!$F$7="",H27&lt;'설정'!$F$7)),'설정'!$B$7,IF(AND(OR('설정'!$C$8="",G27&gt;='설정'!$C$8),OR('설정'!$D$8="",G27&lt;'설정'!$D$8),OR('설정'!$E$8="",H27&gt;='설정'!$E$8),OR('설정'!$F$8="",H27&lt;'설정'!$F$8)),'설정'!$B$8,'설정'!$B$9)))))</f>
        <v/>
      </c>
      <c r="L27" s="29">
        <f>IF(OR(G27="",H27=""),"",IF(SUMPRODUCT(ISNUMBER('설정'!$C$6:$D$8)*(ABS(G27-'설정'!$C$6:$D$8)&lt;='설정'!$C$15))+SUMPRODUCT(ISNUMBER('설정'!$E$6:$F$8)*(ABS(H27-'설정'!$E$6:$F$8)&lt;='설정'!$C$15))&gt;0,"경계",""))</f>
        <v/>
      </c>
      <c r="M27" s="7" t="n"/>
      <c r="N27" s="7" t="n"/>
      <c r="O27" s="27">
        <f>IF(M27&lt;&gt;"",M27,K27)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IF(I28="","",COUNTIF($I$7:$I$86,"&gt;"&amp;I28)+1)</f>
        <v/>
      </c>
      <c r="K28" s="27">
        <f>IF(I28="","",IF(OR(G28="",H28=""),'설정'!$B$9,IF(AND(OR('설정'!$C$6="",G28&gt;='설정'!$C$6),OR('설정'!$D$6="",G28&lt;'설정'!$D$6),OR('설정'!$E$6="",H28&gt;='설정'!$E$6),OR('설정'!$F$6="",H28&lt;'설정'!$F$6)),'설정'!$B$6,IF(AND(OR('설정'!$C$7="",G28&gt;='설정'!$C$7),OR('설정'!$D$7="",G28&lt;'설정'!$D$7),OR('설정'!$E$7="",H28&gt;='설정'!$E$7),OR('설정'!$F$7="",H28&lt;'설정'!$F$7)),'설정'!$B$7,IF(AND(OR('설정'!$C$8="",G28&gt;='설정'!$C$8),OR('설정'!$D$8="",G28&lt;'설정'!$D$8),OR('설정'!$E$8="",H28&gt;='설정'!$E$8),OR('설정'!$F$8="",H28&lt;'설정'!$F$8)),'설정'!$B$8,'설정'!$B$9)))))</f>
        <v/>
      </c>
      <c r="L28" s="29">
        <f>IF(OR(G28="",H28=""),"",IF(SUMPRODUCT(ISNUMBER('설정'!$C$6:$D$8)*(ABS(G28-'설정'!$C$6:$D$8)&lt;='설정'!$C$15))+SUMPRODUCT(ISNUMBER('설정'!$E$6:$F$8)*(ABS(H28-'설정'!$E$6:$F$8)&lt;='설정'!$C$15))&gt;0,"경계",""))</f>
        <v/>
      </c>
      <c r="M28" s="7" t="n"/>
      <c r="N28" s="7" t="n"/>
      <c r="O28" s="27">
        <f>IF(M28&lt;&gt;"",M28,K28)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IF(I29="","",COUNTIF($I$7:$I$86,"&gt;"&amp;I29)+1)</f>
        <v/>
      </c>
      <c r="K29" s="27">
        <f>IF(I29="","",IF(OR(G29="",H29=""),'설정'!$B$9,IF(AND(OR('설정'!$C$6="",G29&gt;='설정'!$C$6),OR('설정'!$D$6="",G29&lt;'설정'!$D$6),OR('설정'!$E$6="",H29&gt;='설정'!$E$6),OR('설정'!$F$6="",H29&lt;'설정'!$F$6)),'설정'!$B$6,IF(AND(OR('설정'!$C$7="",G29&gt;='설정'!$C$7),OR('설정'!$D$7="",G29&lt;'설정'!$D$7),OR('설정'!$E$7="",H29&gt;='설정'!$E$7),OR('설정'!$F$7="",H29&lt;'설정'!$F$7)),'설정'!$B$7,IF(AND(OR('설정'!$C$8="",G29&gt;='설정'!$C$8),OR('설정'!$D$8="",G29&lt;'설정'!$D$8),OR('설정'!$E$8="",H29&gt;='설정'!$E$8),OR('설정'!$F$8="",H29&lt;'설정'!$F$8)),'설정'!$B$8,'설정'!$B$9)))))</f>
        <v/>
      </c>
      <c r="L29" s="29">
        <f>IF(OR(G29="",H29=""),"",IF(SUMPRODUCT(ISNUMBER('설정'!$C$6:$D$8)*(ABS(G29-'설정'!$C$6:$D$8)&lt;='설정'!$C$15))+SUMPRODUCT(ISNUMBER('설정'!$E$6:$F$8)*(ABS(H29-'설정'!$E$6:$F$8)&lt;='설정'!$C$15))&gt;0,"경계",""))</f>
        <v/>
      </c>
      <c r="M29" s="7" t="n"/>
      <c r="N29" s="7" t="n"/>
      <c r="O29" s="27">
        <f>IF(M29&lt;&gt;"",M29,K29)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IF(I30="","",COUNTIF($I$7:$I$86,"&gt;"&amp;I30)+1)</f>
        <v/>
      </c>
      <c r="K30" s="27">
        <f>IF(I30="","",IF(OR(G30="",H30=""),'설정'!$B$9,IF(AND(OR('설정'!$C$6="",G30&gt;='설정'!$C$6),OR('설정'!$D$6="",G30&lt;'설정'!$D$6),OR('설정'!$E$6="",H30&gt;='설정'!$E$6),OR('설정'!$F$6="",H30&lt;'설정'!$F$6)),'설정'!$B$6,IF(AND(OR('설정'!$C$7="",G30&gt;='설정'!$C$7),OR('설정'!$D$7="",G30&lt;'설정'!$D$7),OR('설정'!$E$7="",H30&gt;='설정'!$E$7),OR('설정'!$F$7="",H30&lt;'설정'!$F$7)),'설정'!$B$7,IF(AND(OR('설정'!$C$8="",G30&gt;='설정'!$C$8),OR('설정'!$D$8="",G30&lt;'설정'!$D$8),OR('설정'!$E$8="",H30&gt;='설정'!$E$8),OR('설정'!$F$8="",H30&lt;'설정'!$F$8)),'설정'!$B$8,'설정'!$B$9)))))</f>
        <v/>
      </c>
      <c r="L30" s="29">
        <f>IF(OR(G30="",H30=""),"",IF(SUMPRODUCT(ISNUMBER('설정'!$C$6:$D$8)*(ABS(G30-'설정'!$C$6:$D$8)&lt;='설정'!$C$15))+SUMPRODUCT(ISNUMBER('설정'!$E$6:$F$8)*(ABS(H30-'설정'!$E$6:$F$8)&lt;='설정'!$C$15))&gt;0,"경계",""))</f>
        <v/>
      </c>
      <c r="M30" s="7" t="n"/>
      <c r="N30" s="7" t="n"/>
      <c r="O30" s="27">
        <f>IF(M30&lt;&gt;"",M30,K30)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IF(I31="","",COUNTIF($I$7:$I$86,"&gt;"&amp;I31)+1)</f>
        <v/>
      </c>
      <c r="K31" s="27">
        <f>IF(I31="","",IF(OR(G31="",H31=""),'설정'!$B$9,IF(AND(OR('설정'!$C$6="",G31&gt;='설정'!$C$6),OR('설정'!$D$6="",G31&lt;'설정'!$D$6),OR('설정'!$E$6="",H31&gt;='설정'!$E$6),OR('설정'!$F$6="",H31&lt;'설정'!$F$6)),'설정'!$B$6,IF(AND(OR('설정'!$C$7="",G31&gt;='설정'!$C$7),OR('설정'!$D$7="",G31&lt;'설정'!$D$7),OR('설정'!$E$7="",H31&gt;='설정'!$E$7),OR('설정'!$F$7="",H31&lt;'설정'!$F$7)),'설정'!$B$7,IF(AND(OR('설정'!$C$8="",G31&gt;='설정'!$C$8),OR('설정'!$D$8="",G31&lt;'설정'!$D$8),OR('설정'!$E$8="",H31&gt;='설정'!$E$8),OR('설정'!$F$8="",H31&lt;'설정'!$F$8)),'설정'!$B$8,'설정'!$B$9)))))</f>
        <v/>
      </c>
      <c r="L31" s="29">
        <f>IF(OR(G31="",H31=""),"",IF(SUMPRODUCT(ISNUMBER('설정'!$C$6:$D$8)*(ABS(G31-'설정'!$C$6:$D$8)&lt;='설정'!$C$15))+SUMPRODUCT(ISNUMBER('설정'!$E$6:$F$8)*(ABS(H31-'설정'!$E$6:$F$8)&lt;='설정'!$C$15))&gt;0,"경계",""))</f>
        <v/>
      </c>
      <c r="M31" s="7" t="n"/>
      <c r="N31" s="7" t="n"/>
      <c r="O31" s="27">
        <f>IF(M31&lt;&gt;"",M31,K31)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IF(I32="","",COUNTIF($I$7:$I$86,"&gt;"&amp;I32)+1)</f>
        <v/>
      </c>
      <c r="K32" s="27">
        <f>IF(I32="","",IF(OR(G32="",H32=""),'설정'!$B$9,IF(AND(OR('설정'!$C$6="",G32&gt;='설정'!$C$6),OR('설정'!$D$6="",G32&lt;'설정'!$D$6),OR('설정'!$E$6="",H32&gt;='설정'!$E$6),OR('설정'!$F$6="",H32&lt;'설정'!$F$6)),'설정'!$B$6,IF(AND(OR('설정'!$C$7="",G32&gt;='설정'!$C$7),OR('설정'!$D$7="",G32&lt;'설정'!$D$7),OR('설정'!$E$7="",H32&gt;='설정'!$E$7),OR('설정'!$F$7="",H32&lt;'설정'!$F$7)),'설정'!$B$7,IF(AND(OR('설정'!$C$8="",G32&gt;='설정'!$C$8),OR('설정'!$D$8="",G32&lt;'설정'!$D$8),OR('설정'!$E$8="",H32&gt;='설정'!$E$8),OR('설정'!$F$8="",H32&lt;'설정'!$F$8)),'설정'!$B$8,'설정'!$B$9)))))</f>
        <v/>
      </c>
      <c r="L32" s="29">
        <f>IF(OR(G32="",H32=""),"",IF(SUMPRODUCT(ISNUMBER('설정'!$C$6:$D$8)*(ABS(G32-'설정'!$C$6:$D$8)&lt;='설정'!$C$15))+SUMPRODUCT(ISNUMBER('설정'!$E$6:$F$8)*(ABS(H32-'설정'!$E$6:$F$8)&lt;='설정'!$C$15))&gt;0,"경계",""))</f>
        <v/>
      </c>
      <c r="M32" s="7" t="n"/>
      <c r="N32" s="7" t="n"/>
      <c r="O32" s="27">
        <f>IF(M32&lt;&gt;"",M32,K32)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IF(I33="","",COUNTIF($I$7:$I$86,"&gt;"&amp;I33)+1)</f>
        <v/>
      </c>
      <c r="K33" s="27">
        <f>IF(I33="","",IF(OR(G33="",H33=""),'설정'!$B$9,IF(AND(OR('설정'!$C$6="",G33&gt;='설정'!$C$6),OR('설정'!$D$6="",G33&lt;'설정'!$D$6),OR('설정'!$E$6="",H33&gt;='설정'!$E$6),OR('설정'!$F$6="",H33&lt;'설정'!$F$6)),'설정'!$B$6,IF(AND(OR('설정'!$C$7="",G33&gt;='설정'!$C$7),OR('설정'!$D$7="",G33&lt;'설정'!$D$7),OR('설정'!$E$7="",H33&gt;='설정'!$E$7),OR('설정'!$F$7="",H33&lt;'설정'!$F$7)),'설정'!$B$7,IF(AND(OR('설정'!$C$8="",G33&gt;='설정'!$C$8),OR('설정'!$D$8="",G33&lt;'설정'!$D$8),OR('설정'!$E$8="",H33&gt;='설정'!$E$8),OR('설정'!$F$8="",H33&lt;'설정'!$F$8)),'설정'!$B$8,'설정'!$B$9)))))</f>
        <v/>
      </c>
      <c r="L33" s="29">
        <f>IF(OR(G33="",H33=""),"",IF(SUMPRODUCT(ISNUMBER('설정'!$C$6:$D$8)*(ABS(G33-'설정'!$C$6:$D$8)&lt;='설정'!$C$15))+SUMPRODUCT(ISNUMBER('설정'!$E$6:$F$8)*(ABS(H33-'설정'!$E$6:$F$8)&lt;='설정'!$C$15))&gt;0,"경계",""))</f>
        <v/>
      </c>
      <c r="M33" s="7" t="n"/>
      <c r="N33" s="7" t="n"/>
      <c r="O33" s="27">
        <f>IF(M33&lt;&gt;"",M33,K33)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IF(I34="","",COUNTIF($I$7:$I$86,"&gt;"&amp;I34)+1)</f>
        <v/>
      </c>
      <c r="K34" s="27">
        <f>IF(I34="","",IF(OR(G34="",H34=""),'설정'!$B$9,IF(AND(OR('설정'!$C$6="",G34&gt;='설정'!$C$6),OR('설정'!$D$6="",G34&lt;'설정'!$D$6),OR('설정'!$E$6="",H34&gt;='설정'!$E$6),OR('설정'!$F$6="",H34&lt;'설정'!$F$6)),'설정'!$B$6,IF(AND(OR('설정'!$C$7="",G34&gt;='설정'!$C$7),OR('설정'!$D$7="",G34&lt;'설정'!$D$7),OR('설정'!$E$7="",H34&gt;='설정'!$E$7),OR('설정'!$F$7="",H34&lt;'설정'!$F$7)),'설정'!$B$7,IF(AND(OR('설정'!$C$8="",G34&gt;='설정'!$C$8),OR('설정'!$D$8="",G34&lt;'설정'!$D$8),OR('설정'!$E$8="",H34&gt;='설정'!$E$8),OR('설정'!$F$8="",H34&lt;'설정'!$F$8)),'설정'!$B$8,'설정'!$B$9)))))</f>
        <v/>
      </c>
      <c r="L34" s="29">
        <f>IF(OR(G34="",H34=""),"",IF(SUMPRODUCT(ISNUMBER('설정'!$C$6:$D$8)*(ABS(G34-'설정'!$C$6:$D$8)&lt;='설정'!$C$15))+SUMPRODUCT(ISNUMBER('설정'!$E$6:$F$8)*(ABS(H34-'설정'!$E$6:$F$8)&lt;='설정'!$C$15))&gt;0,"경계",""))</f>
        <v/>
      </c>
      <c r="M34" s="7" t="n"/>
      <c r="N34" s="7" t="n"/>
      <c r="O34" s="27">
        <f>IF(M34&lt;&gt;"",M34,K34)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IF(I35="","",COUNTIF($I$7:$I$86,"&gt;"&amp;I35)+1)</f>
        <v/>
      </c>
      <c r="K35" s="27">
        <f>IF(I35="","",IF(OR(G35="",H35=""),'설정'!$B$9,IF(AND(OR('설정'!$C$6="",G35&gt;='설정'!$C$6),OR('설정'!$D$6="",G35&lt;'설정'!$D$6),OR('설정'!$E$6="",H35&gt;='설정'!$E$6),OR('설정'!$F$6="",H35&lt;'설정'!$F$6)),'설정'!$B$6,IF(AND(OR('설정'!$C$7="",G35&gt;='설정'!$C$7),OR('설정'!$D$7="",G35&lt;'설정'!$D$7),OR('설정'!$E$7="",H35&gt;='설정'!$E$7),OR('설정'!$F$7="",H35&lt;'설정'!$F$7)),'설정'!$B$7,IF(AND(OR('설정'!$C$8="",G35&gt;='설정'!$C$8),OR('설정'!$D$8="",G35&lt;'설정'!$D$8),OR('설정'!$E$8="",H35&gt;='설정'!$E$8),OR('설정'!$F$8="",H35&lt;'설정'!$F$8)),'설정'!$B$8,'설정'!$B$9)))))</f>
        <v/>
      </c>
      <c r="L35" s="29">
        <f>IF(OR(G35="",H35=""),"",IF(SUMPRODUCT(ISNUMBER('설정'!$C$6:$D$8)*(ABS(G35-'설정'!$C$6:$D$8)&lt;='설정'!$C$15))+SUMPRODUCT(ISNUMBER('설정'!$E$6:$F$8)*(ABS(H35-'설정'!$E$6:$F$8)&lt;='설정'!$C$15))&gt;0,"경계",""))</f>
        <v/>
      </c>
      <c r="M35" s="7" t="n"/>
      <c r="N35" s="7" t="n"/>
      <c r="O35" s="27">
        <f>IF(M35&lt;&gt;"",M35,K35)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IF(I36="","",COUNTIF($I$7:$I$86,"&gt;"&amp;I36)+1)</f>
        <v/>
      </c>
      <c r="K36" s="27">
        <f>IF(I36="","",IF(OR(G36="",H36=""),'설정'!$B$9,IF(AND(OR('설정'!$C$6="",G36&gt;='설정'!$C$6),OR('설정'!$D$6="",G36&lt;'설정'!$D$6),OR('설정'!$E$6="",H36&gt;='설정'!$E$6),OR('설정'!$F$6="",H36&lt;'설정'!$F$6)),'설정'!$B$6,IF(AND(OR('설정'!$C$7="",G36&gt;='설정'!$C$7),OR('설정'!$D$7="",G36&lt;'설정'!$D$7),OR('설정'!$E$7="",H36&gt;='설정'!$E$7),OR('설정'!$F$7="",H36&lt;'설정'!$F$7)),'설정'!$B$7,IF(AND(OR('설정'!$C$8="",G36&gt;='설정'!$C$8),OR('설정'!$D$8="",G36&lt;'설정'!$D$8),OR('설정'!$E$8="",H36&gt;='설정'!$E$8),OR('설정'!$F$8="",H36&lt;'설정'!$F$8)),'설정'!$B$8,'설정'!$B$9)))))</f>
        <v/>
      </c>
      <c r="L36" s="29">
        <f>IF(OR(G36="",H36=""),"",IF(SUMPRODUCT(ISNUMBER('설정'!$C$6:$D$8)*(ABS(G36-'설정'!$C$6:$D$8)&lt;='설정'!$C$15))+SUMPRODUCT(ISNUMBER('설정'!$E$6:$F$8)*(ABS(H36-'설정'!$E$6:$F$8)&lt;='설정'!$C$15))&gt;0,"경계",""))</f>
        <v/>
      </c>
      <c r="M36" s="7" t="n"/>
      <c r="N36" s="7" t="n"/>
      <c r="O36" s="27">
        <f>IF(M36&lt;&gt;"",M36,K36)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IF(I37="","",COUNTIF($I$7:$I$86,"&gt;"&amp;I37)+1)</f>
        <v/>
      </c>
      <c r="K37" s="27">
        <f>IF(I37="","",IF(OR(G37="",H37=""),'설정'!$B$9,IF(AND(OR('설정'!$C$6="",G37&gt;='설정'!$C$6),OR('설정'!$D$6="",G37&lt;'설정'!$D$6),OR('설정'!$E$6="",H37&gt;='설정'!$E$6),OR('설정'!$F$6="",H37&lt;'설정'!$F$6)),'설정'!$B$6,IF(AND(OR('설정'!$C$7="",G37&gt;='설정'!$C$7),OR('설정'!$D$7="",G37&lt;'설정'!$D$7),OR('설정'!$E$7="",H37&gt;='설정'!$E$7),OR('설정'!$F$7="",H37&lt;'설정'!$F$7)),'설정'!$B$7,IF(AND(OR('설정'!$C$8="",G37&gt;='설정'!$C$8),OR('설정'!$D$8="",G37&lt;'설정'!$D$8),OR('설정'!$E$8="",H37&gt;='설정'!$E$8),OR('설정'!$F$8="",H37&lt;'설정'!$F$8)),'설정'!$B$8,'설정'!$B$9)))))</f>
        <v/>
      </c>
      <c r="L37" s="29">
        <f>IF(OR(G37="",H37=""),"",IF(SUMPRODUCT(ISNUMBER('설정'!$C$6:$D$8)*(ABS(G37-'설정'!$C$6:$D$8)&lt;='설정'!$C$15))+SUMPRODUCT(ISNUMBER('설정'!$E$6:$F$8)*(ABS(H37-'설정'!$E$6:$F$8)&lt;='설정'!$C$15))&gt;0,"경계",""))</f>
        <v/>
      </c>
      <c r="M37" s="7" t="n"/>
      <c r="N37" s="7" t="n"/>
      <c r="O37" s="27">
        <f>IF(M37&lt;&gt;"",M37,K37)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IF(I38="","",COUNTIF($I$7:$I$86,"&gt;"&amp;I38)+1)</f>
        <v/>
      </c>
      <c r="K38" s="27">
        <f>IF(I38="","",IF(OR(G38="",H38=""),'설정'!$B$9,IF(AND(OR('설정'!$C$6="",G38&gt;='설정'!$C$6),OR('설정'!$D$6="",G38&lt;'설정'!$D$6),OR('설정'!$E$6="",H38&gt;='설정'!$E$6),OR('설정'!$F$6="",H38&lt;'설정'!$F$6)),'설정'!$B$6,IF(AND(OR('설정'!$C$7="",G38&gt;='설정'!$C$7),OR('설정'!$D$7="",G38&lt;'설정'!$D$7),OR('설정'!$E$7="",H38&gt;='설정'!$E$7),OR('설정'!$F$7="",H38&lt;'설정'!$F$7)),'설정'!$B$7,IF(AND(OR('설정'!$C$8="",G38&gt;='설정'!$C$8),OR('설정'!$D$8="",G38&lt;'설정'!$D$8),OR('설정'!$E$8="",H38&gt;='설정'!$E$8),OR('설정'!$F$8="",H38&lt;'설정'!$F$8)),'설정'!$B$8,'설정'!$B$9)))))</f>
        <v/>
      </c>
      <c r="L38" s="29">
        <f>IF(OR(G38="",H38=""),"",IF(SUMPRODUCT(ISNUMBER('설정'!$C$6:$D$8)*(ABS(G38-'설정'!$C$6:$D$8)&lt;='설정'!$C$15))+SUMPRODUCT(ISNUMBER('설정'!$E$6:$F$8)*(ABS(H38-'설정'!$E$6:$F$8)&lt;='설정'!$C$15))&gt;0,"경계",""))</f>
        <v/>
      </c>
      <c r="M38" s="7" t="n"/>
      <c r="N38" s="7" t="n"/>
      <c r="O38" s="27">
        <f>IF(M38&lt;&gt;"",M38,K38)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IF(I39="","",COUNTIF($I$7:$I$86,"&gt;"&amp;I39)+1)</f>
        <v/>
      </c>
      <c r="K39" s="27">
        <f>IF(I39="","",IF(OR(G39="",H39=""),'설정'!$B$9,IF(AND(OR('설정'!$C$6="",G39&gt;='설정'!$C$6),OR('설정'!$D$6="",G39&lt;'설정'!$D$6),OR('설정'!$E$6="",H39&gt;='설정'!$E$6),OR('설정'!$F$6="",H39&lt;'설정'!$F$6)),'설정'!$B$6,IF(AND(OR('설정'!$C$7="",G39&gt;='설정'!$C$7),OR('설정'!$D$7="",G39&lt;'설정'!$D$7),OR('설정'!$E$7="",H39&gt;='설정'!$E$7),OR('설정'!$F$7="",H39&lt;'설정'!$F$7)),'설정'!$B$7,IF(AND(OR('설정'!$C$8="",G39&gt;='설정'!$C$8),OR('설정'!$D$8="",G39&lt;'설정'!$D$8),OR('설정'!$E$8="",H39&gt;='설정'!$E$8),OR('설정'!$F$8="",H39&lt;'설정'!$F$8)),'설정'!$B$8,'설정'!$B$9)))))</f>
        <v/>
      </c>
      <c r="L39" s="29">
        <f>IF(OR(G39="",H39=""),"",IF(SUMPRODUCT(ISNUMBER('설정'!$C$6:$D$8)*(ABS(G39-'설정'!$C$6:$D$8)&lt;='설정'!$C$15))+SUMPRODUCT(ISNUMBER('설정'!$E$6:$F$8)*(ABS(H39-'설정'!$E$6:$F$8)&lt;='설정'!$C$15))&gt;0,"경계",""))</f>
        <v/>
      </c>
      <c r="M39" s="7" t="n"/>
      <c r="N39" s="7" t="n"/>
      <c r="O39" s="27">
        <f>IF(M39&lt;&gt;"",M39,K39)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IF(I40="","",COUNTIF($I$7:$I$86,"&gt;"&amp;I40)+1)</f>
        <v/>
      </c>
      <c r="K40" s="27">
        <f>IF(I40="","",IF(OR(G40="",H40=""),'설정'!$B$9,IF(AND(OR('설정'!$C$6="",G40&gt;='설정'!$C$6),OR('설정'!$D$6="",G40&lt;'설정'!$D$6),OR('설정'!$E$6="",H40&gt;='설정'!$E$6),OR('설정'!$F$6="",H40&lt;'설정'!$F$6)),'설정'!$B$6,IF(AND(OR('설정'!$C$7="",G40&gt;='설정'!$C$7),OR('설정'!$D$7="",G40&lt;'설정'!$D$7),OR('설정'!$E$7="",H40&gt;='설정'!$E$7),OR('설정'!$F$7="",H40&lt;'설정'!$F$7)),'설정'!$B$7,IF(AND(OR('설정'!$C$8="",G40&gt;='설정'!$C$8),OR('설정'!$D$8="",G40&lt;'설정'!$D$8),OR('설정'!$E$8="",H40&gt;='설정'!$E$8),OR('설정'!$F$8="",H40&lt;'설정'!$F$8)),'설정'!$B$8,'설정'!$B$9)))))</f>
        <v/>
      </c>
      <c r="L40" s="29">
        <f>IF(OR(G40="",H40=""),"",IF(SUMPRODUCT(ISNUMBER('설정'!$C$6:$D$8)*(ABS(G40-'설정'!$C$6:$D$8)&lt;='설정'!$C$15))+SUMPRODUCT(ISNUMBER('설정'!$E$6:$F$8)*(ABS(H40-'설정'!$E$6:$F$8)&lt;='설정'!$C$15))&gt;0,"경계",""))</f>
        <v/>
      </c>
      <c r="M40" s="7" t="n"/>
      <c r="N40" s="7" t="n"/>
      <c r="O40" s="27">
        <f>IF(M40&lt;&gt;"",M40,K40)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IF(I41="","",COUNTIF($I$7:$I$86,"&gt;"&amp;I41)+1)</f>
        <v/>
      </c>
      <c r="K41" s="27">
        <f>IF(I41="","",IF(OR(G41="",H41=""),'설정'!$B$9,IF(AND(OR('설정'!$C$6="",G41&gt;='설정'!$C$6),OR('설정'!$D$6="",G41&lt;'설정'!$D$6),OR('설정'!$E$6="",H41&gt;='설정'!$E$6),OR('설정'!$F$6="",H41&lt;'설정'!$F$6)),'설정'!$B$6,IF(AND(OR('설정'!$C$7="",G41&gt;='설정'!$C$7),OR('설정'!$D$7="",G41&lt;'설정'!$D$7),OR('설정'!$E$7="",H41&gt;='설정'!$E$7),OR('설정'!$F$7="",H41&lt;'설정'!$F$7)),'설정'!$B$7,IF(AND(OR('설정'!$C$8="",G41&gt;='설정'!$C$8),OR('설정'!$D$8="",G41&lt;'설정'!$D$8),OR('설정'!$E$8="",H41&gt;='설정'!$E$8),OR('설정'!$F$8="",H41&lt;'설정'!$F$8)),'설정'!$B$8,'설정'!$B$9)))))</f>
        <v/>
      </c>
      <c r="L41" s="29">
        <f>IF(OR(G41="",H41=""),"",IF(SUMPRODUCT(ISNUMBER('설정'!$C$6:$D$8)*(ABS(G41-'설정'!$C$6:$D$8)&lt;='설정'!$C$15))+SUMPRODUCT(ISNUMBER('설정'!$E$6:$F$8)*(ABS(H41-'설정'!$E$6:$F$8)&lt;='설정'!$C$15))&gt;0,"경계",""))</f>
        <v/>
      </c>
      <c r="M41" s="7" t="n"/>
      <c r="N41" s="7" t="n"/>
      <c r="O41" s="27">
        <f>IF(M41&lt;&gt;"",M41,K41)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IF(I42="","",COUNTIF($I$7:$I$86,"&gt;"&amp;I42)+1)</f>
        <v/>
      </c>
      <c r="K42" s="27">
        <f>IF(I42="","",IF(OR(G42="",H42=""),'설정'!$B$9,IF(AND(OR('설정'!$C$6="",G42&gt;='설정'!$C$6),OR('설정'!$D$6="",G42&lt;'설정'!$D$6),OR('설정'!$E$6="",H42&gt;='설정'!$E$6),OR('설정'!$F$6="",H42&lt;'설정'!$F$6)),'설정'!$B$6,IF(AND(OR('설정'!$C$7="",G42&gt;='설정'!$C$7),OR('설정'!$D$7="",G42&lt;'설정'!$D$7),OR('설정'!$E$7="",H42&gt;='설정'!$E$7),OR('설정'!$F$7="",H42&lt;'설정'!$F$7)),'설정'!$B$7,IF(AND(OR('설정'!$C$8="",G42&gt;='설정'!$C$8),OR('설정'!$D$8="",G42&lt;'설정'!$D$8),OR('설정'!$E$8="",H42&gt;='설정'!$E$8),OR('설정'!$F$8="",H42&lt;'설정'!$F$8)),'설정'!$B$8,'설정'!$B$9)))))</f>
        <v/>
      </c>
      <c r="L42" s="29">
        <f>IF(OR(G42="",H42=""),"",IF(SUMPRODUCT(ISNUMBER('설정'!$C$6:$D$8)*(ABS(G42-'설정'!$C$6:$D$8)&lt;='설정'!$C$15))+SUMPRODUCT(ISNUMBER('설정'!$E$6:$F$8)*(ABS(H42-'설정'!$E$6:$F$8)&lt;='설정'!$C$15))&gt;0,"경계",""))</f>
        <v/>
      </c>
      <c r="M42" s="7" t="n"/>
      <c r="N42" s="7" t="n"/>
      <c r="O42" s="27">
        <f>IF(M42&lt;&gt;"",M42,K42)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IF(I43="","",COUNTIF($I$7:$I$86,"&gt;"&amp;I43)+1)</f>
        <v/>
      </c>
      <c r="K43" s="27">
        <f>IF(I43="","",IF(OR(G43="",H43=""),'설정'!$B$9,IF(AND(OR('설정'!$C$6="",G43&gt;='설정'!$C$6),OR('설정'!$D$6="",G43&lt;'설정'!$D$6),OR('설정'!$E$6="",H43&gt;='설정'!$E$6),OR('설정'!$F$6="",H43&lt;'설정'!$F$6)),'설정'!$B$6,IF(AND(OR('설정'!$C$7="",G43&gt;='설정'!$C$7),OR('설정'!$D$7="",G43&lt;'설정'!$D$7),OR('설정'!$E$7="",H43&gt;='설정'!$E$7),OR('설정'!$F$7="",H43&lt;'설정'!$F$7)),'설정'!$B$7,IF(AND(OR('설정'!$C$8="",G43&gt;='설정'!$C$8),OR('설정'!$D$8="",G43&lt;'설정'!$D$8),OR('설정'!$E$8="",H43&gt;='설정'!$E$8),OR('설정'!$F$8="",H43&lt;'설정'!$F$8)),'설정'!$B$8,'설정'!$B$9)))))</f>
        <v/>
      </c>
      <c r="L43" s="29">
        <f>IF(OR(G43="",H43=""),"",IF(SUMPRODUCT(ISNUMBER('설정'!$C$6:$D$8)*(ABS(G43-'설정'!$C$6:$D$8)&lt;='설정'!$C$15))+SUMPRODUCT(ISNUMBER('설정'!$E$6:$F$8)*(ABS(H43-'설정'!$E$6:$F$8)&lt;='설정'!$C$15))&gt;0,"경계",""))</f>
        <v/>
      </c>
      <c r="M43" s="7" t="n"/>
      <c r="N43" s="7" t="n"/>
      <c r="O43" s="27">
        <f>IF(M43&lt;&gt;"",M43,K43)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IF(I44="","",COUNTIF($I$7:$I$86,"&gt;"&amp;I44)+1)</f>
        <v/>
      </c>
      <c r="K44" s="27">
        <f>IF(I44="","",IF(OR(G44="",H44=""),'설정'!$B$9,IF(AND(OR('설정'!$C$6="",G44&gt;='설정'!$C$6),OR('설정'!$D$6="",G44&lt;'설정'!$D$6),OR('설정'!$E$6="",H44&gt;='설정'!$E$6),OR('설정'!$F$6="",H44&lt;'설정'!$F$6)),'설정'!$B$6,IF(AND(OR('설정'!$C$7="",G44&gt;='설정'!$C$7),OR('설정'!$D$7="",G44&lt;'설정'!$D$7),OR('설정'!$E$7="",H44&gt;='설정'!$E$7),OR('설정'!$F$7="",H44&lt;'설정'!$F$7)),'설정'!$B$7,IF(AND(OR('설정'!$C$8="",G44&gt;='설정'!$C$8),OR('설정'!$D$8="",G44&lt;'설정'!$D$8),OR('설정'!$E$8="",H44&gt;='설정'!$E$8),OR('설정'!$F$8="",H44&lt;'설정'!$F$8)),'설정'!$B$8,'설정'!$B$9)))))</f>
        <v/>
      </c>
      <c r="L44" s="29">
        <f>IF(OR(G44="",H44=""),"",IF(SUMPRODUCT(ISNUMBER('설정'!$C$6:$D$8)*(ABS(G44-'설정'!$C$6:$D$8)&lt;='설정'!$C$15))+SUMPRODUCT(ISNUMBER('설정'!$E$6:$F$8)*(ABS(H44-'설정'!$E$6:$F$8)&lt;='설정'!$C$15))&gt;0,"경계",""))</f>
        <v/>
      </c>
      <c r="M44" s="7" t="n"/>
      <c r="N44" s="7" t="n"/>
      <c r="O44" s="27">
        <f>IF(M44&lt;&gt;"",M44,K44)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IF(I45="","",COUNTIF($I$7:$I$86,"&gt;"&amp;I45)+1)</f>
        <v/>
      </c>
      <c r="K45" s="27">
        <f>IF(I45="","",IF(OR(G45="",H45=""),'설정'!$B$9,IF(AND(OR('설정'!$C$6="",G45&gt;='설정'!$C$6),OR('설정'!$D$6="",G45&lt;'설정'!$D$6),OR('설정'!$E$6="",H45&gt;='설정'!$E$6),OR('설정'!$F$6="",H45&lt;'설정'!$F$6)),'설정'!$B$6,IF(AND(OR('설정'!$C$7="",G45&gt;='설정'!$C$7),OR('설정'!$D$7="",G45&lt;'설정'!$D$7),OR('설정'!$E$7="",H45&gt;='설정'!$E$7),OR('설정'!$F$7="",H45&lt;'설정'!$F$7)),'설정'!$B$7,IF(AND(OR('설정'!$C$8="",G45&gt;='설정'!$C$8),OR('설정'!$D$8="",G45&lt;'설정'!$D$8),OR('설정'!$E$8="",H45&gt;='설정'!$E$8),OR('설정'!$F$8="",H45&lt;'설정'!$F$8)),'설정'!$B$8,'설정'!$B$9)))))</f>
        <v/>
      </c>
      <c r="L45" s="29">
        <f>IF(OR(G45="",H45=""),"",IF(SUMPRODUCT(ISNUMBER('설정'!$C$6:$D$8)*(ABS(G45-'설정'!$C$6:$D$8)&lt;='설정'!$C$15))+SUMPRODUCT(ISNUMBER('설정'!$E$6:$F$8)*(ABS(H45-'설정'!$E$6:$F$8)&lt;='설정'!$C$15))&gt;0,"경계",""))</f>
        <v/>
      </c>
      <c r="M45" s="7" t="n"/>
      <c r="N45" s="7" t="n"/>
      <c r="O45" s="27">
        <f>IF(M45&lt;&gt;"",M45,K45)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IF(I46="","",COUNTIF($I$7:$I$86,"&gt;"&amp;I46)+1)</f>
        <v/>
      </c>
      <c r="K46" s="27">
        <f>IF(I46="","",IF(OR(G46="",H46=""),'설정'!$B$9,IF(AND(OR('설정'!$C$6="",G46&gt;='설정'!$C$6),OR('설정'!$D$6="",G46&lt;'설정'!$D$6),OR('설정'!$E$6="",H46&gt;='설정'!$E$6),OR('설정'!$F$6="",H46&lt;'설정'!$F$6)),'설정'!$B$6,IF(AND(OR('설정'!$C$7="",G46&gt;='설정'!$C$7),OR('설정'!$D$7="",G46&lt;'설정'!$D$7),OR('설정'!$E$7="",H46&gt;='설정'!$E$7),OR('설정'!$F$7="",H46&lt;'설정'!$F$7)),'설정'!$B$7,IF(AND(OR('설정'!$C$8="",G46&gt;='설정'!$C$8),OR('설정'!$D$8="",G46&lt;'설정'!$D$8),OR('설정'!$E$8="",H46&gt;='설정'!$E$8),OR('설정'!$F$8="",H46&lt;'설정'!$F$8)),'설정'!$B$8,'설정'!$B$9)))))</f>
        <v/>
      </c>
      <c r="L46" s="29">
        <f>IF(OR(G46="",H46=""),"",IF(SUMPRODUCT(ISNUMBER('설정'!$C$6:$D$8)*(ABS(G46-'설정'!$C$6:$D$8)&lt;='설정'!$C$15))+SUMPRODUCT(ISNUMBER('설정'!$E$6:$F$8)*(ABS(H46-'설정'!$E$6:$F$8)&lt;='설정'!$C$15))&gt;0,"경계",""))</f>
        <v/>
      </c>
      <c r="M46" s="7" t="n"/>
      <c r="N46" s="7" t="n"/>
      <c r="O46" s="27">
        <f>IF(M46&lt;&gt;"",M46,K46)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IF(I47="","",COUNTIF($I$7:$I$86,"&gt;"&amp;I47)+1)</f>
        <v/>
      </c>
      <c r="K47" s="27">
        <f>IF(I47="","",IF(OR(G47="",H47=""),'설정'!$B$9,IF(AND(OR('설정'!$C$6="",G47&gt;='설정'!$C$6),OR('설정'!$D$6="",G47&lt;'설정'!$D$6),OR('설정'!$E$6="",H47&gt;='설정'!$E$6),OR('설정'!$F$6="",H47&lt;'설정'!$F$6)),'설정'!$B$6,IF(AND(OR('설정'!$C$7="",G47&gt;='설정'!$C$7),OR('설정'!$D$7="",G47&lt;'설정'!$D$7),OR('설정'!$E$7="",H47&gt;='설정'!$E$7),OR('설정'!$F$7="",H47&lt;'설정'!$F$7)),'설정'!$B$7,IF(AND(OR('설정'!$C$8="",G47&gt;='설정'!$C$8),OR('설정'!$D$8="",G47&lt;'설정'!$D$8),OR('설정'!$E$8="",H47&gt;='설정'!$E$8),OR('설정'!$F$8="",H47&lt;'설정'!$F$8)),'설정'!$B$8,'설정'!$B$9)))))</f>
        <v/>
      </c>
      <c r="L47" s="29">
        <f>IF(OR(G47="",H47=""),"",IF(SUMPRODUCT(ISNUMBER('설정'!$C$6:$D$8)*(ABS(G47-'설정'!$C$6:$D$8)&lt;='설정'!$C$15))+SUMPRODUCT(ISNUMBER('설정'!$E$6:$F$8)*(ABS(H47-'설정'!$E$6:$F$8)&lt;='설정'!$C$15))&gt;0,"경계",""))</f>
        <v/>
      </c>
      <c r="M47" s="7" t="n"/>
      <c r="N47" s="7" t="n"/>
      <c r="O47" s="27">
        <f>IF(M47&lt;&gt;"",M47,K47)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IF(I48="","",COUNTIF($I$7:$I$86,"&gt;"&amp;I48)+1)</f>
        <v/>
      </c>
      <c r="K48" s="27">
        <f>IF(I48="","",IF(OR(G48="",H48=""),'설정'!$B$9,IF(AND(OR('설정'!$C$6="",G48&gt;='설정'!$C$6),OR('설정'!$D$6="",G48&lt;'설정'!$D$6),OR('설정'!$E$6="",H48&gt;='설정'!$E$6),OR('설정'!$F$6="",H48&lt;'설정'!$F$6)),'설정'!$B$6,IF(AND(OR('설정'!$C$7="",G48&gt;='설정'!$C$7),OR('설정'!$D$7="",G48&lt;'설정'!$D$7),OR('설정'!$E$7="",H48&gt;='설정'!$E$7),OR('설정'!$F$7="",H48&lt;'설정'!$F$7)),'설정'!$B$7,IF(AND(OR('설정'!$C$8="",G48&gt;='설정'!$C$8),OR('설정'!$D$8="",G48&lt;'설정'!$D$8),OR('설정'!$E$8="",H48&gt;='설정'!$E$8),OR('설정'!$F$8="",H48&lt;'설정'!$F$8)),'설정'!$B$8,'설정'!$B$9)))))</f>
        <v/>
      </c>
      <c r="L48" s="29">
        <f>IF(OR(G48="",H48=""),"",IF(SUMPRODUCT(ISNUMBER('설정'!$C$6:$D$8)*(ABS(G48-'설정'!$C$6:$D$8)&lt;='설정'!$C$15))+SUMPRODUCT(ISNUMBER('설정'!$E$6:$F$8)*(ABS(H48-'설정'!$E$6:$F$8)&lt;='설정'!$C$15))&gt;0,"경계",""))</f>
        <v/>
      </c>
      <c r="M48" s="7" t="n"/>
      <c r="N48" s="7" t="n"/>
      <c r="O48" s="27">
        <f>IF(M48&lt;&gt;"",M48,K48)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IF(I49="","",COUNTIF($I$7:$I$86,"&gt;"&amp;I49)+1)</f>
        <v/>
      </c>
      <c r="K49" s="27">
        <f>IF(I49="","",IF(OR(G49="",H49=""),'설정'!$B$9,IF(AND(OR('설정'!$C$6="",G49&gt;='설정'!$C$6),OR('설정'!$D$6="",G49&lt;'설정'!$D$6),OR('설정'!$E$6="",H49&gt;='설정'!$E$6),OR('설정'!$F$6="",H49&lt;'설정'!$F$6)),'설정'!$B$6,IF(AND(OR('설정'!$C$7="",G49&gt;='설정'!$C$7),OR('설정'!$D$7="",G49&lt;'설정'!$D$7),OR('설정'!$E$7="",H49&gt;='설정'!$E$7),OR('설정'!$F$7="",H49&lt;'설정'!$F$7)),'설정'!$B$7,IF(AND(OR('설정'!$C$8="",G49&gt;='설정'!$C$8),OR('설정'!$D$8="",G49&lt;'설정'!$D$8),OR('설정'!$E$8="",H49&gt;='설정'!$E$8),OR('설정'!$F$8="",H49&lt;'설정'!$F$8)),'설정'!$B$8,'설정'!$B$9)))))</f>
        <v/>
      </c>
      <c r="L49" s="29">
        <f>IF(OR(G49="",H49=""),"",IF(SUMPRODUCT(ISNUMBER('설정'!$C$6:$D$8)*(ABS(G49-'설정'!$C$6:$D$8)&lt;='설정'!$C$15))+SUMPRODUCT(ISNUMBER('설정'!$E$6:$F$8)*(ABS(H49-'설정'!$E$6:$F$8)&lt;='설정'!$C$15))&gt;0,"경계",""))</f>
        <v/>
      </c>
      <c r="M49" s="7" t="n"/>
      <c r="N49" s="7" t="n"/>
      <c r="O49" s="27">
        <f>IF(M49&lt;&gt;"",M49,K49)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IF(I50="","",COUNTIF($I$7:$I$86,"&gt;"&amp;I50)+1)</f>
        <v/>
      </c>
      <c r="K50" s="27">
        <f>IF(I50="","",IF(OR(G50="",H50=""),'설정'!$B$9,IF(AND(OR('설정'!$C$6="",G50&gt;='설정'!$C$6),OR('설정'!$D$6="",G50&lt;'설정'!$D$6),OR('설정'!$E$6="",H50&gt;='설정'!$E$6),OR('설정'!$F$6="",H50&lt;'설정'!$F$6)),'설정'!$B$6,IF(AND(OR('설정'!$C$7="",G50&gt;='설정'!$C$7),OR('설정'!$D$7="",G50&lt;'설정'!$D$7),OR('설정'!$E$7="",H50&gt;='설정'!$E$7),OR('설정'!$F$7="",H50&lt;'설정'!$F$7)),'설정'!$B$7,IF(AND(OR('설정'!$C$8="",G50&gt;='설정'!$C$8),OR('설정'!$D$8="",G50&lt;'설정'!$D$8),OR('설정'!$E$8="",H50&gt;='설정'!$E$8),OR('설정'!$F$8="",H50&lt;'설정'!$F$8)),'설정'!$B$8,'설정'!$B$9)))))</f>
        <v/>
      </c>
      <c r="L50" s="29">
        <f>IF(OR(G50="",H50=""),"",IF(SUMPRODUCT(ISNUMBER('설정'!$C$6:$D$8)*(ABS(G50-'설정'!$C$6:$D$8)&lt;='설정'!$C$15))+SUMPRODUCT(ISNUMBER('설정'!$E$6:$F$8)*(ABS(H50-'설정'!$E$6:$F$8)&lt;='설정'!$C$15))&gt;0,"경계",""))</f>
        <v/>
      </c>
      <c r="M50" s="7" t="n"/>
      <c r="N50" s="7" t="n"/>
      <c r="O50" s="27">
        <f>IF(M50&lt;&gt;"",M50,K50)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IF(I51="","",COUNTIF($I$7:$I$86,"&gt;"&amp;I51)+1)</f>
        <v/>
      </c>
      <c r="K51" s="27">
        <f>IF(I51="","",IF(OR(G51="",H51=""),'설정'!$B$9,IF(AND(OR('설정'!$C$6="",G51&gt;='설정'!$C$6),OR('설정'!$D$6="",G51&lt;'설정'!$D$6),OR('설정'!$E$6="",H51&gt;='설정'!$E$6),OR('설정'!$F$6="",H51&lt;'설정'!$F$6)),'설정'!$B$6,IF(AND(OR('설정'!$C$7="",G51&gt;='설정'!$C$7),OR('설정'!$D$7="",G51&lt;'설정'!$D$7),OR('설정'!$E$7="",H51&gt;='설정'!$E$7),OR('설정'!$F$7="",H51&lt;'설정'!$F$7)),'설정'!$B$7,IF(AND(OR('설정'!$C$8="",G51&gt;='설정'!$C$8),OR('설정'!$D$8="",G51&lt;'설정'!$D$8),OR('설정'!$E$8="",H51&gt;='설정'!$E$8),OR('설정'!$F$8="",H51&lt;'설정'!$F$8)),'설정'!$B$8,'설정'!$B$9)))))</f>
        <v/>
      </c>
      <c r="L51" s="29">
        <f>IF(OR(G51="",H51=""),"",IF(SUMPRODUCT(ISNUMBER('설정'!$C$6:$D$8)*(ABS(G51-'설정'!$C$6:$D$8)&lt;='설정'!$C$15))+SUMPRODUCT(ISNUMBER('설정'!$E$6:$F$8)*(ABS(H51-'설정'!$E$6:$F$8)&lt;='설정'!$C$15))&gt;0,"경계",""))</f>
        <v/>
      </c>
      <c r="M51" s="7" t="n"/>
      <c r="N51" s="7" t="n"/>
      <c r="O51" s="27">
        <f>IF(M51&lt;&gt;"",M51,K51)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IF(I52="","",COUNTIF($I$7:$I$86,"&gt;"&amp;I52)+1)</f>
        <v/>
      </c>
      <c r="K52" s="27">
        <f>IF(I52="","",IF(OR(G52="",H52=""),'설정'!$B$9,IF(AND(OR('설정'!$C$6="",G52&gt;='설정'!$C$6),OR('설정'!$D$6="",G52&lt;'설정'!$D$6),OR('설정'!$E$6="",H52&gt;='설정'!$E$6),OR('설정'!$F$6="",H52&lt;'설정'!$F$6)),'설정'!$B$6,IF(AND(OR('설정'!$C$7="",G52&gt;='설정'!$C$7),OR('설정'!$D$7="",G52&lt;'설정'!$D$7),OR('설정'!$E$7="",H52&gt;='설정'!$E$7),OR('설정'!$F$7="",H52&lt;'설정'!$F$7)),'설정'!$B$7,IF(AND(OR('설정'!$C$8="",G52&gt;='설정'!$C$8),OR('설정'!$D$8="",G52&lt;'설정'!$D$8),OR('설정'!$E$8="",H52&gt;='설정'!$E$8),OR('설정'!$F$8="",H52&lt;'설정'!$F$8)),'설정'!$B$8,'설정'!$B$9)))))</f>
        <v/>
      </c>
      <c r="L52" s="29">
        <f>IF(OR(G52="",H52=""),"",IF(SUMPRODUCT(ISNUMBER('설정'!$C$6:$D$8)*(ABS(G52-'설정'!$C$6:$D$8)&lt;='설정'!$C$15))+SUMPRODUCT(ISNUMBER('설정'!$E$6:$F$8)*(ABS(H52-'설정'!$E$6:$F$8)&lt;='설정'!$C$15))&gt;0,"경계",""))</f>
        <v/>
      </c>
      <c r="M52" s="7" t="n"/>
      <c r="N52" s="7" t="n"/>
      <c r="O52" s="27">
        <f>IF(M52&lt;&gt;"",M52,K52)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IF(I53="","",COUNTIF($I$7:$I$86,"&gt;"&amp;I53)+1)</f>
        <v/>
      </c>
      <c r="K53" s="27">
        <f>IF(I53="","",IF(OR(G53="",H53=""),'설정'!$B$9,IF(AND(OR('설정'!$C$6="",G53&gt;='설정'!$C$6),OR('설정'!$D$6="",G53&lt;'설정'!$D$6),OR('설정'!$E$6="",H53&gt;='설정'!$E$6),OR('설정'!$F$6="",H53&lt;'설정'!$F$6)),'설정'!$B$6,IF(AND(OR('설정'!$C$7="",G53&gt;='설정'!$C$7),OR('설정'!$D$7="",G53&lt;'설정'!$D$7),OR('설정'!$E$7="",H53&gt;='설정'!$E$7),OR('설정'!$F$7="",H53&lt;'설정'!$F$7)),'설정'!$B$7,IF(AND(OR('설정'!$C$8="",G53&gt;='설정'!$C$8),OR('설정'!$D$8="",G53&lt;'설정'!$D$8),OR('설정'!$E$8="",H53&gt;='설정'!$E$8),OR('설정'!$F$8="",H53&lt;'설정'!$F$8)),'설정'!$B$8,'설정'!$B$9)))))</f>
        <v/>
      </c>
      <c r="L53" s="29">
        <f>IF(OR(G53="",H53=""),"",IF(SUMPRODUCT(ISNUMBER('설정'!$C$6:$D$8)*(ABS(G53-'설정'!$C$6:$D$8)&lt;='설정'!$C$15))+SUMPRODUCT(ISNUMBER('설정'!$E$6:$F$8)*(ABS(H53-'설정'!$E$6:$F$8)&lt;='설정'!$C$15))&gt;0,"경계",""))</f>
        <v/>
      </c>
      <c r="M53" s="7" t="n"/>
      <c r="N53" s="7" t="n"/>
      <c r="O53" s="27">
        <f>IF(M53&lt;&gt;"",M53,K53)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IF(I54="","",COUNTIF($I$7:$I$86,"&gt;"&amp;I54)+1)</f>
        <v/>
      </c>
      <c r="K54" s="27">
        <f>IF(I54="","",IF(OR(G54="",H54=""),'설정'!$B$9,IF(AND(OR('설정'!$C$6="",G54&gt;='설정'!$C$6),OR('설정'!$D$6="",G54&lt;'설정'!$D$6),OR('설정'!$E$6="",H54&gt;='설정'!$E$6),OR('설정'!$F$6="",H54&lt;'설정'!$F$6)),'설정'!$B$6,IF(AND(OR('설정'!$C$7="",G54&gt;='설정'!$C$7),OR('설정'!$D$7="",G54&lt;'설정'!$D$7),OR('설정'!$E$7="",H54&gt;='설정'!$E$7),OR('설정'!$F$7="",H54&lt;'설정'!$F$7)),'설정'!$B$7,IF(AND(OR('설정'!$C$8="",G54&gt;='설정'!$C$8),OR('설정'!$D$8="",G54&lt;'설정'!$D$8),OR('설정'!$E$8="",H54&gt;='설정'!$E$8),OR('설정'!$F$8="",H54&lt;'설정'!$F$8)),'설정'!$B$8,'설정'!$B$9)))))</f>
        <v/>
      </c>
      <c r="L54" s="29">
        <f>IF(OR(G54="",H54=""),"",IF(SUMPRODUCT(ISNUMBER('설정'!$C$6:$D$8)*(ABS(G54-'설정'!$C$6:$D$8)&lt;='설정'!$C$15))+SUMPRODUCT(ISNUMBER('설정'!$E$6:$F$8)*(ABS(H54-'설정'!$E$6:$F$8)&lt;='설정'!$C$15))&gt;0,"경계",""))</f>
        <v/>
      </c>
      <c r="M54" s="7" t="n"/>
      <c r="N54" s="7" t="n"/>
      <c r="O54" s="27">
        <f>IF(M54&lt;&gt;"",M54,K54)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IF(I55="","",COUNTIF($I$7:$I$86,"&gt;"&amp;I55)+1)</f>
        <v/>
      </c>
      <c r="K55" s="27">
        <f>IF(I55="","",IF(OR(G55="",H55=""),'설정'!$B$9,IF(AND(OR('설정'!$C$6="",G55&gt;='설정'!$C$6),OR('설정'!$D$6="",G55&lt;'설정'!$D$6),OR('설정'!$E$6="",H55&gt;='설정'!$E$6),OR('설정'!$F$6="",H55&lt;'설정'!$F$6)),'설정'!$B$6,IF(AND(OR('설정'!$C$7="",G55&gt;='설정'!$C$7),OR('설정'!$D$7="",G55&lt;'설정'!$D$7),OR('설정'!$E$7="",H55&gt;='설정'!$E$7),OR('설정'!$F$7="",H55&lt;'설정'!$F$7)),'설정'!$B$7,IF(AND(OR('설정'!$C$8="",G55&gt;='설정'!$C$8),OR('설정'!$D$8="",G55&lt;'설정'!$D$8),OR('설정'!$E$8="",H55&gt;='설정'!$E$8),OR('설정'!$F$8="",H55&lt;'설정'!$F$8)),'설정'!$B$8,'설정'!$B$9)))))</f>
        <v/>
      </c>
      <c r="L55" s="29">
        <f>IF(OR(G55="",H55=""),"",IF(SUMPRODUCT(ISNUMBER('설정'!$C$6:$D$8)*(ABS(G55-'설정'!$C$6:$D$8)&lt;='설정'!$C$15))+SUMPRODUCT(ISNUMBER('설정'!$E$6:$F$8)*(ABS(H55-'설정'!$E$6:$F$8)&lt;='설정'!$C$15))&gt;0,"경계",""))</f>
        <v/>
      </c>
      <c r="M55" s="7" t="n"/>
      <c r="N55" s="7" t="n"/>
      <c r="O55" s="27">
        <f>IF(M55&lt;&gt;"",M55,K55)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IF(I56="","",COUNTIF($I$7:$I$86,"&gt;"&amp;I56)+1)</f>
        <v/>
      </c>
      <c r="K56" s="27">
        <f>IF(I56="","",IF(OR(G56="",H56=""),'설정'!$B$9,IF(AND(OR('설정'!$C$6="",G56&gt;='설정'!$C$6),OR('설정'!$D$6="",G56&lt;'설정'!$D$6),OR('설정'!$E$6="",H56&gt;='설정'!$E$6),OR('설정'!$F$6="",H56&lt;'설정'!$F$6)),'설정'!$B$6,IF(AND(OR('설정'!$C$7="",G56&gt;='설정'!$C$7),OR('설정'!$D$7="",G56&lt;'설정'!$D$7),OR('설정'!$E$7="",H56&gt;='설정'!$E$7),OR('설정'!$F$7="",H56&lt;'설정'!$F$7)),'설정'!$B$7,IF(AND(OR('설정'!$C$8="",G56&gt;='설정'!$C$8),OR('설정'!$D$8="",G56&lt;'설정'!$D$8),OR('설정'!$E$8="",H56&gt;='설정'!$E$8),OR('설정'!$F$8="",H56&lt;'설정'!$F$8)),'설정'!$B$8,'설정'!$B$9)))))</f>
        <v/>
      </c>
      <c r="L56" s="29">
        <f>IF(OR(G56="",H56=""),"",IF(SUMPRODUCT(ISNUMBER('설정'!$C$6:$D$8)*(ABS(G56-'설정'!$C$6:$D$8)&lt;='설정'!$C$15))+SUMPRODUCT(ISNUMBER('설정'!$E$6:$F$8)*(ABS(H56-'설정'!$E$6:$F$8)&lt;='설정'!$C$15))&gt;0,"경계",""))</f>
        <v/>
      </c>
      <c r="M56" s="7" t="n"/>
      <c r="N56" s="7" t="n"/>
      <c r="O56" s="27">
        <f>IF(M56&lt;&gt;"",M56,K56)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IF(I57="","",COUNTIF($I$7:$I$86,"&gt;"&amp;I57)+1)</f>
        <v/>
      </c>
      <c r="K57" s="27">
        <f>IF(I57="","",IF(OR(G57="",H57=""),'설정'!$B$9,IF(AND(OR('설정'!$C$6="",G57&gt;='설정'!$C$6),OR('설정'!$D$6="",G57&lt;'설정'!$D$6),OR('설정'!$E$6="",H57&gt;='설정'!$E$6),OR('설정'!$F$6="",H57&lt;'설정'!$F$6)),'설정'!$B$6,IF(AND(OR('설정'!$C$7="",G57&gt;='설정'!$C$7),OR('설정'!$D$7="",G57&lt;'설정'!$D$7),OR('설정'!$E$7="",H57&gt;='설정'!$E$7),OR('설정'!$F$7="",H57&lt;'설정'!$F$7)),'설정'!$B$7,IF(AND(OR('설정'!$C$8="",G57&gt;='설정'!$C$8),OR('설정'!$D$8="",G57&lt;'설정'!$D$8),OR('설정'!$E$8="",H57&gt;='설정'!$E$8),OR('설정'!$F$8="",H57&lt;'설정'!$F$8)),'설정'!$B$8,'설정'!$B$9)))))</f>
        <v/>
      </c>
      <c r="L57" s="29">
        <f>IF(OR(G57="",H57=""),"",IF(SUMPRODUCT(ISNUMBER('설정'!$C$6:$D$8)*(ABS(G57-'설정'!$C$6:$D$8)&lt;='설정'!$C$15))+SUMPRODUCT(ISNUMBER('설정'!$E$6:$F$8)*(ABS(H57-'설정'!$E$6:$F$8)&lt;='설정'!$C$15))&gt;0,"경계",""))</f>
        <v/>
      </c>
      <c r="M57" s="7" t="n"/>
      <c r="N57" s="7" t="n"/>
      <c r="O57" s="27">
        <f>IF(M57&lt;&gt;"",M57,K57)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IF(I58="","",COUNTIF($I$7:$I$86,"&gt;"&amp;I58)+1)</f>
        <v/>
      </c>
      <c r="K58" s="27">
        <f>IF(I58="","",IF(OR(G58="",H58=""),'설정'!$B$9,IF(AND(OR('설정'!$C$6="",G58&gt;='설정'!$C$6),OR('설정'!$D$6="",G58&lt;'설정'!$D$6),OR('설정'!$E$6="",H58&gt;='설정'!$E$6),OR('설정'!$F$6="",H58&lt;'설정'!$F$6)),'설정'!$B$6,IF(AND(OR('설정'!$C$7="",G58&gt;='설정'!$C$7),OR('설정'!$D$7="",G58&lt;'설정'!$D$7),OR('설정'!$E$7="",H58&gt;='설정'!$E$7),OR('설정'!$F$7="",H58&lt;'설정'!$F$7)),'설정'!$B$7,IF(AND(OR('설정'!$C$8="",G58&gt;='설정'!$C$8),OR('설정'!$D$8="",G58&lt;'설정'!$D$8),OR('설정'!$E$8="",H58&gt;='설정'!$E$8),OR('설정'!$F$8="",H58&lt;'설정'!$F$8)),'설정'!$B$8,'설정'!$B$9)))))</f>
        <v/>
      </c>
      <c r="L58" s="29">
        <f>IF(OR(G58="",H58=""),"",IF(SUMPRODUCT(ISNUMBER('설정'!$C$6:$D$8)*(ABS(G58-'설정'!$C$6:$D$8)&lt;='설정'!$C$15))+SUMPRODUCT(ISNUMBER('설정'!$E$6:$F$8)*(ABS(H58-'설정'!$E$6:$F$8)&lt;='설정'!$C$15))&gt;0,"경계",""))</f>
        <v/>
      </c>
      <c r="M58" s="7" t="n"/>
      <c r="N58" s="7" t="n"/>
      <c r="O58" s="27">
        <f>IF(M58&lt;&gt;"",M58,K58)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IF(I59="","",COUNTIF($I$7:$I$86,"&gt;"&amp;I59)+1)</f>
        <v/>
      </c>
      <c r="K59" s="27">
        <f>IF(I59="","",IF(OR(G59="",H59=""),'설정'!$B$9,IF(AND(OR('설정'!$C$6="",G59&gt;='설정'!$C$6),OR('설정'!$D$6="",G59&lt;'설정'!$D$6),OR('설정'!$E$6="",H59&gt;='설정'!$E$6),OR('설정'!$F$6="",H59&lt;'설정'!$F$6)),'설정'!$B$6,IF(AND(OR('설정'!$C$7="",G59&gt;='설정'!$C$7),OR('설정'!$D$7="",G59&lt;'설정'!$D$7),OR('설정'!$E$7="",H59&gt;='설정'!$E$7),OR('설정'!$F$7="",H59&lt;'설정'!$F$7)),'설정'!$B$7,IF(AND(OR('설정'!$C$8="",G59&gt;='설정'!$C$8),OR('설정'!$D$8="",G59&lt;'설정'!$D$8),OR('설정'!$E$8="",H59&gt;='설정'!$E$8),OR('설정'!$F$8="",H59&lt;'설정'!$F$8)),'설정'!$B$8,'설정'!$B$9)))))</f>
        <v/>
      </c>
      <c r="L59" s="29">
        <f>IF(OR(G59="",H59=""),"",IF(SUMPRODUCT(ISNUMBER('설정'!$C$6:$D$8)*(ABS(G59-'설정'!$C$6:$D$8)&lt;='설정'!$C$15))+SUMPRODUCT(ISNUMBER('설정'!$E$6:$F$8)*(ABS(H59-'설정'!$E$6:$F$8)&lt;='설정'!$C$15))&gt;0,"경계",""))</f>
        <v/>
      </c>
      <c r="M59" s="7" t="n"/>
      <c r="N59" s="7" t="n"/>
      <c r="O59" s="27">
        <f>IF(M59&lt;&gt;"",M59,K59)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IF(I60="","",COUNTIF($I$7:$I$86,"&gt;"&amp;I60)+1)</f>
        <v/>
      </c>
      <c r="K60" s="27">
        <f>IF(I60="","",IF(OR(G60="",H60=""),'설정'!$B$9,IF(AND(OR('설정'!$C$6="",G60&gt;='설정'!$C$6),OR('설정'!$D$6="",G60&lt;'설정'!$D$6),OR('설정'!$E$6="",H60&gt;='설정'!$E$6),OR('설정'!$F$6="",H60&lt;'설정'!$F$6)),'설정'!$B$6,IF(AND(OR('설정'!$C$7="",G60&gt;='설정'!$C$7),OR('설정'!$D$7="",G60&lt;'설정'!$D$7),OR('설정'!$E$7="",H60&gt;='설정'!$E$7),OR('설정'!$F$7="",H60&lt;'설정'!$F$7)),'설정'!$B$7,IF(AND(OR('설정'!$C$8="",G60&gt;='설정'!$C$8),OR('설정'!$D$8="",G60&lt;'설정'!$D$8),OR('설정'!$E$8="",H60&gt;='설정'!$E$8),OR('설정'!$F$8="",H60&lt;'설정'!$F$8)),'설정'!$B$8,'설정'!$B$9)))))</f>
        <v/>
      </c>
      <c r="L60" s="29">
        <f>IF(OR(G60="",H60=""),"",IF(SUMPRODUCT(ISNUMBER('설정'!$C$6:$D$8)*(ABS(G60-'설정'!$C$6:$D$8)&lt;='설정'!$C$15))+SUMPRODUCT(ISNUMBER('설정'!$E$6:$F$8)*(ABS(H60-'설정'!$E$6:$F$8)&lt;='설정'!$C$15))&gt;0,"경계",""))</f>
        <v/>
      </c>
      <c r="M60" s="7" t="n"/>
      <c r="N60" s="7" t="n"/>
      <c r="O60" s="27">
        <f>IF(M60&lt;&gt;"",M60,K60)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IF(I61="","",COUNTIF($I$7:$I$86,"&gt;"&amp;I61)+1)</f>
        <v/>
      </c>
      <c r="K61" s="27">
        <f>IF(I61="","",IF(OR(G61="",H61=""),'설정'!$B$9,IF(AND(OR('설정'!$C$6="",G61&gt;='설정'!$C$6),OR('설정'!$D$6="",G61&lt;'설정'!$D$6),OR('설정'!$E$6="",H61&gt;='설정'!$E$6),OR('설정'!$F$6="",H61&lt;'설정'!$F$6)),'설정'!$B$6,IF(AND(OR('설정'!$C$7="",G61&gt;='설정'!$C$7),OR('설정'!$D$7="",G61&lt;'설정'!$D$7),OR('설정'!$E$7="",H61&gt;='설정'!$E$7),OR('설정'!$F$7="",H61&lt;'설정'!$F$7)),'설정'!$B$7,IF(AND(OR('설정'!$C$8="",G61&gt;='설정'!$C$8),OR('설정'!$D$8="",G61&lt;'설정'!$D$8),OR('설정'!$E$8="",H61&gt;='설정'!$E$8),OR('설정'!$F$8="",H61&lt;'설정'!$F$8)),'설정'!$B$8,'설정'!$B$9)))))</f>
        <v/>
      </c>
      <c r="L61" s="29">
        <f>IF(OR(G61="",H61=""),"",IF(SUMPRODUCT(ISNUMBER('설정'!$C$6:$D$8)*(ABS(G61-'설정'!$C$6:$D$8)&lt;='설정'!$C$15))+SUMPRODUCT(ISNUMBER('설정'!$E$6:$F$8)*(ABS(H61-'설정'!$E$6:$F$8)&lt;='설정'!$C$15))&gt;0,"경계",""))</f>
        <v/>
      </c>
      <c r="M61" s="7" t="n"/>
      <c r="N61" s="7" t="n"/>
      <c r="O61" s="27">
        <f>IF(M61&lt;&gt;"",M61,K61)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IF(I62="","",COUNTIF($I$7:$I$86,"&gt;"&amp;I62)+1)</f>
        <v/>
      </c>
      <c r="K62" s="27">
        <f>IF(I62="","",IF(OR(G62="",H62=""),'설정'!$B$9,IF(AND(OR('설정'!$C$6="",G62&gt;='설정'!$C$6),OR('설정'!$D$6="",G62&lt;'설정'!$D$6),OR('설정'!$E$6="",H62&gt;='설정'!$E$6),OR('설정'!$F$6="",H62&lt;'설정'!$F$6)),'설정'!$B$6,IF(AND(OR('설정'!$C$7="",G62&gt;='설정'!$C$7),OR('설정'!$D$7="",G62&lt;'설정'!$D$7),OR('설정'!$E$7="",H62&gt;='설정'!$E$7),OR('설정'!$F$7="",H62&lt;'설정'!$F$7)),'설정'!$B$7,IF(AND(OR('설정'!$C$8="",G62&gt;='설정'!$C$8),OR('설정'!$D$8="",G62&lt;'설정'!$D$8),OR('설정'!$E$8="",H62&gt;='설정'!$E$8),OR('설정'!$F$8="",H62&lt;'설정'!$F$8)),'설정'!$B$8,'설정'!$B$9)))))</f>
        <v/>
      </c>
      <c r="L62" s="29">
        <f>IF(OR(G62="",H62=""),"",IF(SUMPRODUCT(ISNUMBER('설정'!$C$6:$D$8)*(ABS(G62-'설정'!$C$6:$D$8)&lt;='설정'!$C$15))+SUMPRODUCT(ISNUMBER('설정'!$E$6:$F$8)*(ABS(H62-'설정'!$E$6:$F$8)&lt;='설정'!$C$15))&gt;0,"경계",""))</f>
        <v/>
      </c>
      <c r="M62" s="7" t="n"/>
      <c r="N62" s="7" t="n"/>
      <c r="O62" s="27">
        <f>IF(M62&lt;&gt;"",M62,K62)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IF(I63="","",COUNTIF($I$7:$I$86,"&gt;"&amp;I63)+1)</f>
        <v/>
      </c>
      <c r="K63" s="27">
        <f>IF(I63="","",IF(OR(G63="",H63=""),'설정'!$B$9,IF(AND(OR('설정'!$C$6="",G63&gt;='설정'!$C$6),OR('설정'!$D$6="",G63&lt;'설정'!$D$6),OR('설정'!$E$6="",H63&gt;='설정'!$E$6),OR('설정'!$F$6="",H63&lt;'설정'!$F$6)),'설정'!$B$6,IF(AND(OR('설정'!$C$7="",G63&gt;='설정'!$C$7),OR('설정'!$D$7="",G63&lt;'설정'!$D$7),OR('설정'!$E$7="",H63&gt;='설정'!$E$7),OR('설정'!$F$7="",H63&lt;'설정'!$F$7)),'설정'!$B$7,IF(AND(OR('설정'!$C$8="",G63&gt;='설정'!$C$8),OR('설정'!$D$8="",G63&lt;'설정'!$D$8),OR('설정'!$E$8="",H63&gt;='설정'!$E$8),OR('설정'!$F$8="",H63&lt;'설정'!$F$8)),'설정'!$B$8,'설정'!$B$9)))))</f>
        <v/>
      </c>
      <c r="L63" s="29">
        <f>IF(OR(G63="",H63=""),"",IF(SUMPRODUCT(ISNUMBER('설정'!$C$6:$D$8)*(ABS(G63-'설정'!$C$6:$D$8)&lt;='설정'!$C$15))+SUMPRODUCT(ISNUMBER('설정'!$E$6:$F$8)*(ABS(H63-'설정'!$E$6:$F$8)&lt;='설정'!$C$15))&gt;0,"경계",""))</f>
        <v/>
      </c>
      <c r="M63" s="7" t="n"/>
      <c r="N63" s="7" t="n"/>
      <c r="O63" s="27">
        <f>IF(M63&lt;&gt;"",M63,K63)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IF(I64="","",COUNTIF($I$7:$I$86,"&gt;"&amp;I64)+1)</f>
        <v/>
      </c>
      <c r="K64" s="27">
        <f>IF(I64="","",IF(OR(G64="",H64=""),'설정'!$B$9,IF(AND(OR('설정'!$C$6="",G64&gt;='설정'!$C$6),OR('설정'!$D$6="",G64&lt;'설정'!$D$6),OR('설정'!$E$6="",H64&gt;='설정'!$E$6),OR('설정'!$F$6="",H64&lt;'설정'!$F$6)),'설정'!$B$6,IF(AND(OR('설정'!$C$7="",G64&gt;='설정'!$C$7),OR('설정'!$D$7="",G64&lt;'설정'!$D$7),OR('설정'!$E$7="",H64&gt;='설정'!$E$7),OR('설정'!$F$7="",H64&lt;'설정'!$F$7)),'설정'!$B$7,IF(AND(OR('설정'!$C$8="",G64&gt;='설정'!$C$8),OR('설정'!$D$8="",G64&lt;'설정'!$D$8),OR('설정'!$E$8="",H64&gt;='설정'!$E$8),OR('설정'!$F$8="",H64&lt;'설정'!$F$8)),'설정'!$B$8,'설정'!$B$9)))))</f>
        <v/>
      </c>
      <c r="L64" s="29">
        <f>IF(OR(G64="",H64=""),"",IF(SUMPRODUCT(ISNUMBER('설정'!$C$6:$D$8)*(ABS(G64-'설정'!$C$6:$D$8)&lt;='설정'!$C$15))+SUMPRODUCT(ISNUMBER('설정'!$E$6:$F$8)*(ABS(H64-'설정'!$E$6:$F$8)&lt;='설정'!$C$15))&gt;0,"경계",""))</f>
        <v/>
      </c>
      <c r="M64" s="7" t="n"/>
      <c r="N64" s="7" t="n"/>
      <c r="O64" s="27">
        <f>IF(M64&lt;&gt;"",M64,K64)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IF(I65="","",COUNTIF($I$7:$I$86,"&gt;"&amp;I65)+1)</f>
        <v/>
      </c>
      <c r="K65" s="27">
        <f>IF(I65="","",IF(OR(G65="",H65=""),'설정'!$B$9,IF(AND(OR('설정'!$C$6="",G65&gt;='설정'!$C$6),OR('설정'!$D$6="",G65&lt;'설정'!$D$6),OR('설정'!$E$6="",H65&gt;='설정'!$E$6),OR('설정'!$F$6="",H65&lt;'설정'!$F$6)),'설정'!$B$6,IF(AND(OR('설정'!$C$7="",G65&gt;='설정'!$C$7),OR('설정'!$D$7="",G65&lt;'설정'!$D$7),OR('설정'!$E$7="",H65&gt;='설정'!$E$7),OR('설정'!$F$7="",H65&lt;'설정'!$F$7)),'설정'!$B$7,IF(AND(OR('설정'!$C$8="",G65&gt;='설정'!$C$8),OR('설정'!$D$8="",G65&lt;'설정'!$D$8),OR('설정'!$E$8="",H65&gt;='설정'!$E$8),OR('설정'!$F$8="",H65&lt;'설정'!$F$8)),'설정'!$B$8,'설정'!$B$9)))))</f>
        <v/>
      </c>
      <c r="L65" s="29">
        <f>IF(OR(G65="",H65=""),"",IF(SUMPRODUCT(ISNUMBER('설정'!$C$6:$D$8)*(ABS(G65-'설정'!$C$6:$D$8)&lt;='설정'!$C$15))+SUMPRODUCT(ISNUMBER('설정'!$E$6:$F$8)*(ABS(H65-'설정'!$E$6:$F$8)&lt;='설정'!$C$15))&gt;0,"경계",""))</f>
        <v/>
      </c>
      <c r="M65" s="7" t="n"/>
      <c r="N65" s="7" t="n"/>
      <c r="O65" s="27">
        <f>IF(M65&lt;&gt;"",M65,K65)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IF(I66="","",COUNTIF($I$7:$I$86,"&gt;"&amp;I66)+1)</f>
        <v/>
      </c>
      <c r="K66" s="27">
        <f>IF(I66="","",IF(OR(G66="",H66=""),'설정'!$B$9,IF(AND(OR('설정'!$C$6="",G66&gt;='설정'!$C$6),OR('설정'!$D$6="",G66&lt;'설정'!$D$6),OR('설정'!$E$6="",H66&gt;='설정'!$E$6),OR('설정'!$F$6="",H66&lt;'설정'!$F$6)),'설정'!$B$6,IF(AND(OR('설정'!$C$7="",G66&gt;='설정'!$C$7),OR('설정'!$D$7="",G66&lt;'설정'!$D$7),OR('설정'!$E$7="",H66&gt;='설정'!$E$7),OR('설정'!$F$7="",H66&lt;'설정'!$F$7)),'설정'!$B$7,IF(AND(OR('설정'!$C$8="",G66&gt;='설정'!$C$8),OR('설정'!$D$8="",G66&lt;'설정'!$D$8),OR('설정'!$E$8="",H66&gt;='설정'!$E$8),OR('설정'!$F$8="",H66&lt;'설정'!$F$8)),'설정'!$B$8,'설정'!$B$9)))))</f>
        <v/>
      </c>
      <c r="L66" s="29">
        <f>IF(OR(G66="",H66=""),"",IF(SUMPRODUCT(ISNUMBER('설정'!$C$6:$D$8)*(ABS(G66-'설정'!$C$6:$D$8)&lt;='설정'!$C$15))+SUMPRODUCT(ISNUMBER('설정'!$E$6:$F$8)*(ABS(H66-'설정'!$E$6:$F$8)&lt;='설정'!$C$15))&gt;0,"경계",""))</f>
        <v/>
      </c>
      <c r="M66" s="7" t="n"/>
      <c r="N66" s="7" t="n"/>
      <c r="O66" s="27">
        <f>IF(M66&lt;&gt;"",M66,K66)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IF(I67="","",COUNTIF($I$7:$I$86,"&gt;"&amp;I67)+1)</f>
        <v/>
      </c>
      <c r="K67" s="27">
        <f>IF(I67="","",IF(OR(G67="",H67=""),'설정'!$B$9,IF(AND(OR('설정'!$C$6="",G67&gt;='설정'!$C$6),OR('설정'!$D$6="",G67&lt;'설정'!$D$6),OR('설정'!$E$6="",H67&gt;='설정'!$E$6),OR('설정'!$F$6="",H67&lt;'설정'!$F$6)),'설정'!$B$6,IF(AND(OR('설정'!$C$7="",G67&gt;='설정'!$C$7),OR('설정'!$D$7="",G67&lt;'설정'!$D$7),OR('설정'!$E$7="",H67&gt;='설정'!$E$7),OR('설정'!$F$7="",H67&lt;'설정'!$F$7)),'설정'!$B$7,IF(AND(OR('설정'!$C$8="",G67&gt;='설정'!$C$8),OR('설정'!$D$8="",G67&lt;'설정'!$D$8),OR('설정'!$E$8="",H67&gt;='설정'!$E$8),OR('설정'!$F$8="",H67&lt;'설정'!$F$8)),'설정'!$B$8,'설정'!$B$9)))))</f>
        <v/>
      </c>
      <c r="L67" s="29">
        <f>IF(OR(G67="",H67=""),"",IF(SUMPRODUCT(ISNUMBER('설정'!$C$6:$D$8)*(ABS(G67-'설정'!$C$6:$D$8)&lt;='설정'!$C$15))+SUMPRODUCT(ISNUMBER('설정'!$E$6:$F$8)*(ABS(H67-'설정'!$E$6:$F$8)&lt;='설정'!$C$15))&gt;0,"경계",""))</f>
        <v/>
      </c>
      <c r="M67" s="7" t="n"/>
      <c r="N67" s="7" t="n"/>
      <c r="O67" s="27">
        <f>IF(M67&lt;&gt;"",M67,K67)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IF(I68="","",COUNTIF($I$7:$I$86,"&gt;"&amp;I68)+1)</f>
        <v/>
      </c>
      <c r="K68" s="27">
        <f>IF(I68="","",IF(OR(G68="",H68=""),'설정'!$B$9,IF(AND(OR('설정'!$C$6="",G68&gt;='설정'!$C$6),OR('설정'!$D$6="",G68&lt;'설정'!$D$6),OR('설정'!$E$6="",H68&gt;='설정'!$E$6),OR('설정'!$F$6="",H68&lt;'설정'!$F$6)),'설정'!$B$6,IF(AND(OR('설정'!$C$7="",G68&gt;='설정'!$C$7),OR('설정'!$D$7="",G68&lt;'설정'!$D$7),OR('설정'!$E$7="",H68&gt;='설정'!$E$7),OR('설정'!$F$7="",H68&lt;'설정'!$F$7)),'설정'!$B$7,IF(AND(OR('설정'!$C$8="",G68&gt;='설정'!$C$8),OR('설정'!$D$8="",G68&lt;'설정'!$D$8),OR('설정'!$E$8="",H68&gt;='설정'!$E$8),OR('설정'!$F$8="",H68&lt;'설정'!$F$8)),'설정'!$B$8,'설정'!$B$9)))))</f>
        <v/>
      </c>
      <c r="L68" s="29">
        <f>IF(OR(G68="",H68=""),"",IF(SUMPRODUCT(ISNUMBER('설정'!$C$6:$D$8)*(ABS(G68-'설정'!$C$6:$D$8)&lt;='설정'!$C$15))+SUMPRODUCT(ISNUMBER('설정'!$E$6:$F$8)*(ABS(H68-'설정'!$E$6:$F$8)&lt;='설정'!$C$15))&gt;0,"경계",""))</f>
        <v/>
      </c>
      <c r="M68" s="7" t="n"/>
      <c r="N68" s="7" t="n"/>
      <c r="O68" s="27">
        <f>IF(M68&lt;&gt;"",M68,K68)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IF(I69="","",COUNTIF($I$7:$I$86,"&gt;"&amp;I69)+1)</f>
        <v/>
      </c>
      <c r="K69" s="27">
        <f>IF(I69="","",IF(OR(G69="",H69=""),'설정'!$B$9,IF(AND(OR('설정'!$C$6="",G69&gt;='설정'!$C$6),OR('설정'!$D$6="",G69&lt;'설정'!$D$6),OR('설정'!$E$6="",H69&gt;='설정'!$E$6),OR('설정'!$F$6="",H69&lt;'설정'!$F$6)),'설정'!$B$6,IF(AND(OR('설정'!$C$7="",G69&gt;='설정'!$C$7),OR('설정'!$D$7="",G69&lt;'설정'!$D$7),OR('설정'!$E$7="",H69&gt;='설정'!$E$7),OR('설정'!$F$7="",H69&lt;'설정'!$F$7)),'설정'!$B$7,IF(AND(OR('설정'!$C$8="",G69&gt;='설정'!$C$8),OR('설정'!$D$8="",G69&lt;'설정'!$D$8),OR('설정'!$E$8="",H69&gt;='설정'!$E$8),OR('설정'!$F$8="",H69&lt;'설정'!$F$8)),'설정'!$B$8,'설정'!$B$9)))))</f>
        <v/>
      </c>
      <c r="L69" s="29">
        <f>IF(OR(G69="",H69=""),"",IF(SUMPRODUCT(ISNUMBER('설정'!$C$6:$D$8)*(ABS(G69-'설정'!$C$6:$D$8)&lt;='설정'!$C$15))+SUMPRODUCT(ISNUMBER('설정'!$E$6:$F$8)*(ABS(H69-'설정'!$E$6:$F$8)&lt;='설정'!$C$15))&gt;0,"경계",""))</f>
        <v/>
      </c>
      <c r="M69" s="7" t="n"/>
      <c r="N69" s="7" t="n"/>
      <c r="O69" s="27">
        <f>IF(M69&lt;&gt;"",M69,K69)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IF(I70="","",COUNTIF($I$7:$I$86,"&gt;"&amp;I70)+1)</f>
        <v/>
      </c>
      <c r="K70" s="27">
        <f>IF(I70="","",IF(OR(G70="",H70=""),'설정'!$B$9,IF(AND(OR('설정'!$C$6="",G70&gt;='설정'!$C$6),OR('설정'!$D$6="",G70&lt;'설정'!$D$6),OR('설정'!$E$6="",H70&gt;='설정'!$E$6),OR('설정'!$F$6="",H70&lt;'설정'!$F$6)),'설정'!$B$6,IF(AND(OR('설정'!$C$7="",G70&gt;='설정'!$C$7),OR('설정'!$D$7="",G70&lt;'설정'!$D$7),OR('설정'!$E$7="",H70&gt;='설정'!$E$7),OR('설정'!$F$7="",H70&lt;'설정'!$F$7)),'설정'!$B$7,IF(AND(OR('설정'!$C$8="",G70&gt;='설정'!$C$8),OR('설정'!$D$8="",G70&lt;'설정'!$D$8),OR('설정'!$E$8="",H70&gt;='설정'!$E$8),OR('설정'!$F$8="",H70&lt;'설정'!$F$8)),'설정'!$B$8,'설정'!$B$9)))))</f>
        <v/>
      </c>
      <c r="L70" s="29">
        <f>IF(OR(G70="",H70=""),"",IF(SUMPRODUCT(ISNUMBER('설정'!$C$6:$D$8)*(ABS(G70-'설정'!$C$6:$D$8)&lt;='설정'!$C$15))+SUMPRODUCT(ISNUMBER('설정'!$E$6:$F$8)*(ABS(H70-'설정'!$E$6:$F$8)&lt;='설정'!$C$15))&gt;0,"경계",""))</f>
        <v/>
      </c>
      <c r="M70" s="7" t="n"/>
      <c r="N70" s="7" t="n"/>
      <c r="O70" s="27">
        <f>IF(M70&lt;&gt;"",M70,K70)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IF(I71="","",COUNTIF($I$7:$I$86,"&gt;"&amp;I71)+1)</f>
        <v/>
      </c>
      <c r="K71" s="27">
        <f>IF(I71="","",IF(OR(G71="",H71=""),'설정'!$B$9,IF(AND(OR('설정'!$C$6="",G71&gt;='설정'!$C$6),OR('설정'!$D$6="",G71&lt;'설정'!$D$6),OR('설정'!$E$6="",H71&gt;='설정'!$E$6),OR('설정'!$F$6="",H71&lt;'설정'!$F$6)),'설정'!$B$6,IF(AND(OR('설정'!$C$7="",G71&gt;='설정'!$C$7),OR('설정'!$D$7="",G71&lt;'설정'!$D$7),OR('설정'!$E$7="",H71&gt;='설정'!$E$7),OR('설정'!$F$7="",H71&lt;'설정'!$F$7)),'설정'!$B$7,IF(AND(OR('설정'!$C$8="",G71&gt;='설정'!$C$8),OR('설정'!$D$8="",G71&lt;'설정'!$D$8),OR('설정'!$E$8="",H71&gt;='설정'!$E$8),OR('설정'!$F$8="",H71&lt;'설정'!$F$8)),'설정'!$B$8,'설정'!$B$9)))))</f>
        <v/>
      </c>
      <c r="L71" s="29">
        <f>IF(OR(G71="",H71=""),"",IF(SUMPRODUCT(ISNUMBER('설정'!$C$6:$D$8)*(ABS(G71-'설정'!$C$6:$D$8)&lt;='설정'!$C$15))+SUMPRODUCT(ISNUMBER('설정'!$E$6:$F$8)*(ABS(H71-'설정'!$E$6:$F$8)&lt;='설정'!$C$15))&gt;0,"경계",""))</f>
        <v/>
      </c>
      <c r="M71" s="7" t="n"/>
      <c r="N71" s="7" t="n"/>
      <c r="O71" s="27">
        <f>IF(M71&lt;&gt;"",M71,K71)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IF(I72="","",COUNTIF($I$7:$I$86,"&gt;"&amp;I72)+1)</f>
        <v/>
      </c>
      <c r="K72" s="27">
        <f>IF(I72="","",IF(OR(G72="",H72=""),'설정'!$B$9,IF(AND(OR('설정'!$C$6="",G72&gt;='설정'!$C$6),OR('설정'!$D$6="",G72&lt;'설정'!$D$6),OR('설정'!$E$6="",H72&gt;='설정'!$E$6),OR('설정'!$F$6="",H72&lt;'설정'!$F$6)),'설정'!$B$6,IF(AND(OR('설정'!$C$7="",G72&gt;='설정'!$C$7),OR('설정'!$D$7="",G72&lt;'설정'!$D$7),OR('설정'!$E$7="",H72&gt;='설정'!$E$7),OR('설정'!$F$7="",H72&lt;'설정'!$F$7)),'설정'!$B$7,IF(AND(OR('설정'!$C$8="",G72&gt;='설정'!$C$8),OR('설정'!$D$8="",G72&lt;'설정'!$D$8),OR('설정'!$E$8="",H72&gt;='설정'!$E$8),OR('설정'!$F$8="",H72&lt;'설정'!$F$8)),'설정'!$B$8,'설정'!$B$9)))))</f>
        <v/>
      </c>
      <c r="L72" s="29">
        <f>IF(OR(G72="",H72=""),"",IF(SUMPRODUCT(ISNUMBER('설정'!$C$6:$D$8)*(ABS(G72-'설정'!$C$6:$D$8)&lt;='설정'!$C$15))+SUMPRODUCT(ISNUMBER('설정'!$E$6:$F$8)*(ABS(H72-'설정'!$E$6:$F$8)&lt;='설정'!$C$15))&gt;0,"경계",""))</f>
        <v/>
      </c>
      <c r="M72" s="7" t="n"/>
      <c r="N72" s="7" t="n"/>
      <c r="O72" s="27">
        <f>IF(M72&lt;&gt;"",M72,K72)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IF(I73="","",COUNTIF($I$7:$I$86,"&gt;"&amp;I73)+1)</f>
        <v/>
      </c>
      <c r="K73" s="27">
        <f>IF(I73="","",IF(OR(G73="",H73=""),'설정'!$B$9,IF(AND(OR('설정'!$C$6="",G73&gt;='설정'!$C$6),OR('설정'!$D$6="",G73&lt;'설정'!$D$6),OR('설정'!$E$6="",H73&gt;='설정'!$E$6),OR('설정'!$F$6="",H73&lt;'설정'!$F$6)),'설정'!$B$6,IF(AND(OR('설정'!$C$7="",G73&gt;='설정'!$C$7),OR('설정'!$D$7="",G73&lt;'설정'!$D$7),OR('설정'!$E$7="",H73&gt;='설정'!$E$7),OR('설정'!$F$7="",H73&lt;'설정'!$F$7)),'설정'!$B$7,IF(AND(OR('설정'!$C$8="",G73&gt;='설정'!$C$8),OR('설정'!$D$8="",G73&lt;'설정'!$D$8),OR('설정'!$E$8="",H73&gt;='설정'!$E$8),OR('설정'!$F$8="",H73&lt;'설정'!$F$8)),'설정'!$B$8,'설정'!$B$9)))))</f>
        <v/>
      </c>
      <c r="L73" s="29">
        <f>IF(OR(G73="",H73=""),"",IF(SUMPRODUCT(ISNUMBER('설정'!$C$6:$D$8)*(ABS(G73-'설정'!$C$6:$D$8)&lt;='설정'!$C$15))+SUMPRODUCT(ISNUMBER('설정'!$E$6:$F$8)*(ABS(H73-'설정'!$E$6:$F$8)&lt;='설정'!$C$15))&gt;0,"경계",""))</f>
        <v/>
      </c>
      <c r="M73" s="7" t="n"/>
      <c r="N73" s="7" t="n"/>
      <c r="O73" s="27">
        <f>IF(M73&lt;&gt;"",M73,K73)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IF(I74="","",COUNTIF($I$7:$I$86,"&gt;"&amp;I74)+1)</f>
        <v/>
      </c>
      <c r="K74" s="27">
        <f>IF(I74="","",IF(OR(G74="",H74=""),'설정'!$B$9,IF(AND(OR('설정'!$C$6="",G74&gt;='설정'!$C$6),OR('설정'!$D$6="",G74&lt;'설정'!$D$6),OR('설정'!$E$6="",H74&gt;='설정'!$E$6),OR('설정'!$F$6="",H74&lt;'설정'!$F$6)),'설정'!$B$6,IF(AND(OR('설정'!$C$7="",G74&gt;='설정'!$C$7),OR('설정'!$D$7="",G74&lt;'설정'!$D$7),OR('설정'!$E$7="",H74&gt;='설정'!$E$7),OR('설정'!$F$7="",H74&lt;'설정'!$F$7)),'설정'!$B$7,IF(AND(OR('설정'!$C$8="",G74&gt;='설정'!$C$8),OR('설정'!$D$8="",G74&lt;'설정'!$D$8),OR('설정'!$E$8="",H74&gt;='설정'!$E$8),OR('설정'!$F$8="",H74&lt;'설정'!$F$8)),'설정'!$B$8,'설정'!$B$9)))))</f>
        <v/>
      </c>
      <c r="L74" s="29">
        <f>IF(OR(G74="",H74=""),"",IF(SUMPRODUCT(ISNUMBER('설정'!$C$6:$D$8)*(ABS(G74-'설정'!$C$6:$D$8)&lt;='설정'!$C$15))+SUMPRODUCT(ISNUMBER('설정'!$E$6:$F$8)*(ABS(H74-'설정'!$E$6:$F$8)&lt;='설정'!$C$15))&gt;0,"경계",""))</f>
        <v/>
      </c>
      <c r="M74" s="7" t="n"/>
      <c r="N74" s="7" t="n"/>
      <c r="O74" s="27">
        <f>IF(M74&lt;&gt;"",M74,K74)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IF(I75="","",COUNTIF($I$7:$I$86,"&gt;"&amp;I75)+1)</f>
        <v/>
      </c>
      <c r="K75" s="27">
        <f>IF(I75="","",IF(OR(G75="",H75=""),'설정'!$B$9,IF(AND(OR('설정'!$C$6="",G75&gt;='설정'!$C$6),OR('설정'!$D$6="",G75&lt;'설정'!$D$6),OR('설정'!$E$6="",H75&gt;='설정'!$E$6),OR('설정'!$F$6="",H75&lt;'설정'!$F$6)),'설정'!$B$6,IF(AND(OR('설정'!$C$7="",G75&gt;='설정'!$C$7),OR('설정'!$D$7="",G75&lt;'설정'!$D$7),OR('설정'!$E$7="",H75&gt;='설정'!$E$7),OR('설정'!$F$7="",H75&lt;'설정'!$F$7)),'설정'!$B$7,IF(AND(OR('설정'!$C$8="",G75&gt;='설정'!$C$8),OR('설정'!$D$8="",G75&lt;'설정'!$D$8),OR('설정'!$E$8="",H75&gt;='설정'!$E$8),OR('설정'!$F$8="",H75&lt;'설정'!$F$8)),'설정'!$B$8,'설정'!$B$9)))))</f>
        <v/>
      </c>
      <c r="L75" s="29">
        <f>IF(OR(G75="",H75=""),"",IF(SUMPRODUCT(ISNUMBER('설정'!$C$6:$D$8)*(ABS(G75-'설정'!$C$6:$D$8)&lt;='설정'!$C$15))+SUMPRODUCT(ISNUMBER('설정'!$E$6:$F$8)*(ABS(H75-'설정'!$E$6:$F$8)&lt;='설정'!$C$15))&gt;0,"경계",""))</f>
        <v/>
      </c>
      <c r="M75" s="7" t="n"/>
      <c r="N75" s="7" t="n"/>
      <c r="O75" s="27">
        <f>IF(M75&lt;&gt;"",M75,K75)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IF(I76="","",COUNTIF($I$7:$I$86,"&gt;"&amp;I76)+1)</f>
        <v/>
      </c>
      <c r="K76" s="27">
        <f>IF(I76="","",IF(OR(G76="",H76=""),'설정'!$B$9,IF(AND(OR('설정'!$C$6="",G76&gt;='설정'!$C$6),OR('설정'!$D$6="",G76&lt;'설정'!$D$6),OR('설정'!$E$6="",H76&gt;='설정'!$E$6),OR('설정'!$F$6="",H76&lt;'설정'!$F$6)),'설정'!$B$6,IF(AND(OR('설정'!$C$7="",G76&gt;='설정'!$C$7),OR('설정'!$D$7="",G76&lt;'설정'!$D$7),OR('설정'!$E$7="",H76&gt;='설정'!$E$7),OR('설정'!$F$7="",H76&lt;'설정'!$F$7)),'설정'!$B$7,IF(AND(OR('설정'!$C$8="",G76&gt;='설정'!$C$8),OR('설정'!$D$8="",G76&lt;'설정'!$D$8),OR('설정'!$E$8="",H76&gt;='설정'!$E$8),OR('설정'!$F$8="",H76&lt;'설정'!$F$8)),'설정'!$B$8,'설정'!$B$9)))))</f>
        <v/>
      </c>
      <c r="L76" s="29">
        <f>IF(OR(G76="",H76=""),"",IF(SUMPRODUCT(ISNUMBER('설정'!$C$6:$D$8)*(ABS(G76-'설정'!$C$6:$D$8)&lt;='설정'!$C$15))+SUMPRODUCT(ISNUMBER('설정'!$E$6:$F$8)*(ABS(H76-'설정'!$E$6:$F$8)&lt;='설정'!$C$15))&gt;0,"경계",""))</f>
        <v/>
      </c>
      <c r="M76" s="7" t="n"/>
      <c r="N76" s="7" t="n"/>
      <c r="O76" s="27">
        <f>IF(M76&lt;&gt;"",M76,K76)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IF(I77="","",COUNTIF($I$7:$I$86,"&gt;"&amp;I77)+1)</f>
        <v/>
      </c>
      <c r="K77" s="27">
        <f>IF(I77="","",IF(OR(G77="",H77=""),'설정'!$B$9,IF(AND(OR('설정'!$C$6="",G77&gt;='설정'!$C$6),OR('설정'!$D$6="",G77&lt;'설정'!$D$6),OR('설정'!$E$6="",H77&gt;='설정'!$E$6),OR('설정'!$F$6="",H77&lt;'설정'!$F$6)),'설정'!$B$6,IF(AND(OR('설정'!$C$7="",G77&gt;='설정'!$C$7),OR('설정'!$D$7="",G77&lt;'설정'!$D$7),OR('설정'!$E$7="",H77&gt;='설정'!$E$7),OR('설정'!$F$7="",H77&lt;'설정'!$F$7)),'설정'!$B$7,IF(AND(OR('설정'!$C$8="",G77&gt;='설정'!$C$8),OR('설정'!$D$8="",G77&lt;'설정'!$D$8),OR('설정'!$E$8="",H77&gt;='설정'!$E$8),OR('설정'!$F$8="",H77&lt;'설정'!$F$8)),'설정'!$B$8,'설정'!$B$9)))))</f>
        <v/>
      </c>
      <c r="L77" s="29">
        <f>IF(OR(G77="",H77=""),"",IF(SUMPRODUCT(ISNUMBER('설정'!$C$6:$D$8)*(ABS(G77-'설정'!$C$6:$D$8)&lt;='설정'!$C$15))+SUMPRODUCT(ISNUMBER('설정'!$E$6:$F$8)*(ABS(H77-'설정'!$E$6:$F$8)&lt;='설정'!$C$15))&gt;0,"경계",""))</f>
        <v/>
      </c>
      <c r="M77" s="7" t="n"/>
      <c r="N77" s="7" t="n"/>
      <c r="O77" s="27">
        <f>IF(M77&lt;&gt;"",M77,K77)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IF(I78="","",COUNTIF($I$7:$I$86,"&gt;"&amp;I78)+1)</f>
        <v/>
      </c>
      <c r="K78" s="27">
        <f>IF(I78="","",IF(OR(G78="",H78=""),'설정'!$B$9,IF(AND(OR('설정'!$C$6="",G78&gt;='설정'!$C$6),OR('설정'!$D$6="",G78&lt;'설정'!$D$6),OR('설정'!$E$6="",H78&gt;='설정'!$E$6),OR('설정'!$F$6="",H78&lt;'설정'!$F$6)),'설정'!$B$6,IF(AND(OR('설정'!$C$7="",G78&gt;='설정'!$C$7),OR('설정'!$D$7="",G78&lt;'설정'!$D$7),OR('설정'!$E$7="",H78&gt;='설정'!$E$7),OR('설정'!$F$7="",H78&lt;'설정'!$F$7)),'설정'!$B$7,IF(AND(OR('설정'!$C$8="",G78&gt;='설정'!$C$8),OR('설정'!$D$8="",G78&lt;'설정'!$D$8),OR('설정'!$E$8="",H78&gt;='설정'!$E$8),OR('설정'!$F$8="",H78&lt;'설정'!$F$8)),'설정'!$B$8,'설정'!$B$9)))))</f>
        <v/>
      </c>
      <c r="L78" s="29">
        <f>IF(OR(G78="",H78=""),"",IF(SUMPRODUCT(ISNUMBER('설정'!$C$6:$D$8)*(ABS(G78-'설정'!$C$6:$D$8)&lt;='설정'!$C$15))+SUMPRODUCT(ISNUMBER('설정'!$E$6:$F$8)*(ABS(H78-'설정'!$E$6:$F$8)&lt;='설정'!$C$15))&gt;0,"경계",""))</f>
        <v/>
      </c>
      <c r="M78" s="7" t="n"/>
      <c r="N78" s="7" t="n"/>
      <c r="O78" s="27">
        <f>IF(M78&lt;&gt;"",M78,K78)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IF(I79="","",COUNTIF($I$7:$I$86,"&gt;"&amp;I79)+1)</f>
        <v/>
      </c>
      <c r="K79" s="27">
        <f>IF(I79="","",IF(OR(G79="",H79=""),'설정'!$B$9,IF(AND(OR('설정'!$C$6="",G79&gt;='설정'!$C$6),OR('설정'!$D$6="",G79&lt;'설정'!$D$6),OR('설정'!$E$6="",H79&gt;='설정'!$E$6),OR('설정'!$F$6="",H79&lt;'설정'!$F$6)),'설정'!$B$6,IF(AND(OR('설정'!$C$7="",G79&gt;='설정'!$C$7),OR('설정'!$D$7="",G79&lt;'설정'!$D$7),OR('설정'!$E$7="",H79&gt;='설정'!$E$7),OR('설정'!$F$7="",H79&lt;'설정'!$F$7)),'설정'!$B$7,IF(AND(OR('설정'!$C$8="",G79&gt;='설정'!$C$8),OR('설정'!$D$8="",G79&lt;'설정'!$D$8),OR('설정'!$E$8="",H79&gt;='설정'!$E$8),OR('설정'!$F$8="",H79&lt;'설정'!$F$8)),'설정'!$B$8,'설정'!$B$9)))))</f>
        <v/>
      </c>
      <c r="L79" s="29">
        <f>IF(OR(G79="",H79=""),"",IF(SUMPRODUCT(ISNUMBER('설정'!$C$6:$D$8)*(ABS(G79-'설정'!$C$6:$D$8)&lt;='설정'!$C$15))+SUMPRODUCT(ISNUMBER('설정'!$E$6:$F$8)*(ABS(H79-'설정'!$E$6:$F$8)&lt;='설정'!$C$15))&gt;0,"경계",""))</f>
        <v/>
      </c>
      <c r="M79" s="7" t="n"/>
      <c r="N79" s="7" t="n"/>
      <c r="O79" s="27">
        <f>IF(M79&lt;&gt;"",M79,K79)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IF(I80="","",COUNTIF($I$7:$I$86,"&gt;"&amp;I80)+1)</f>
        <v/>
      </c>
      <c r="K80" s="27">
        <f>IF(I80="","",IF(OR(G80="",H80=""),'설정'!$B$9,IF(AND(OR('설정'!$C$6="",G80&gt;='설정'!$C$6),OR('설정'!$D$6="",G80&lt;'설정'!$D$6),OR('설정'!$E$6="",H80&gt;='설정'!$E$6),OR('설정'!$F$6="",H80&lt;'설정'!$F$6)),'설정'!$B$6,IF(AND(OR('설정'!$C$7="",G80&gt;='설정'!$C$7),OR('설정'!$D$7="",G80&lt;'설정'!$D$7),OR('설정'!$E$7="",H80&gt;='설정'!$E$7),OR('설정'!$F$7="",H80&lt;'설정'!$F$7)),'설정'!$B$7,IF(AND(OR('설정'!$C$8="",G80&gt;='설정'!$C$8),OR('설정'!$D$8="",G80&lt;'설정'!$D$8),OR('설정'!$E$8="",H80&gt;='설정'!$E$8),OR('설정'!$F$8="",H80&lt;'설정'!$F$8)),'설정'!$B$8,'설정'!$B$9)))))</f>
        <v/>
      </c>
      <c r="L80" s="29">
        <f>IF(OR(G80="",H80=""),"",IF(SUMPRODUCT(ISNUMBER('설정'!$C$6:$D$8)*(ABS(G80-'설정'!$C$6:$D$8)&lt;='설정'!$C$15))+SUMPRODUCT(ISNUMBER('설정'!$E$6:$F$8)*(ABS(H80-'설정'!$E$6:$F$8)&lt;='설정'!$C$15))&gt;0,"경계",""))</f>
        <v/>
      </c>
      <c r="M80" s="7" t="n"/>
      <c r="N80" s="7" t="n"/>
      <c r="O80" s="27">
        <f>IF(M80&lt;&gt;"",M80,K80)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IF(I81="","",COUNTIF($I$7:$I$86,"&gt;"&amp;I81)+1)</f>
        <v/>
      </c>
      <c r="K81" s="27">
        <f>IF(I81="","",IF(OR(G81="",H81=""),'설정'!$B$9,IF(AND(OR('설정'!$C$6="",G81&gt;='설정'!$C$6),OR('설정'!$D$6="",G81&lt;'설정'!$D$6),OR('설정'!$E$6="",H81&gt;='설정'!$E$6),OR('설정'!$F$6="",H81&lt;'설정'!$F$6)),'설정'!$B$6,IF(AND(OR('설정'!$C$7="",G81&gt;='설정'!$C$7),OR('설정'!$D$7="",G81&lt;'설정'!$D$7),OR('설정'!$E$7="",H81&gt;='설정'!$E$7),OR('설정'!$F$7="",H81&lt;'설정'!$F$7)),'설정'!$B$7,IF(AND(OR('설정'!$C$8="",G81&gt;='설정'!$C$8),OR('설정'!$D$8="",G81&lt;'설정'!$D$8),OR('설정'!$E$8="",H81&gt;='설정'!$E$8),OR('설정'!$F$8="",H81&lt;'설정'!$F$8)),'설정'!$B$8,'설정'!$B$9)))))</f>
        <v/>
      </c>
      <c r="L81" s="29">
        <f>IF(OR(G81="",H81=""),"",IF(SUMPRODUCT(ISNUMBER('설정'!$C$6:$D$8)*(ABS(G81-'설정'!$C$6:$D$8)&lt;='설정'!$C$15))+SUMPRODUCT(ISNUMBER('설정'!$E$6:$F$8)*(ABS(H81-'설정'!$E$6:$F$8)&lt;='설정'!$C$15))&gt;0,"경계",""))</f>
        <v/>
      </c>
      <c r="M81" s="7" t="n"/>
      <c r="N81" s="7" t="n"/>
      <c r="O81" s="27">
        <f>IF(M81&lt;&gt;"",M81,K81)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IF(I82="","",COUNTIF($I$7:$I$86,"&gt;"&amp;I82)+1)</f>
        <v/>
      </c>
      <c r="K82" s="27">
        <f>IF(I82="","",IF(OR(G82="",H82=""),'설정'!$B$9,IF(AND(OR('설정'!$C$6="",G82&gt;='설정'!$C$6),OR('설정'!$D$6="",G82&lt;'설정'!$D$6),OR('설정'!$E$6="",H82&gt;='설정'!$E$6),OR('설정'!$F$6="",H82&lt;'설정'!$F$6)),'설정'!$B$6,IF(AND(OR('설정'!$C$7="",G82&gt;='설정'!$C$7),OR('설정'!$D$7="",G82&lt;'설정'!$D$7),OR('설정'!$E$7="",H82&gt;='설정'!$E$7),OR('설정'!$F$7="",H82&lt;'설정'!$F$7)),'설정'!$B$7,IF(AND(OR('설정'!$C$8="",G82&gt;='설정'!$C$8),OR('설정'!$D$8="",G82&lt;'설정'!$D$8),OR('설정'!$E$8="",H82&gt;='설정'!$E$8),OR('설정'!$F$8="",H82&lt;'설정'!$F$8)),'설정'!$B$8,'설정'!$B$9)))))</f>
        <v/>
      </c>
      <c r="L82" s="29">
        <f>IF(OR(G82="",H82=""),"",IF(SUMPRODUCT(ISNUMBER('설정'!$C$6:$D$8)*(ABS(G82-'설정'!$C$6:$D$8)&lt;='설정'!$C$15))+SUMPRODUCT(ISNUMBER('설정'!$E$6:$F$8)*(ABS(H82-'설정'!$E$6:$F$8)&lt;='설정'!$C$15))&gt;0,"경계",""))</f>
        <v/>
      </c>
      <c r="M82" s="7" t="n"/>
      <c r="N82" s="7" t="n"/>
      <c r="O82" s="27">
        <f>IF(M82&lt;&gt;"",M82,K82)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IF(I83="","",COUNTIF($I$7:$I$86,"&gt;"&amp;I83)+1)</f>
        <v/>
      </c>
      <c r="K83" s="27">
        <f>IF(I83="","",IF(OR(G83="",H83=""),'설정'!$B$9,IF(AND(OR('설정'!$C$6="",G83&gt;='설정'!$C$6),OR('설정'!$D$6="",G83&lt;'설정'!$D$6),OR('설정'!$E$6="",H83&gt;='설정'!$E$6),OR('설정'!$F$6="",H83&lt;'설정'!$F$6)),'설정'!$B$6,IF(AND(OR('설정'!$C$7="",G83&gt;='설정'!$C$7),OR('설정'!$D$7="",G83&lt;'설정'!$D$7),OR('설정'!$E$7="",H83&gt;='설정'!$E$7),OR('설정'!$F$7="",H83&lt;'설정'!$F$7)),'설정'!$B$7,IF(AND(OR('설정'!$C$8="",G83&gt;='설정'!$C$8),OR('설정'!$D$8="",G83&lt;'설정'!$D$8),OR('설정'!$E$8="",H83&gt;='설정'!$E$8),OR('설정'!$F$8="",H83&lt;'설정'!$F$8)),'설정'!$B$8,'설정'!$B$9)))))</f>
        <v/>
      </c>
      <c r="L83" s="29">
        <f>IF(OR(G83="",H83=""),"",IF(SUMPRODUCT(ISNUMBER('설정'!$C$6:$D$8)*(ABS(G83-'설정'!$C$6:$D$8)&lt;='설정'!$C$15))+SUMPRODUCT(ISNUMBER('설정'!$E$6:$F$8)*(ABS(H83-'설정'!$E$6:$F$8)&lt;='설정'!$C$15))&gt;0,"경계",""))</f>
        <v/>
      </c>
      <c r="M83" s="7" t="n"/>
      <c r="N83" s="7" t="n"/>
      <c r="O83" s="27">
        <f>IF(M83&lt;&gt;"",M83,K83)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IF(I84="","",COUNTIF($I$7:$I$86,"&gt;"&amp;I84)+1)</f>
        <v/>
      </c>
      <c r="K84" s="27">
        <f>IF(I84="","",IF(OR(G84="",H84=""),'설정'!$B$9,IF(AND(OR('설정'!$C$6="",G84&gt;='설정'!$C$6),OR('설정'!$D$6="",G84&lt;'설정'!$D$6),OR('설정'!$E$6="",H84&gt;='설정'!$E$6),OR('설정'!$F$6="",H84&lt;'설정'!$F$6)),'설정'!$B$6,IF(AND(OR('설정'!$C$7="",G84&gt;='설정'!$C$7),OR('설정'!$D$7="",G84&lt;'설정'!$D$7),OR('설정'!$E$7="",H84&gt;='설정'!$E$7),OR('설정'!$F$7="",H84&lt;'설정'!$F$7)),'설정'!$B$7,IF(AND(OR('설정'!$C$8="",G84&gt;='설정'!$C$8),OR('설정'!$D$8="",G84&lt;'설정'!$D$8),OR('설정'!$E$8="",H84&gt;='설정'!$E$8),OR('설정'!$F$8="",H84&lt;'설정'!$F$8)),'설정'!$B$8,'설정'!$B$9)))))</f>
        <v/>
      </c>
      <c r="L84" s="29">
        <f>IF(OR(G84="",H84=""),"",IF(SUMPRODUCT(ISNUMBER('설정'!$C$6:$D$8)*(ABS(G84-'설정'!$C$6:$D$8)&lt;='설정'!$C$15))+SUMPRODUCT(ISNUMBER('설정'!$E$6:$F$8)*(ABS(H84-'설정'!$E$6:$F$8)&lt;='설정'!$C$15))&gt;0,"경계",""))</f>
        <v/>
      </c>
      <c r="M84" s="7" t="n"/>
      <c r="N84" s="7" t="n"/>
      <c r="O84" s="27">
        <f>IF(M84&lt;&gt;"",M84,K84)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IF(I85="","",COUNTIF($I$7:$I$86,"&gt;"&amp;I85)+1)</f>
        <v/>
      </c>
      <c r="K85" s="27">
        <f>IF(I85="","",IF(OR(G85="",H85=""),'설정'!$B$9,IF(AND(OR('설정'!$C$6="",G85&gt;='설정'!$C$6),OR('설정'!$D$6="",G85&lt;'설정'!$D$6),OR('설정'!$E$6="",H85&gt;='설정'!$E$6),OR('설정'!$F$6="",H85&lt;'설정'!$F$6)),'설정'!$B$6,IF(AND(OR('설정'!$C$7="",G85&gt;='설정'!$C$7),OR('설정'!$D$7="",G85&lt;'설정'!$D$7),OR('설정'!$E$7="",H85&gt;='설정'!$E$7),OR('설정'!$F$7="",H85&lt;'설정'!$F$7)),'설정'!$B$7,IF(AND(OR('설정'!$C$8="",G85&gt;='설정'!$C$8),OR('설정'!$D$8="",G85&lt;'설정'!$D$8),OR('설정'!$E$8="",H85&gt;='설정'!$E$8),OR('설정'!$F$8="",H85&lt;'설정'!$F$8)),'설정'!$B$8,'설정'!$B$9)))))</f>
        <v/>
      </c>
      <c r="L85" s="29">
        <f>IF(OR(G85="",H85=""),"",IF(SUMPRODUCT(ISNUMBER('설정'!$C$6:$D$8)*(ABS(G85-'설정'!$C$6:$D$8)&lt;='설정'!$C$15))+SUMPRODUCT(ISNUMBER('설정'!$E$6:$F$8)*(ABS(H85-'설정'!$E$6:$F$8)&lt;='설정'!$C$15))&gt;0,"경계",""))</f>
        <v/>
      </c>
      <c r="M85" s="7" t="n"/>
      <c r="N85" s="7" t="n"/>
      <c r="O85" s="27">
        <f>IF(M85&lt;&gt;"",M85,K85)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IF(I86="","",COUNTIF($I$7:$I$86,"&gt;"&amp;I86)+1)</f>
        <v/>
      </c>
      <c r="K86" s="27">
        <f>IF(I86="","",IF(OR(G86="",H86=""),'설정'!$B$9,IF(AND(OR('설정'!$C$6="",G86&gt;='설정'!$C$6),OR('설정'!$D$6="",G86&lt;'설정'!$D$6),OR('설정'!$E$6="",H86&gt;='설정'!$E$6),OR('설정'!$F$6="",H86&lt;'설정'!$F$6)),'설정'!$B$6,IF(AND(OR('설정'!$C$7="",G86&gt;='설정'!$C$7),OR('설정'!$D$7="",G86&lt;'설정'!$D$7),OR('설정'!$E$7="",H86&gt;='설정'!$E$7),OR('설정'!$F$7="",H86&lt;'설정'!$F$7)),'설정'!$B$7,IF(AND(OR('설정'!$C$8="",G86&gt;='설정'!$C$8),OR('설정'!$D$8="",G86&lt;'설정'!$D$8),OR('설정'!$E$8="",H86&gt;='설정'!$E$8),OR('설정'!$F$8="",H86&lt;'설정'!$F$8)),'설정'!$B$8,'설정'!$B$9)))))</f>
        <v/>
      </c>
      <c r="L86" s="29">
        <f>IF(OR(G86="",H86=""),"",IF(SUMPRODUCT(ISNUMBER('설정'!$C$6:$D$8)*(ABS(G86-'설정'!$C$6:$D$8)&lt;='설정'!$C$15))+SUMPRODUCT(ISNUMBER('설정'!$E$6:$F$8)*(ABS(H86-'설정'!$E$6:$F$8)&lt;='설정'!$C$15))&gt;0,"경계",""))</f>
        <v/>
      </c>
      <c r="M86" s="7" t="n"/>
      <c r="N86" s="7" t="n"/>
      <c r="O86" s="27">
        <f>IF(M86&lt;&gt;"",M86,K86)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</sheetData>
  <mergeCells count="3">
    <mergeCell ref="A2:Y2"/>
    <mergeCell ref="S13:Y18"/>
    <mergeCell ref="A1:Y1"/>
  </mergeCells>
  <conditionalFormatting sqref="A7:P86">
    <cfRule type="expression" priority="1" dxfId="2">
      <formula>$L7="경계"</formula>
    </cfRule>
  </conditionalFormatting>
  <conditionalFormatting sqref="K7:K8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8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86" showDropDown="0" showInputMessage="0" showErrorMessage="0" allowBlank="1" type="list">
      <formula1>='설정'!$A$55:$A$60</formula1>
    </dataValidation>
    <dataValidation sqref="N7:N8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IF($N7="","",INDEX('반배정'!J$7:J$86,$N7))</f>
        <v/>
      </c>
      <c r="B7" s="10">
        <f>IF($N7="","",INDEX('반배정'!B$7:B$86,$N7))</f>
        <v/>
      </c>
      <c r="C7" s="10">
        <f>IF($N7="","",INDEX('반배정'!C$7:C$86,$N7))</f>
        <v/>
      </c>
      <c r="D7" s="10">
        <f>IF($N7="","",INDEX('반배정'!D$7:D$86,$N7))</f>
        <v/>
      </c>
      <c r="E7" s="10">
        <f>IF($N7="","",INDEX('반배정'!E$7:E$86,$N7))</f>
        <v/>
      </c>
      <c r="F7" s="10">
        <f>IF($N7="","",INDEX('반배정'!G$7:G$86,$N7))</f>
        <v/>
      </c>
      <c r="G7" s="10">
        <f>IF($N7="","",INDEX('반배정'!H$7:H$86,$N7))</f>
        <v/>
      </c>
      <c r="H7" s="37">
        <f>IF($N7="","",INDEX('반배정'!I$7:I$86,$N7))</f>
        <v/>
      </c>
      <c r="I7" s="27">
        <f>IF($N7="","",INDEX('반배정'!O$7:O$86,$N7))</f>
        <v/>
      </c>
      <c r="J7" s="10">
        <f>IF($N7="","",INDEX('반배정'!N$7:N$86,$N7)&amp;"")</f>
        <v/>
      </c>
      <c r="K7" s="10">
        <f>IF($N7="","",INDEX('반배정'!L$7:L$86,$N7))</f>
        <v/>
      </c>
      <c r="L7" s="10">
        <f>IF($N7="","",INDEX('반배정'!P$7:P$86,$N7))</f>
        <v/>
      </c>
      <c r="M7" s="10">
        <f>IFERROR(SMALL('반배정'!$Q$7:$Q$86,1),"")</f>
        <v/>
      </c>
      <c r="N7" s="10">
        <f>IF(M7="","",MATCH(M7,'반배정'!$Q$7:$Q$86,0))</f>
        <v/>
      </c>
    </row>
    <row r="8">
      <c r="A8" s="10">
        <f>IF($N8="","",INDEX('반배정'!J$7:J$86,$N8))</f>
        <v/>
      </c>
      <c r="B8" s="10">
        <f>IF($N8="","",INDEX('반배정'!B$7:B$86,$N8))</f>
        <v/>
      </c>
      <c r="C8" s="10">
        <f>IF($N8="","",INDEX('반배정'!C$7:C$86,$N8))</f>
        <v/>
      </c>
      <c r="D8" s="10">
        <f>IF($N8="","",INDEX('반배정'!D$7:D$86,$N8))</f>
        <v/>
      </c>
      <c r="E8" s="10">
        <f>IF($N8="","",INDEX('반배정'!E$7:E$86,$N8))</f>
        <v/>
      </c>
      <c r="F8" s="10">
        <f>IF($N8="","",INDEX('반배정'!G$7:G$86,$N8))</f>
        <v/>
      </c>
      <c r="G8" s="10">
        <f>IF($N8="","",INDEX('반배정'!H$7:H$86,$N8))</f>
        <v/>
      </c>
      <c r="H8" s="37">
        <f>IF($N8="","",INDEX('반배정'!I$7:I$86,$N8))</f>
        <v/>
      </c>
      <c r="I8" s="27">
        <f>IF($N8="","",INDEX('반배정'!O$7:O$86,$N8))</f>
        <v/>
      </c>
      <c r="J8" s="10">
        <f>IF($N8="","",INDEX('반배정'!N$7:N$86,$N8)&amp;"")</f>
        <v/>
      </c>
      <c r="K8" s="10">
        <f>IF($N8="","",INDEX('반배정'!L$7:L$86,$N8))</f>
        <v/>
      </c>
      <c r="L8" s="10">
        <f>IF($N8="","",INDEX('반배정'!P$7:P$86,$N8))</f>
        <v/>
      </c>
      <c r="M8" s="10">
        <f>IFERROR(SMALL('반배정'!$Q$7:$Q$86,2),"")</f>
        <v/>
      </c>
      <c r="N8" s="10">
        <f>IF(M8="","",MATCH(M8,'반배정'!$Q$7:$Q$86,0))</f>
        <v/>
      </c>
    </row>
    <row r="9">
      <c r="A9" s="10">
        <f>IF($N9="","",INDEX('반배정'!J$7:J$86,$N9))</f>
        <v/>
      </c>
      <c r="B9" s="10">
        <f>IF($N9="","",INDEX('반배정'!B$7:B$86,$N9))</f>
        <v/>
      </c>
      <c r="C9" s="10">
        <f>IF($N9="","",INDEX('반배정'!C$7:C$86,$N9))</f>
        <v/>
      </c>
      <c r="D9" s="10">
        <f>IF($N9="","",INDEX('반배정'!D$7:D$86,$N9))</f>
        <v/>
      </c>
      <c r="E9" s="10">
        <f>IF($N9="","",INDEX('반배정'!E$7:E$86,$N9))</f>
        <v/>
      </c>
      <c r="F9" s="10">
        <f>IF($N9="","",INDEX('반배정'!G$7:G$86,$N9))</f>
        <v/>
      </c>
      <c r="G9" s="10">
        <f>IF($N9="","",INDEX('반배정'!H$7:H$86,$N9))</f>
        <v/>
      </c>
      <c r="H9" s="37">
        <f>IF($N9="","",INDEX('반배정'!I$7:I$86,$N9))</f>
        <v/>
      </c>
      <c r="I9" s="27">
        <f>IF($N9="","",INDEX('반배정'!O$7:O$86,$N9))</f>
        <v/>
      </c>
      <c r="J9" s="10">
        <f>IF($N9="","",INDEX('반배정'!N$7:N$86,$N9)&amp;"")</f>
        <v/>
      </c>
      <c r="K9" s="10">
        <f>IF($N9="","",INDEX('반배정'!L$7:L$86,$N9))</f>
        <v/>
      </c>
      <c r="L9" s="10">
        <f>IF($N9="","",INDEX('반배정'!P$7:P$86,$N9))</f>
        <v/>
      </c>
      <c r="M9" s="10">
        <f>IFERROR(SMALL('반배정'!$Q$7:$Q$86,3),"")</f>
        <v/>
      </c>
      <c r="N9" s="10">
        <f>IF(M9="","",MATCH(M9,'반배정'!$Q$7:$Q$86,0))</f>
        <v/>
      </c>
    </row>
    <row r="10">
      <c r="A10" s="10">
        <f>IF($N10="","",INDEX('반배정'!J$7:J$86,$N10))</f>
        <v/>
      </c>
      <c r="B10" s="10">
        <f>IF($N10="","",INDEX('반배정'!B$7:B$86,$N10))</f>
        <v/>
      </c>
      <c r="C10" s="10">
        <f>IF($N10="","",INDEX('반배정'!C$7:C$86,$N10))</f>
        <v/>
      </c>
      <c r="D10" s="10">
        <f>IF($N10="","",INDEX('반배정'!D$7:D$86,$N10))</f>
        <v/>
      </c>
      <c r="E10" s="10">
        <f>IF($N10="","",INDEX('반배정'!E$7:E$86,$N10))</f>
        <v/>
      </c>
      <c r="F10" s="10">
        <f>IF($N10="","",INDEX('반배정'!G$7:G$86,$N10))</f>
        <v/>
      </c>
      <c r="G10" s="10">
        <f>IF($N10="","",INDEX('반배정'!H$7:H$86,$N10))</f>
        <v/>
      </c>
      <c r="H10" s="37">
        <f>IF($N10="","",INDEX('반배정'!I$7:I$86,$N10))</f>
        <v/>
      </c>
      <c r="I10" s="27">
        <f>IF($N10="","",INDEX('반배정'!O$7:O$86,$N10))</f>
        <v/>
      </c>
      <c r="J10" s="10">
        <f>IF($N10="","",INDEX('반배정'!N$7:N$86,$N10)&amp;"")</f>
        <v/>
      </c>
      <c r="K10" s="10">
        <f>IF($N10="","",INDEX('반배정'!L$7:L$86,$N10))</f>
        <v/>
      </c>
      <c r="L10" s="10">
        <f>IF($N10="","",INDEX('반배정'!P$7:P$86,$N10))</f>
        <v/>
      </c>
      <c r="M10" s="10">
        <f>IFERROR(SMALL('반배정'!$Q$7:$Q$86,4),"")</f>
        <v/>
      </c>
      <c r="N10" s="10">
        <f>IF(M10="","",MATCH(M10,'반배정'!$Q$7:$Q$86,0))</f>
        <v/>
      </c>
    </row>
    <row r="11">
      <c r="A11" s="10">
        <f>IF($N11="","",INDEX('반배정'!J$7:J$86,$N11))</f>
        <v/>
      </c>
      <c r="B11" s="10">
        <f>IF($N11="","",INDEX('반배정'!B$7:B$86,$N11))</f>
        <v/>
      </c>
      <c r="C11" s="10">
        <f>IF($N11="","",INDEX('반배정'!C$7:C$86,$N11))</f>
        <v/>
      </c>
      <c r="D11" s="10">
        <f>IF($N11="","",INDEX('반배정'!D$7:D$86,$N11))</f>
        <v/>
      </c>
      <c r="E11" s="10">
        <f>IF($N11="","",INDEX('반배정'!E$7:E$86,$N11))</f>
        <v/>
      </c>
      <c r="F11" s="10">
        <f>IF($N11="","",INDEX('반배정'!G$7:G$86,$N11))</f>
        <v/>
      </c>
      <c r="G11" s="10">
        <f>IF($N11="","",INDEX('반배정'!H$7:H$86,$N11))</f>
        <v/>
      </c>
      <c r="H11" s="37">
        <f>IF($N11="","",INDEX('반배정'!I$7:I$86,$N11))</f>
        <v/>
      </c>
      <c r="I11" s="27">
        <f>IF($N11="","",INDEX('반배정'!O$7:O$86,$N11))</f>
        <v/>
      </c>
      <c r="J11" s="10">
        <f>IF($N11="","",INDEX('반배정'!N$7:N$86,$N11)&amp;"")</f>
        <v/>
      </c>
      <c r="K11" s="10">
        <f>IF($N11="","",INDEX('반배정'!L$7:L$86,$N11))</f>
        <v/>
      </c>
      <c r="L11" s="10">
        <f>IF($N11="","",INDEX('반배정'!P$7:P$86,$N11))</f>
        <v/>
      </c>
      <c r="M11" s="10">
        <f>IFERROR(SMALL('반배정'!$Q$7:$Q$86,5),"")</f>
        <v/>
      </c>
      <c r="N11" s="10">
        <f>IF(M11="","",MATCH(M11,'반배정'!$Q$7:$Q$86,0))</f>
        <v/>
      </c>
    </row>
    <row r="12">
      <c r="A12" s="10">
        <f>IF($N12="","",INDEX('반배정'!J$7:J$86,$N12))</f>
        <v/>
      </c>
      <c r="B12" s="10">
        <f>IF($N12="","",INDEX('반배정'!B$7:B$86,$N12))</f>
        <v/>
      </c>
      <c r="C12" s="10">
        <f>IF($N12="","",INDEX('반배정'!C$7:C$86,$N12))</f>
        <v/>
      </c>
      <c r="D12" s="10">
        <f>IF($N12="","",INDEX('반배정'!D$7:D$86,$N12))</f>
        <v/>
      </c>
      <c r="E12" s="10">
        <f>IF($N12="","",INDEX('반배정'!E$7:E$86,$N12))</f>
        <v/>
      </c>
      <c r="F12" s="10">
        <f>IF($N12="","",INDEX('반배정'!G$7:G$86,$N12))</f>
        <v/>
      </c>
      <c r="G12" s="10">
        <f>IF($N12="","",INDEX('반배정'!H$7:H$86,$N12))</f>
        <v/>
      </c>
      <c r="H12" s="37">
        <f>IF($N12="","",INDEX('반배정'!I$7:I$86,$N12))</f>
        <v/>
      </c>
      <c r="I12" s="27">
        <f>IF($N12="","",INDEX('반배정'!O$7:O$86,$N12))</f>
        <v/>
      </c>
      <c r="J12" s="10">
        <f>IF($N12="","",INDEX('반배정'!N$7:N$86,$N12)&amp;"")</f>
        <v/>
      </c>
      <c r="K12" s="10">
        <f>IF($N12="","",INDEX('반배정'!L$7:L$86,$N12))</f>
        <v/>
      </c>
      <c r="L12" s="10">
        <f>IF($N12="","",INDEX('반배정'!P$7:P$86,$N12))</f>
        <v/>
      </c>
      <c r="M12" s="10">
        <f>IFERROR(SMALL('반배정'!$Q$7:$Q$86,6),"")</f>
        <v/>
      </c>
      <c r="N12" s="10">
        <f>IF(M12="","",MATCH(M12,'반배정'!$Q$7:$Q$86,0))</f>
        <v/>
      </c>
    </row>
    <row r="13">
      <c r="A13" s="10">
        <f>IF($N13="","",INDEX('반배정'!J$7:J$86,$N13))</f>
        <v/>
      </c>
      <c r="B13" s="10">
        <f>IF($N13="","",INDEX('반배정'!B$7:B$86,$N13))</f>
        <v/>
      </c>
      <c r="C13" s="10">
        <f>IF($N13="","",INDEX('반배정'!C$7:C$86,$N13))</f>
        <v/>
      </c>
      <c r="D13" s="10">
        <f>IF($N13="","",INDEX('반배정'!D$7:D$86,$N13))</f>
        <v/>
      </c>
      <c r="E13" s="10">
        <f>IF($N13="","",INDEX('반배정'!E$7:E$86,$N13))</f>
        <v/>
      </c>
      <c r="F13" s="10">
        <f>IF($N13="","",INDEX('반배정'!G$7:G$86,$N13))</f>
        <v/>
      </c>
      <c r="G13" s="10">
        <f>IF($N13="","",INDEX('반배정'!H$7:H$86,$N13))</f>
        <v/>
      </c>
      <c r="H13" s="37">
        <f>IF($N13="","",INDEX('반배정'!I$7:I$86,$N13))</f>
        <v/>
      </c>
      <c r="I13" s="27">
        <f>IF($N13="","",INDEX('반배정'!O$7:O$86,$N13))</f>
        <v/>
      </c>
      <c r="J13" s="10">
        <f>IF($N13="","",INDEX('반배정'!N$7:N$86,$N13)&amp;"")</f>
        <v/>
      </c>
      <c r="K13" s="10">
        <f>IF($N13="","",INDEX('반배정'!L$7:L$86,$N13))</f>
        <v/>
      </c>
      <c r="L13" s="10">
        <f>IF($N13="","",INDEX('반배정'!P$7:P$86,$N13))</f>
        <v/>
      </c>
      <c r="M13" s="10">
        <f>IFERROR(SMALL('반배정'!$Q$7:$Q$86,7),"")</f>
        <v/>
      </c>
      <c r="N13" s="10">
        <f>IF(M13="","",MATCH(M13,'반배정'!$Q$7:$Q$86,0))</f>
        <v/>
      </c>
    </row>
    <row r="14">
      <c r="A14" s="10">
        <f>IF($N14="","",INDEX('반배정'!J$7:J$86,$N14))</f>
        <v/>
      </c>
      <c r="B14" s="10">
        <f>IF($N14="","",INDEX('반배정'!B$7:B$86,$N14))</f>
        <v/>
      </c>
      <c r="C14" s="10">
        <f>IF($N14="","",INDEX('반배정'!C$7:C$86,$N14))</f>
        <v/>
      </c>
      <c r="D14" s="10">
        <f>IF($N14="","",INDEX('반배정'!D$7:D$86,$N14))</f>
        <v/>
      </c>
      <c r="E14" s="10">
        <f>IF($N14="","",INDEX('반배정'!E$7:E$86,$N14))</f>
        <v/>
      </c>
      <c r="F14" s="10">
        <f>IF($N14="","",INDEX('반배정'!G$7:G$86,$N14))</f>
        <v/>
      </c>
      <c r="G14" s="10">
        <f>IF($N14="","",INDEX('반배정'!H$7:H$86,$N14))</f>
        <v/>
      </c>
      <c r="H14" s="37">
        <f>IF($N14="","",INDEX('반배정'!I$7:I$86,$N14))</f>
        <v/>
      </c>
      <c r="I14" s="27">
        <f>IF($N14="","",INDEX('반배정'!O$7:O$86,$N14))</f>
        <v/>
      </c>
      <c r="J14" s="10">
        <f>IF($N14="","",INDEX('반배정'!N$7:N$86,$N14)&amp;"")</f>
        <v/>
      </c>
      <c r="K14" s="10">
        <f>IF($N14="","",INDEX('반배정'!L$7:L$86,$N14))</f>
        <v/>
      </c>
      <c r="L14" s="10">
        <f>IF($N14="","",INDEX('반배정'!P$7:P$86,$N14))</f>
        <v/>
      </c>
      <c r="M14" s="10">
        <f>IFERROR(SMALL('반배정'!$Q$7:$Q$86,8),"")</f>
        <v/>
      </c>
      <c r="N14" s="10">
        <f>IF(M14="","",MATCH(M14,'반배정'!$Q$7:$Q$86,0))</f>
        <v/>
      </c>
    </row>
    <row r="15">
      <c r="A15" s="10">
        <f>IF($N15="","",INDEX('반배정'!J$7:J$86,$N15))</f>
        <v/>
      </c>
      <c r="B15" s="10">
        <f>IF($N15="","",INDEX('반배정'!B$7:B$86,$N15))</f>
        <v/>
      </c>
      <c r="C15" s="10">
        <f>IF($N15="","",INDEX('반배정'!C$7:C$86,$N15))</f>
        <v/>
      </c>
      <c r="D15" s="10">
        <f>IF($N15="","",INDEX('반배정'!D$7:D$86,$N15))</f>
        <v/>
      </c>
      <c r="E15" s="10">
        <f>IF($N15="","",INDEX('반배정'!E$7:E$86,$N15))</f>
        <v/>
      </c>
      <c r="F15" s="10">
        <f>IF($N15="","",INDEX('반배정'!G$7:G$86,$N15))</f>
        <v/>
      </c>
      <c r="G15" s="10">
        <f>IF($N15="","",INDEX('반배정'!H$7:H$86,$N15))</f>
        <v/>
      </c>
      <c r="H15" s="37">
        <f>IF($N15="","",INDEX('반배정'!I$7:I$86,$N15))</f>
        <v/>
      </c>
      <c r="I15" s="27">
        <f>IF($N15="","",INDEX('반배정'!O$7:O$86,$N15))</f>
        <v/>
      </c>
      <c r="J15" s="10">
        <f>IF($N15="","",INDEX('반배정'!N$7:N$86,$N15)&amp;"")</f>
        <v/>
      </c>
      <c r="K15" s="10">
        <f>IF($N15="","",INDEX('반배정'!L$7:L$86,$N15))</f>
        <v/>
      </c>
      <c r="L15" s="10">
        <f>IF($N15="","",INDEX('반배정'!P$7:P$86,$N15))</f>
        <v/>
      </c>
      <c r="M15" s="10">
        <f>IFERROR(SMALL('반배정'!$Q$7:$Q$86,9),"")</f>
        <v/>
      </c>
      <c r="N15" s="10">
        <f>IF(M15="","",MATCH(M15,'반배정'!$Q$7:$Q$86,0))</f>
        <v/>
      </c>
    </row>
    <row r="16">
      <c r="A16" s="10">
        <f>IF($N16="","",INDEX('반배정'!J$7:J$86,$N16))</f>
        <v/>
      </c>
      <c r="B16" s="10">
        <f>IF($N16="","",INDEX('반배정'!B$7:B$86,$N16))</f>
        <v/>
      </c>
      <c r="C16" s="10">
        <f>IF($N16="","",INDEX('반배정'!C$7:C$86,$N16))</f>
        <v/>
      </c>
      <c r="D16" s="10">
        <f>IF($N16="","",INDEX('반배정'!D$7:D$86,$N16))</f>
        <v/>
      </c>
      <c r="E16" s="10">
        <f>IF($N16="","",INDEX('반배정'!E$7:E$86,$N16))</f>
        <v/>
      </c>
      <c r="F16" s="10">
        <f>IF($N16="","",INDEX('반배정'!G$7:G$86,$N16))</f>
        <v/>
      </c>
      <c r="G16" s="10">
        <f>IF($N16="","",INDEX('반배정'!H$7:H$86,$N16))</f>
        <v/>
      </c>
      <c r="H16" s="37">
        <f>IF($N16="","",INDEX('반배정'!I$7:I$86,$N16))</f>
        <v/>
      </c>
      <c r="I16" s="27">
        <f>IF($N16="","",INDEX('반배정'!O$7:O$86,$N16))</f>
        <v/>
      </c>
      <c r="J16" s="10">
        <f>IF($N16="","",INDEX('반배정'!N$7:N$86,$N16)&amp;"")</f>
        <v/>
      </c>
      <c r="K16" s="10">
        <f>IF($N16="","",INDEX('반배정'!L$7:L$86,$N16))</f>
        <v/>
      </c>
      <c r="L16" s="10">
        <f>IF($N16="","",INDEX('반배정'!P$7:P$86,$N16))</f>
        <v/>
      </c>
      <c r="M16" s="10">
        <f>IFERROR(SMALL('반배정'!$Q$7:$Q$86,10),"")</f>
        <v/>
      </c>
      <c r="N16" s="10">
        <f>IF(M16="","",MATCH(M16,'반배정'!$Q$7:$Q$86,0))</f>
        <v/>
      </c>
    </row>
    <row r="17">
      <c r="A17" s="10">
        <f>IF($N17="","",INDEX('반배정'!J$7:J$86,$N17))</f>
        <v/>
      </c>
      <c r="B17" s="10">
        <f>IF($N17="","",INDEX('반배정'!B$7:B$86,$N17))</f>
        <v/>
      </c>
      <c r="C17" s="10">
        <f>IF($N17="","",INDEX('반배정'!C$7:C$86,$N17))</f>
        <v/>
      </c>
      <c r="D17" s="10">
        <f>IF($N17="","",INDEX('반배정'!D$7:D$86,$N17))</f>
        <v/>
      </c>
      <c r="E17" s="10">
        <f>IF($N17="","",INDEX('반배정'!E$7:E$86,$N17))</f>
        <v/>
      </c>
      <c r="F17" s="10">
        <f>IF($N17="","",INDEX('반배정'!G$7:G$86,$N17))</f>
        <v/>
      </c>
      <c r="G17" s="10">
        <f>IF($N17="","",INDEX('반배정'!H$7:H$86,$N17))</f>
        <v/>
      </c>
      <c r="H17" s="37">
        <f>IF($N17="","",INDEX('반배정'!I$7:I$86,$N17))</f>
        <v/>
      </c>
      <c r="I17" s="27">
        <f>IF($N17="","",INDEX('반배정'!O$7:O$86,$N17))</f>
        <v/>
      </c>
      <c r="J17" s="10">
        <f>IF($N17="","",INDEX('반배정'!N$7:N$86,$N17)&amp;"")</f>
        <v/>
      </c>
      <c r="K17" s="10">
        <f>IF($N17="","",INDEX('반배정'!L$7:L$86,$N17))</f>
        <v/>
      </c>
      <c r="L17" s="10">
        <f>IF($N17="","",INDEX('반배정'!P$7:P$86,$N17))</f>
        <v/>
      </c>
      <c r="M17" s="10">
        <f>IFERROR(SMALL('반배정'!$Q$7:$Q$86,11),"")</f>
        <v/>
      </c>
      <c r="N17" s="10">
        <f>IF(M17="","",MATCH(M17,'반배정'!$Q$7:$Q$86,0))</f>
        <v/>
      </c>
    </row>
    <row r="18">
      <c r="A18" s="10">
        <f>IF($N18="","",INDEX('반배정'!J$7:J$86,$N18))</f>
        <v/>
      </c>
      <c r="B18" s="10">
        <f>IF($N18="","",INDEX('반배정'!B$7:B$86,$N18))</f>
        <v/>
      </c>
      <c r="C18" s="10">
        <f>IF($N18="","",INDEX('반배정'!C$7:C$86,$N18))</f>
        <v/>
      </c>
      <c r="D18" s="10">
        <f>IF($N18="","",INDEX('반배정'!D$7:D$86,$N18))</f>
        <v/>
      </c>
      <c r="E18" s="10">
        <f>IF($N18="","",INDEX('반배정'!E$7:E$86,$N18))</f>
        <v/>
      </c>
      <c r="F18" s="10">
        <f>IF($N18="","",INDEX('반배정'!G$7:G$86,$N18))</f>
        <v/>
      </c>
      <c r="G18" s="10">
        <f>IF($N18="","",INDEX('반배정'!H$7:H$86,$N18))</f>
        <v/>
      </c>
      <c r="H18" s="37">
        <f>IF($N18="","",INDEX('반배정'!I$7:I$86,$N18))</f>
        <v/>
      </c>
      <c r="I18" s="27">
        <f>IF($N18="","",INDEX('반배정'!O$7:O$86,$N18))</f>
        <v/>
      </c>
      <c r="J18" s="10">
        <f>IF($N18="","",INDEX('반배정'!N$7:N$86,$N18)&amp;"")</f>
        <v/>
      </c>
      <c r="K18" s="10">
        <f>IF($N18="","",INDEX('반배정'!L$7:L$86,$N18))</f>
        <v/>
      </c>
      <c r="L18" s="10">
        <f>IF($N18="","",INDEX('반배정'!P$7:P$86,$N18))</f>
        <v/>
      </c>
      <c r="M18" s="10">
        <f>IFERROR(SMALL('반배정'!$Q$7:$Q$86,12),"")</f>
        <v/>
      </c>
      <c r="N18" s="10">
        <f>IF(M18="","",MATCH(M18,'반배정'!$Q$7:$Q$86,0))</f>
        <v/>
      </c>
    </row>
    <row r="19">
      <c r="A19" s="10">
        <f>IF($N19="","",INDEX('반배정'!J$7:J$86,$N19))</f>
        <v/>
      </c>
      <c r="B19" s="10">
        <f>IF($N19="","",INDEX('반배정'!B$7:B$86,$N19))</f>
        <v/>
      </c>
      <c r="C19" s="10">
        <f>IF($N19="","",INDEX('반배정'!C$7:C$86,$N19))</f>
        <v/>
      </c>
      <c r="D19" s="10">
        <f>IF($N19="","",INDEX('반배정'!D$7:D$86,$N19))</f>
        <v/>
      </c>
      <c r="E19" s="10">
        <f>IF($N19="","",INDEX('반배정'!E$7:E$86,$N19))</f>
        <v/>
      </c>
      <c r="F19" s="10">
        <f>IF($N19="","",INDEX('반배정'!G$7:G$86,$N19))</f>
        <v/>
      </c>
      <c r="G19" s="10">
        <f>IF($N19="","",INDEX('반배정'!H$7:H$86,$N19))</f>
        <v/>
      </c>
      <c r="H19" s="37">
        <f>IF($N19="","",INDEX('반배정'!I$7:I$86,$N19))</f>
        <v/>
      </c>
      <c r="I19" s="27">
        <f>IF($N19="","",INDEX('반배정'!O$7:O$86,$N19))</f>
        <v/>
      </c>
      <c r="J19" s="10">
        <f>IF($N19="","",INDEX('반배정'!N$7:N$86,$N19)&amp;"")</f>
        <v/>
      </c>
      <c r="K19" s="10">
        <f>IF($N19="","",INDEX('반배정'!L$7:L$86,$N19))</f>
        <v/>
      </c>
      <c r="L19" s="10">
        <f>IF($N19="","",INDEX('반배정'!P$7:P$86,$N19))</f>
        <v/>
      </c>
      <c r="M19" s="10">
        <f>IFERROR(SMALL('반배정'!$Q$7:$Q$86,13),"")</f>
        <v/>
      </c>
      <c r="N19" s="10">
        <f>IF(M19="","",MATCH(M19,'반배정'!$Q$7:$Q$86,0))</f>
        <v/>
      </c>
    </row>
    <row r="20">
      <c r="A20" s="10">
        <f>IF($N20="","",INDEX('반배정'!J$7:J$86,$N20))</f>
        <v/>
      </c>
      <c r="B20" s="10">
        <f>IF($N20="","",INDEX('반배정'!B$7:B$86,$N20))</f>
        <v/>
      </c>
      <c r="C20" s="10">
        <f>IF($N20="","",INDEX('반배정'!C$7:C$86,$N20))</f>
        <v/>
      </c>
      <c r="D20" s="10">
        <f>IF($N20="","",INDEX('반배정'!D$7:D$86,$N20))</f>
        <v/>
      </c>
      <c r="E20" s="10">
        <f>IF($N20="","",INDEX('반배정'!E$7:E$86,$N20))</f>
        <v/>
      </c>
      <c r="F20" s="10">
        <f>IF($N20="","",INDEX('반배정'!G$7:G$86,$N20))</f>
        <v/>
      </c>
      <c r="G20" s="10">
        <f>IF($N20="","",INDEX('반배정'!H$7:H$86,$N20))</f>
        <v/>
      </c>
      <c r="H20" s="37">
        <f>IF($N20="","",INDEX('반배정'!I$7:I$86,$N20))</f>
        <v/>
      </c>
      <c r="I20" s="27">
        <f>IF($N20="","",INDEX('반배정'!O$7:O$86,$N20))</f>
        <v/>
      </c>
      <c r="J20" s="10">
        <f>IF($N20="","",INDEX('반배정'!N$7:N$86,$N20)&amp;"")</f>
        <v/>
      </c>
      <c r="K20" s="10">
        <f>IF($N20="","",INDEX('반배정'!L$7:L$86,$N20))</f>
        <v/>
      </c>
      <c r="L20" s="10">
        <f>IF($N20="","",INDEX('반배정'!P$7:P$86,$N20))</f>
        <v/>
      </c>
      <c r="M20" s="10">
        <f>IFERROR(SMALL('반배정'!$Q$7:$Q$86,14),"")</f>
        <v/>
      </c>
      <c r="N20" s="10">
        <f>IF(M20="","",MATCH(M20,'반배정'!$Q$7:$Q$86,0))</f>
        <v/>
      </c>
    </row>
    <row r="21">
      <c r="A21" s="10">
        <f>IF($N21="","",INDEX('반배정'!J$7:J$86,$N21))</f>
        <v/>
      </c>
      <c r="B21" s="10">
        <f>IF($N21="","",INDEX('반배정'!B$7:B$86,$N21))</f>
        <v/>
      </c>
      <c r="C21" s="10">
        <f>IF($N21="","",INDEX('반배정'!C$7:C$86,$N21))</f>
        <v/>
      </c>
      <c r="D21" s="10">
        <f>IF($N21="","",INDEX('반배정'!D$7:D$86,$N21))</f>
        <v/>
      </c>
      <c r="E21" s="10">
        <f>IF($N21="","",INDEX('반배정'!E$7:E$86,$N21))</f>
        <v/>
      </c>
      <c r="F21" s="10">
        <f>IF($N21="","",INDEX('반배정'!G$7:G$86,$N21))</f>
        <v/>
      </c>
      <c r="G21" s="10">
        <f>IF($N21="","",INDEX('반배정'!H$7:H$86,$N21))</f>
        <v/>
      </c>
      <c r="H21" s="37">
        <f>IF($N21="","",INDEX('반배정'!I$7:I$86,$N21))</f>
        <v/>
      </c>
      <c r="I21" s="27">
        <f>IF($N21="","",INDEX('반배정'!O$7:O$86,$N21))</f>
        <v/>
      </c>
      <c r="J21" s="10">
        <f>IF($N21="","",INDEX('반배정'!N$7:N$86,$N21)&amp;"")</f>
        <v/>
      </c>
      <c r="K21" s="10">
        <f>IF($N21="","",INDEX('반배정'!L$7:L$86,$N21))</f>
        <v/>
      </c>
      <c r="L21" s="10">
        <f>IF($N21="","",INDEX('반배정'!P$7:P$86,$N21))</f>
        <v/>
      </c>
      <c r="M21" s="10">
        <f>IFERROR(SMALL('반배정'!$Q$7:$Q$86,15),"")</f>
        <v/>
      </c>
      <c r="N21" s="10">
        <f>IF(M21="","",MATCH(M21,'반배정'!$Q$7:$Q$86,0))</f>
        <v/>
      </c>
    </row>
    <row r="22">
      <c r="A22" s="10">
        <f>IF($N22="","",INDEX('반배정'!J$7:J$86,$N22))</f>
        <v/>
      </c>
      <c r="B22" s="10">
        <f>IF($N22="","",INDEX('반배정'!B$7:B$86,$N22))</f>
        <v/>
      </c>
      <c r="C22" s="10">
        <f>IF($N22="","",INDEX('반배정'!C$7:C$86,$N22))</f>
        <v/>
      </c>
      <c r="D22" s="10">
        <f>IF($N22="","",INDEX('반배정'!D$7:D$86,$N22))</f>
        <v/>
      </c>
      <c r="E22" s="10">
        <f>IF($N22="","",INDEX('반배정'!E$7:E$86,$N22))</f>
        <v/>
      </c>
      <c r="F22" s="10">
        <f>IF($N22="","",INDEX('반배정'!G$7:G$86,$N22))</f>
        <v/>
      </c>
      <c r="G22" s="10">
        <f>IF($N22="","",INDEX('반배정'!H$7:H$86,$N22))</f>
        <v/>
      </c>
      <c r="H22" s="37">
        <f>IF($N22="","",INDEX('반배정'!I$7:I$86,$N22))</f>
        <v/>
      </c>
      <c r="I22" s="27">
        <f>IF($N22="","",INDEX('반배정'!O$7:O$86,$N22))</f>
        <v/>
      </c>
      <c r="J22" s="10">
        <f>IF($N22="","",INDEX('반배정'!N$7:N$86,$N22)&amp;"")</f>
        <v/>
      </c>
      <c r="K22" s="10">
        <f>IF($N22="","",INDEX('반배정'!L$7:L$86,$N22))</f>
        <v/>
      </c>
      <c r="L22" s="10">
        <f>IF($N22="","",INDEX('반배정'!P$7:P$86,$N22))</f>
        <v/>
      </c>
      <c r="M22" s="10">
        <f>IFERROR(SMALL('반배정'!$Q$7:$Q$86,16),"")</f>
        <v/>
      </c>
      <c r="N22" s="10">
        <f>IF(M22="","",MATCH(M22,'반배정'!$Q$7:$Q$86,0))</f>
        <v/>
      </c>
    </row>
    <row r="23">
      <c r="A23" s="10">
        <f>IF($N23="","",INDEX('반배정'!J$7:J$86,$N23))</f>
        <v/>
      </c>
      <c r="B23" s="10">
        <f>IF($N23="","",INDEX('반배정'!B$7:B$86,$N23))</f>
        <v/>
      </c>
      <c r="C23" s="10">
        <f>IF($N23="","",INDEX('반배정'!C$7:C$86,$N23))</f>
        <v/>
      </c>
      <c r="D23" s="10">
        <f>IF($N23="","",INDEX('반배정'!D$7:D$86,$N23))</f>
        <v/>
      </c>
      <c r="E23" s="10">
        <f>IF($N23="","",INDEX('반배정'!E$7:E$86,$N23))</f>
        <v/>
      </c>
      <c r="F23" s="10">
        <f>IF($N23="","",INDEX('반배정'!G$7:G$86,$N23))</f>
        <v/>
      </c>
      <c r="G23" s="10">
        <f>IF($N23="","",INDEX('반배정'!H$7:H$86,$N23))</f>
        <v/>
      </c>
      <c r="H23" s="37">
        <f>IF($N23="","",INDEX('반배정'!I$7:I$86,$N23))</f>
        <v/>
      </c>
      <c r="I23" s="27">
        <f>IF($N23="","",INDEX('반배정'!O$7:O$86,$N23))</f>
        <v/>
      </c>
      <c r="J23" s="10">
        <f>IF($N23="","",INDEX('반배정'!N$7:N$86,$N23)&amp;"")</f>
        <v/>
      </c>
      <c r="K23" s="10">
        <f>IF($N23="","",INDEX('반배정'!L$7:L$86,$N23))</f>
        <v/>
      </c>
      <c r="L23" s="10">
        <f>IF($N23="","",INDEX('반배정'!P$7:P$86,$N23))</f>
        <v/>
      </c>
      <c r="M23" s="10">
        <f>IFERROR(SMALL('반배정'!$Q$7:$Q$86,17),"")</f>
        <v/>
      </c>
      <c r="N23" s="10">
        <f>IF(M23="","",MATCH(M23,'반배정'!$Q$7:$Q$86,0))</f>
        <v/>
      </c>
    </row>
    <row r="24">
      <c r="A24" s="10">
        <f>IF($N24="","",INDEX('반배정'!J$7:J$86,$N24))</f>
        <v/>
      </c>
      <c r="B24" s="10">
        <f>IF($N24="","",INDEX('반배정'!B$7:B$86,$N24))</f>
        <v/>
      </c>
      <c r="C24" s="10">
        <f>IF($N24="","",INDEX('반배정'!C$7:C$86,$N24))</f>
        <v/>
      </c>
      <c r="D24" s="10">
        <f>IF($N24="","",INDEX('반배정'!D$7:D$86,$N24))</f>
        <v/>
      </c>
      <c r="E24" s="10">
        <f>IF($N24="","",INDEX('반배정'!E$7:E$86,$N24))</f>
        <v/>
      </c>
      <c r="F24" s="10">
        <f>IF($N24="","",INDEX('반배정'!G$7:G$86,$N24))</f>
        <v/>
      </c>
      <c r="G24" s="10">
        <f>IF($N24="","",INDEX('반배정'!H$7:H$86,$N24))</f>
        <v/>
      </c>
      <c r="H24" s="37">
        <f>IF($N24="","",INDEX('반배정'!I$7:I$86,$N24))</f>
        <v/>
      </c>
      <c r="I24" s="27">
        <f>IF($N24="","",INDEX('반배정'!O$7:O$86,$N24))</f>
        <v/>
      </c>
      <c r="J24" s="10">
        <f>IF($N24="","",INDEX('반배정'!N$7:N$86,$N24)&amp;"")</f>
        <v/>
      </c>
      <c r="K24" s="10">
        <f>IF($N24="","",INDEX('반배정'!L$7:L$86,$N24))</f>
        <v/>
      </c>
      <c r="L24" s="10">
        <f>IF($N24="","",INDEX('반배정'!P$7:P$86,$N24))</f>
        <v/>
      </c>
      <c r="M24" s="10">
        <f>IFERROR(SMALL('반배정'!$Q$7:$Q$86,18),"")</f>
        <v/>
      </c>
      <c r="N24" s="10">
        <f>IF(M24="","",MATCH(M24,'반배정'!$Q$7:$Q$86,0))</f>
        <v/>
      </c>
    </row>
    <row r="25">
      <c r="A25" s="10">
        <f>IF($N25="","",INDEX('반배정'!J$7:J$86,$N25))</f>
        <v/>
      </c>
      <c r="B25" s="10">
        <f>IF($N25="","",INDEX('반배정'!B$7:B$86,$N25))</f>
        <v/>
      </c>
      <c r="C25" s="10">
        <f>IF($N25="","",INDEX('반배정'!C$7:C$86,$N25))</f>
        <v/>
      </c>
      <c r="D25" s="10">
        <f>IF($N25="","",INDEX('반배정'!D$7:D$86,$N25))</f>
        <v/>
      </c>
      <c r="E25" s="10">
        <f>IF($N25="","",INDEX('반배정'!E$7:E$86,$N25))</f>
        <v/>
      </c>
      <c r="F25" s="10">
        <f>IF($N25="","",INDEX('반배정'!G$7:G$86,$N25))</f>
        <v/>
      </c>
      <c r="G25" s="10">
        <f>IF($N25="","",INDEX('반배정'!H$7:H$86,$N25))</f>
        <v/>
      </c>
      <c r="H25" s="37">
        <f>IF($N25="","",INDEX('반배정'!I$7:I$86,$N25))</f>
        <v/>
      </c>
      <c r="I25" s="27">
        <f>IF($N25="","",INDEX('반배정'!O$7:O$86,$N25))</f>
        <v/>
      </c>
      <c r="J25" s="10">
        <f>IF($N25="","",INDEX('반배정'!N$7:N$86,$N25)&amp;"")</f>
        <v/>
      </c>
      <c r="K25" s="10">
        <f>IF($N25="","",INDEX('반배정'!L$7:L$86,$N25))</f>
        <v/>
      </c>
      <c r="L25" s="10">
        <f>IF($N25="","",INDEX('반배정'!P$7:P$86,$N25))</f>
        <v/>
      </c>
      <c r="M25" s="10">
        <f>IFERROR(SMALL('반배정'!$Q$7:$Q$86,19),"")</f>
        <v/>
      </c>
      <c r="N25" s="10">
        <f>IF(M25="","",MATCH(M25,'반배정'!$Q$7:$Q$86,0))</f>
        <v/>
      </c>
    </row>
    <row r="26">
      <c r="A26" s="10">
        <f>IF($N26="","",INDEX('반배정'!J$7:J$86,$N26))</f>
        <v/>
      </c>
      <c r="B26" s="10">
        <f>IF($N26="","",INDEX('반배정'!B$7:B$86,$N26))</f>
        <v/>
      </c>
      <c r="C26" s="10">
        <f>IF($N26="","",INDEX('반배정'!C$7:C$86,$N26))</f>
        <v/>
      </c>
      <c r="D26" s="10">
        <f>IF($N26="","",INDEX('반배정'!D$7:D$86,$N26))</f>
        <v/>
      </c>
      <c r="E26" s="10">
        <f>IF($N26="","",INDEX('반배정'!E$7:E$86,$N26))</f>
        <v/>
      </c>
      <c r="F26" s="10">
        <f>IF($N26="","",INDEX('반배정'!G$7:G$86,$N26))</f>
        <v/>
      </c>
      <c r="G26" s="10">
        <f>IF($N26="","",INDEX('반배정'!H$7:H$86,$N26))</f>
        <v/>
      </c>
      <c r="H26" s="37">
        <f>IF($N26="","",INDEX('반배정'!I$7:I$86,$N26))</f>
        <v/>
      </c>
      <c r="I26" s="27">
        <f>IF($N26="","",INDEX('반배정'!O$7:O$86,$N26))</f>
        <v/>
      </c>
      <c r="J26" s="10">
        <f>IF($N26="","",INDEX('반배정'!N$7:N$86,$N26)&amp;"")</f>
        <v/>
      </c>
      <c r="K26" s="10">
        <f>IF($N26="","",INDEX('반배정'!L$7:L$86,$N26))</f>
        <v/>
      </c>
      <c r="L26" s="10">
        <f>IF($N26="","",INDEX('반배정'!P$7:P$86,$N26))</f>
        <v/>
      </c>
      <c r="M26" s="10">
        <f>IFERROR(SMALL('반배정'!$Q$7:$Q$86,20),"")</f>
        <v/>
      </c>
      <c r="N26" s="10">
        <f>IF(M26="","",MATCH(M26,'반배정'!$Q$7:$Q$86,0))</f>
        <v/>
      </c>
    </row>
    <row r="27">
      <c r="A27" s="10">
        <f>IF($N27="","",INDEX('반배정'!J$7:J$86,$N27))</f>
        <v/>
      </c>
      <c r="B27" s="10">
        <f>IF($N27="","",INDEX('반배정'!B$7:B$86,$N27))</f>
        <v/>
      </c>
      <c r="C27" s="10">
        <f>IF($N27="","",INDEX('반배정'!C$7:C$86,$N27))</f>
        <v/>
      </c>
      <c r="D27" s="10">
        <f>IF($N27="","",INDEX('반배정'!D$7:D$86,$N27))</f>
        <v/>
      </c>
      <c r="E27" s="10">
        <f>IF($N27="","",INDEX('반배정'!E$7:E$86,$N27))</f>
        <v/>
      </c>
      <c r="F27" s="10">
        <f>IF($N27="","",INDEX('반배정'!G$7:G$86,$N27))</f>
        <v/>
      </c>
      <c r="G27" s="10">
        <f>IF($N27="","",INDEX('반배정'!H$7:H$86,$N27))</f>
        <v/>
      </c>
      <c r="H27" s="37">
        <f>IF($N27="","",INDEX('반배정'!I$7:I$86,$N27))</f>
        <v/>
      </c>
      <c r="I27" s="27">
        <f>IF($N27="","",INDEX('반배정'!O$7:O$86,$N27))</f>
        <v/>
      </c>
      <c r="J27" s="10">
        <f>IF($N27="","",INDEX('반배정'!N$7:N$86,$N27)&amp;"")</f>
        <v/>
      </c>
      <c r="K27" s="10">
        <f>IF($N27="","",INDEX('반배정'!L$7:L$86,$N27))</f>
        <v/>
      </c>
      <c r="L27" s="10">
        <f>IF($N27="","",INDEX('반배정'!P$7:P$86,$N27))</f>
        <v/>
      </c>
      <c r="M27" s="10">
        <f>IFERROR(SMALL('반배정'!$Q$7:$Q$86,21),"")</f>
        <v/>
      </c>
      <c r="N27" s="10">
        <f>IF(M27="","",MATCH(M27,'반배정'!$Q$7:$Q$86,0))</f>
        <v/>
      </c>
    </row>
    <row r="28">
      <c r="A28" s="10">
        <f>IF($N28="","",INDEX('반배정'!J$7:J$86,$N28))</f>
        <v/>
      </c>
      <c r="B28" s="10">
        <f>IF($N28="","",INDEX('반배정'!B$7:B$86,$N28))</f>
        <v/>
      </c>
      <c r="C28" s="10">
        <f>IF($N28="","",INDEX('반배정'!C$7:C$86,$N28))</f>
        <v/>
      </c>
      <c r="D28" s="10">
        <f>IF($N28="","",INDEX('반배정'!D$7:D$86,$N28))</f>
        <v/>
      </c>
      <c r="E28" s="10">
        <f>IF($N28="","",INDEX('반배정'!E$7:E$86,$N28))</f>
        <v/>
      </c>
      <c r="F28" s="10">
        <f>IF($N28="","",INDEX('반배정'!G$7:G$86,$N28))</f>
        <v/>
      </c>
      <c r="G28" s="10">
        <f>IF($N28="","",INDEX('반배정'!H$7:H$86,$N28))</f>
        <v/>
      </c>
      <c r="H28" s="37">
        <f>IF($N28="","",INDEX('반배정'!I$7:I$86,$N28))</f>
        <v/>
      </c>
      <c r="I28" s="27">
        <f>IF($N28="","",INDEX('반배정'!O$7:O$86,$N28))</f>
        <v/>
      </c>
      <c r="J28" s="10">
        <f>IF($N28="","",INDEX('반배정'!N$7:N$86,$N28)&amp;"")</f>
        <v/>
      </c>
      <c r="K28" s="10">
        <f>IF($N28="","",INDEX('반배정'!L$7:L$86,$N28))</f>
        <v/>
      </c>
      <c r="L28" s="10">
        <f>IF($N28="","",INDEX('반배정'!P$7:P$86,$N28))</f>
        <v/>
      </c>
      <c r="M28" s="10">
        <f>IFERROR(SMALL('반배정'!$Q$7:$Q$86,22),"")</f>
        <v/>
      </c>
      <c r="N28" s="10">
        <f>IF(M28="","",MATCH(M28,'반배정'!$Q$7:$Q$86,0))</f>
        <v/>
      </c>
    </row>
    <row r="29">
      <c r="A29" s="10">
        <f>IF($N29="","",INDEX('반배정'!J$7:J$86,$N29))</f>
        <v/>
      </c>
      <c r="B29" s="10">
        <f>IF($N29="","",INDEX('반배정'!B$7:B$86,$N29))</f>
        <v/>
      </c>
      <c r="C29" s="10">
        <f>IF($N29="","",INDEX('반배정'!C$7:C$86,$N29))</f>
        <v/>
      </c>
      <c r="D29" s="10">
        <f>IF($N29="","",INDEX('반배정'!D$7:D$86,$N29))</f>
        <v/>
      </c>
      <c r="E29" s="10">
        <f>IF($N29="","",INDEX('반배정'!E$7:E$86,$N29))</f>
        <v/>
      </c>
      <c r="F29" s="10">
        <f>IF($N29="","",INDEX('반배정'!G$7:G$86,$N29))</f>
        <v/>
      </c>
      <c r="G29" s="10">
        <f>IF($N29="","",INDEX('반배정'!H$7:H$86,$N29))</f>
        <v/>
      </c>
      <c r="H29" s="37">
        <f>IF($N29="","",INDEX('반배정'!I$7:I$86,$N29))</f>
        <v/>
      </c>
      <c r="I29" s="27">
        <f>IF($N29="","",INDEX('반배정'!O$7:O$86,$N29))</f>
        <v/>
      </c>
      <c r="J29" s="10">
        <f>IF($N29="","",INDEX('반배정'!N$7:N$86,$N29)&amp;"")</f>
        <v/>
      </c>
      <c r="K29" s="10">
        <f>IF($N29="","",INDEX('반배정'!L$7:L$86,$N29))</f>
        <v/>
      </c>
      <c r="L29" s="10">
        <f>IF($N29="","",INDEX('반배정'!P$7:P$86,$N29))</f>
        <v/>
      </c>
      <c r="M29" s="10">
        <f>IFERROR(SMALL('반배정'!$Q$7:$Q$86,23),"")</f>
        <v/>
      </c>
      <c r="N29" s="10">
        <f>IF(M29="","",MATCH(M29,'반배정'!$Q$7:$Q$86,0))</f>
        <v/>
      </c>
    </row>
    <row r="30">
      <c r="A30" s="10">
        <f>IF($N30="","",INDEX('반배정'!J$7:J$86,$N30))</f>
        <v/>
      </c>
      <c r="B30" s="10">
        <f>IF($N30="","",INDEX('반배정'!B$7:B$86,$N30))</f>
        <v/>
      </c>
      <c r="C30" s="10">
        <f>IF($N30="","",INDEX('반배정'!C$7:C$86,$N30))</f>
        <v/>
      </c>
      <c r="D30" s="10">
        <f>IF($N30="","",INDEX('반배정'!D$7:D$86,$N30))</f>
        <v/>
      </c>
      <c r="E30" s="10">
        <f>IF($N30="","",INDEX('반배정'!E$7:E$86,$N30))</f>
        <v/>
      </c>
      <c r="F30" s="10">
        <f>IF($N30="","",INDEX('반배정'!G$7:G$86,$N30))</f>
        <v/>
      </c>
      <c r="G30" s="10">
        <f>IF($N30="","",INDEX('반배정'!H$7:H$86,$N30))</f>
        <v/>
      </c>
      <c r="H30" s="37">
        <f>IF($N30="","",INDEX('반배정'!I$7:I$86,$N30))</f>
        <v/>
      </c>
      <c r="I30" s="27">
        <f>IF($N30="","",INDEX('반배정'!O$7:O$86,$N30))</f>
        <v/>
      </c>
      <c r="J30" s="10">
        <f>IF($N30="","",INDEX('반배정'!N$7:N$86,$N30)&amp;"")</f>
        <v/>
      </c>
      <c r="K30" s="10">
        <f>IF($N30="","",INDEX('반배정'!L$7:L$86,$N30))</f>
        <v/>
      </c>
      <c r="L30" s="10">
        <f>IF($N30="","",INDEX('반배정'!P$7:P$86,$N30))</f>
        <v/>
      </c>
      <c r="M30" s="10">
        <f>IFERROR(SMALL('반배정'!$Q$7:$Q$86,24),"")</f>
        <v/>
      </c>
      <c r="N30" s="10">
        <f>IF(M30="","",MATCH(M30,'반배정'!$Q$7:$Q$86,0))</f>
        <v/>
      </c>
    </row>
    <row r="31">
      <c r="A31" s="10">
        <f>IF($N31="","",INDEX('반배정'!J$7:J$86,$N31))</f>
        <v/>
      </c>
      <c r="B31" s="10">
        <f>IF($N31="","",INDEX('반배정'!B$7:B$86,$N31))</f>
        <v/>
      </c>
      <c r="C31" s="10">
        <f>IF($N31="","",INDEX('반배정'!C$7:C$86,$N31))</f>
        <v/>
      </c>
      <c r="D31" s="10">
        <f>IF($N31="","",INDEX('반배정'!D$7:D$86,$N31))</f>
        <v/>
      </c>
      <c r="E31" s="10">
        <f>IF($N31="","",INDEX('반배정'!E$7:E$86,$N31))</f>
        <v/>
      </c>
      <c r="F31" s="10">
        <f>IF($N31="","",INDEX('반배정'!G$7:G$86,$N31))</f>
        <v/>
      </c>
      <c r="G31" s="10">
        <f>IF($N31="","",INDEX('반배정'!H$7:H$86,$N31))</f>
        <v/>
      </c>
      <c r="H31" s="37">
        <f>IF($N31="","",INDEX('반배정'!I$7:I$86,$N31))</f>
        <v/>
      </c>
      <c r="I31" s="27">
        <f>IF($N31="","",INDEX('반배정'!O$7:O$86,$N31))</f>
        <v/>
      </c>
      <c r="J31" s="10">
        <f>IF($N31="","",INDEX('반배정'!N$7:N$86,$N31)&amp;"")</f>
        <v/>
      </c>
      <c r="K31" s="10">
        <f>IF($N31="","",INDEX('반배정'!L$7:L$86,$N31))</f>
        <v/>
      </c>
      <c r="L31" s="10">
        <f>IF($N31="","",INDEX('반배정'!P$7:P$86,$N31))</f>
        <v/>
      </c>
      <c r="M31" s="10">
        <f>IFERROR(SMALL('반배정'!$Q$7:$Q$86,25),"")</f>
        <v/>
      </c>
      <c r="N31" s="10">
        <f>IF(M31="","",MATCH(M31,'반배정'!$Q$7:$Q$86,0))</f>
        <v/>
      </c>
    </row>
    <row r="32">
      <c r="A32" s="10">
        <f>IF($N32="","",INDEX('반배정'!J$7:J$86,$N32))</f>
        <v/>
      </c>
      <c r="B32" s="10">
        <f>IF($N32="","",INDEX('반배정'!B$7:B$86,$N32))</f>
        <v/>
      </c>
      <c r="C32" s="10">
        <f>IF($N32="","",INDEX('반배정'!C$7:C$86,$N32))</f>
        <v/>
      </c>
      <c r="D32" s="10">
        <f>IF($N32="","",INDEX('반배정'!D$7:D$86,$N32))</f>
        <v/>
      </c>
      <c r="E32" s="10">
        <f>IF($N32="","",INDEX('반배정'!E$7:E$86,$N32))</f>
        <v/>
      </c>
      <c r="F32" s="10">
        <f>IF($N32="","",INDEX('반배정'!G$7:G$86,$N32))</f>
        <v/>
      </c>
      <c r="G32" s="10">
        <f>IF($N32="","",INDEX('반배정'!H$7:H$86,$N32))</f>
        <v/>
      </c>
      <c r="H32" s="37">
        <f>IF($N32="","",INDEX('반배정'!I$7:I$86,$N32))</f>
        <v/>
      </c>
      <c r="I32" s="27">
        <f>IF($N32="","",INDEX('반배정'!O$7:O$86,$N32))</f>
        <v/>
      </c>
      <c r="J32" s="10">
        <f>IF($N32="","",INDEX('반배정'!N$7:N$86,$N32)&amp;"")</f>
        <v/>
      </c>
      <c r="K32" s="10">
        <f>IF($N32="","",INDEX('반배정'!L$7:L$86,$N32))</f>
        <v/>
      </c>
      <c r="L32" s="10">
        <f>IF($N32="","",INDEX('반배정'!P$7:P$86,$N32))</f>
        <v/>
      </c>
      <c r="M32" s="10">
        <f>IFERROR(SMALL('반배정'!$Q$7:$Q$86,26),"")</f>
        <v/>
      </c>
      <c r="N32" s="10">
        <f>IF(M32="","",MATCH(M32,'반배정'!$Q$7:$Q$86,0))</f>
        <v/>
      </c>
    </row>
    <row r="33">
      <c r="A33" s="10">
        <f>IF($N33="","",INDEX('반배정'!J$7:J$86,$N33))</f>
        <v/>
      </c>
      <c r="B33" s="10">
        <f>IF($N33="","",INDEX('반배정'!B$7:B$86,$N33))</f>
        <v/>
      </c>
      <c r="C33" s="10">
        <f>IF($N33="","",INDEX('반배정'!C$7:C$86,$N33))</f>
        <v/>
      </c>
      <c r="D33" s="10">
        <f>IF($N33="","",INDEX('반배정'!D$7:D$86,$N33))</f>
        <v/>
      </c>
      <c r="E33" s="10">
        <f>IF($N33="","",INDEX('반배정'!E$7:E$86,$N33))</f>
        <v/>
      </c>
      <c r="F33" s="10">
        <f>IF($N33="","",INDEX('반배정'!G$7:G$86,$N33))</f>
        <v/>
      </c>
      <c r="G33" s="10">
        <f>IF($N33="","",INDEX('반배정'!H$7:H$86,$N33))</f>
        <v/>
      </c>
      <c r="H33" s="37">
        <f>IF($N33="","",INDEX('반배정'!I$7:I$86,$N33))</f>
        <v/>
      </c>
      <c r="I33" s="27">
        <f>IF($N33="","",INDEX('반배정'!O$7:O$86,$N33))</f>
        <v/>
      </c>
      <c r="J33" s="10">
        <f>IF($N33="","",INDEX('반배정'!N$7:N$86,$N33)&amp;"")</f>
        <v/>
      </c>
      <c r="K33" s="10">
        <f>IF($N33="","",INDEX('반배정'!L$7:L$86,$N33))</f>
        <v/>
      </c>
      <c r="L33" s="10">
        <f>IF($N33="","",INDEX('반배정'!P$7:P$86,$N33))</f>
        <v/>
      </c>
      <c r="M33" s="10">
        <f>IFERROR(SMALL('반배정'!$Q$7:$Q$86,27),"")</f>
        <v/>
      </c>
      <c r="N33" s="10">
        <f>IF(M33="","",MATCH(M33,'반배정'!$Q$7:$Q$86,0))</f>
        <v/>
      </c>
    </row>
    <row r="34">
      <c r="A34" s="10">
        <f>IF($N34="","",INDEX('반배정'!J$7:J$86,$N34))</f>
        <v/>
      </c>
      <c r="B34" s="10">
        <f>IF($N34="","",INDEX('반배정'!B$7:B$86,$N34))</f>
        <v/>
      </c>
      <c r="C34" s="10">
        <f>IF($N34="","",INDEX('반배정'!C$7:C$86,$N34))</f>
        <v/>
      </c>
      <c r="D34" s="10">
        <f>IF($N34="","",INDEX('반배정'!D$7:D$86,$N34))</f>
        <v/>
      </c>
      <c r="E34" s="10">
        <f>IF($N34="","",INDEX('반배정'!E$7:E$86,$N34))</f>
        <v/>
      </c>
      <c r="F34" s="10">
        <f>IF($N34="","",INDEX('반배정'!G$7:G$86,$N34))</f>
        <v/>
      </c>
      <c r="G34" s="10">
        <f>IF($N34="","",INDEX('반배정'!H$7:H$86,$N34))</f>
        <v/>
      </c>
      <c r="H34" s="37">
        <f>IF($N34="","",INDEX('반배정'!I$7:I$86,$N34))</f>
        <v/>
      </c>
      <c r="I34" s="27">
        <f>IF($N34="","",INDEX('반배정'!O$7:O$86,$N34))</f>
        <v/>
      </c>
      <c r="J34" s="10">
        <f>IF($N34="","",INDEX('반배정'!N$7:N$86,$N34)&amp;"")</f>
        <v/>
      </c>
      <c r="K34" s="10">
        <f>IF($N34="","",INDEX('반배정'!L$7:L$86,$N34))</f>
        <v/>
      </c>
      <c r="L34" s="10">
        <f>IF($N34="","",INDEX('반배정'!P$7:P$86,$N34))</f>
        <v/>
      </c>
      <c r="M34" s="10">
        <f>IFERROR(SMALL('반배정'!$Q$7:$Q$86,28),"")</f>
        <v/>
      </c>
      <c r="N34" s="10">
        <f>IF(M34="","",MATCH(M34,'반배정'!$Q$7:$Q$86,0))</f>
        <v/>
      </c>
    </row>
    <row r="35">
      <c r="A35" s="10">
        <f>IF($N35="","",INDEX('반배정'!J$7:J$86,$N35))</f>
        <v/>
      </c>
      <c r="B35" s="10">
        <f>IF($N35="","",INDEX('반배정'!B$7:B$86,$N35))</f>
        <v/>
      </c>
      <c r="C35" s="10">
        <f>IF($N35="","",INDEX('반배정'!C$7:C$86,$N35))</f>
        <v/>
      </c>
      <c r="D35" s="10">
        <f>IF($N35="","",INDEX('반배정'!D$7:D$86,$N35))</f>
        <v/>
      </c>
      <c r="E35" s="10">
        <f>IF($N35="","",INDEX('반배정'!E$7:E$86,$N35))</f>
        <v/>
      </c>
      <c r="F35" s="10">
        <f>IF($N35="","",INDEX('반배정'!G$7:G$86,$N35))</f>
        <v/>
      </c>
      <c r="G35" s="10">
        <f>IF($N35="","",INDEX('반배정'!H$7:H$86,$N35))</f>
        <v/>
      </c>
      <c r="H35" s="37">
        <f>IF($N35="","",INDEX('반배정'!I$7:I$86,$N35))</f>
        <v/>
      </c>
      <c r="I35" s="27">
        <f>IF($N35="","",INDEX('반배정'!O$7:O$86,$N35))</f>
        <v/>
      </c>
      <c r="J35" s="10">
        <f>IF($N35="","",INDEX('반배정'!N$7:N$86,$N35)&amp;"")</f>
        <v/>
      </c>
      <c r="K35" s="10">
        <f>IF($N35="","",INDEX('반배정'!L$7:L$86,$N35))</f>
        <v/>
      </c>
      <c r="L35" s="10">
        <f>IF($N35="","",INDEX('반배정'!P$7:P$86,$N35))</f>
        <v/>
      </c>
      <c r="M35" s="10">
        <f>IFERROR(SMALL('반배정'!$Q$7:$Q$86,29),"")</f>
        <v/>
      </c>
      <c r="N35" s="10">
        <f>IF(M35="","",MATCH(M35,'반배정'!$Q$7:$Q$86,0))</f>
        <v/>
      </c>
    </row>
    <row r="36">
      <c r="A36" s="10">
        <f>IF($N36="","",INDEX('반배정'!J$7:J$86,$N36))</f>
        <v/>
      </c>
      <c r="B36" s="10">
        <f>IF($N36="","",INDEX('반배정'!B$7:B$86,$N36))</f>
        <v/>
      </c>
      <c r="C36" s="10">
        <f>IF($N36="","",INDEX('반배정'!C$7:C$86,$N36))</f>
        <v/>
      </c>
      <c r="D36" s="10">
        <f>IF($N36="","",INDEX('반배정'!D$7:D$86,$N36))</f>
        <v/>
      </c>
      <c r="E36" s="10">
        <f>IF($N36="","",INDEX('반배정'!E$7:E$86,$N36))</f>
        <v/>
      </c>
      <c r="F36" s="10">
        <f>IF($N36="","",INDEX('반배정'!G$7:G$86,$N36))</f>
        <v/>
      </c>
      <c r="G36" s="10">
        <f>IF($N36="","",INDEX('반배정'!H$7:H$86,$N36))</f>
        <v/>
      </c>
      <c r="H36" s="37">
        <f>IF($N36="","",INDEX('반배정'!I$7:I$86,$N36))</f>
        <v/>
      </c>
      <c r="I36" s="27">
        <f>IF($N36="","",INDEX('반배정'!O$7:O$86,$N36))</f>
        <v/>
      </c>
      <c r="J36" s="10">
        <f>IF($N36="","",INDEX('반배정'!N$7:N$86,$N36)&amp;"")</f>
        <v/>
      </c>
      <c r="K36" s="10">
        <f>IF($N36="","",INDEX('반배정'!L$7:L$86,$N36))</f>
        <v/>
      </c>
      <c r="L36" s="10">
        <f>IF($N36="","",INDEX('반배정'!P$7:P$86,$N36))</f>
        <v/>
      </c>
      <c r="M36" s="10">
        <f>IFERROR(SMALL('반배정'!$Q$7:$Q$86,30),"")</f>
        <v/>
      </c>
      <c r="N36" s="10">
        <f>IF(M36="","",MATCH(M36,'반배정'!$Q$7:$Q$86,0))</f>
        <v/>
      </c>
    </row>
    <row r="37">
      <c r="A37" s="10">
        <f>IF($N37="","",INDEX('반배정'!J$7:J$86,$N37))</f>
        <v/>
      </c>
      <c r="B37" s="10">
        <f>IF($N37="","",INDEX('반배정'!B$7:B$86,$N37))</f>
        <v/>
      </c>
      <c r="C37" s="10">
        <f>IF($N37="","",INDEX('반배정'!C$7:C$86,$N37))</f>
        <v/>
      </c>
      <c r="D37" s="10">
        <f>IF($N37="","",INDEX('반배정'!D$7:D$86,$N37))</f>
        <v/>
      </c>
      <c r="E37" s="10">
        <f>IF($N37="","",INDEX('반배정'!E$7:E$86,$N37))</f>
        <v/>
      </c>
      <c r="F37" s="10">
        <f>IF($N37="","",INDEX('반배정'!G$7:G$86,$N37))</f>
        <v/>
      </c>
      <c r="G37" s="10">
        <f>IF($N37="","",INDEX('반배정'!H$7:H$86,$N37))</f>
        <v/>
      </c>
      <c r="H37" s="37">
        <f>IF($N37="","",INDEX('반배정'!I$7:I$86,$N37))</f>
        <v/>
      </c>
      <c r="I37" s="27">
        <f>IF($N37="","",INDEX('반배정'!O$7:O$86,$N37))</f>
        <v/>
      </c>
      <c r="J37" s="10">
        <f>IF($N37="","",INDEX('반배정'!N$7:N$86,$N37)&amp;"")</f>
        <v/>
      </c>
      <c r="K37" s="10">
        <f>IF($N37="","",INDEX('반배정'!L$7:L$86,$N37))</f>
        <v/>
      </c>
      <c r="L37" s="10">
        <f>IF($N37="","",INDEX('반배정'!P$7:P$86,$N37))</f>
        <v/>
      </c>
      <c r="M37" s="10">
        <f>IFERROR(SMALL('반배정'!$Q$7:$Q$86,31),"")</f>
        <v/>
      </c>
      <c r="N37" s="10">
        <f>IF(M37="","",MATCH(M37,'반배정'!$Q$7:$Q$86,0))</f>
        <v/>
      </c>
    </row>
    <row r="38">
      <c r="A38" s="10">
        <f>IF($N38="","",INDEX('반배정'!J$7:J$86,$N38))</f>
        <v/>
      </c>
      <c r="B38" s="10">
        <f>IF($N38="","",INDEX('반배정'!B$7:B$86,$N38))</f>
        <v/>
      </c>
      <c r="C38" s="10">
        <f>IF($N38="","",INDEX('반배정'!C$7:C$86,$N38))</f>
        <v/>
      </c>
      <c r="D38" s="10">
        <f>IF($N38="","",INDEX('반배정'!D$7:D$86,$N38))</f>
        <v/>
      </c>
      <c r="E38" s="10">
        <f>IF($N38="","",INDEX('반배정'!E$7:E$86,$N38))</f>
        <v/>
      </c>
      <c r="F38" s="10">
        <f>IF($N38="","",INDEX('반배정'!G$7:G$86,$N38))</f>
        <v/>
      </c>
      <c r="G38" s="10">
        <f>IF($N38="","",INDEX('반배정'!H$7:H$86,$N38))</f>
        <v/>
      </c>
      <c r="H38" s="37">
        <f>IF($N38="","",INDEX('반배정'!I$7:I$86,$N38))</f>
        <v/>
      </c>
      <c r="I38" s="27">
        <f>IF($N38="","",INDEX('반배정'!O$7:O$86,$N38))</f>
        <v/>
      </c>
      <c r="J38" s="10">
        <f>IF($N38="","",INDEX('반배정'!N$7:N$86,$N38)&amp;"")</f>
        <v/>
      </c>
      <c r="K38" s="10">
        <f>IF($N38="","",INDEX('반배정'!L$7:L$86,$N38))</f>
        <v/>
      </c>
      <c r="L38" s="10">
        <f>IF($N38="","",INDEX('반배정'!P$7:P$86,$N38))</f>
        <v/>
      </c>
      <c r="M38" s="10">
        <f>IFERROR(SMALL('반배정'!$Q$7:$Q$86,32),"")</f>
        <v/>
      </c>
      <c r="N38" s="10">
        <f>IF(M38="","",MATCH(M38,'반배정'!$Q$7:$Q$86,0))</f>
        <v/>
      </c>
    </row>
    <row r="39">
      <c r="A39" s="10">
        <f>IF($N39="","",INDEX('반배정'!J$7:J$86,$N39))</f>
        <v/>
      </c>
      <c r="B39" s="10">
        <f>IF($N39="","",INDEX('반배정'!B$7:B$86,$N39))</f>
        <v/>
      </c>
      <c r="C39" s="10">
        <f>IF($N39="","",INDEX('반배정'!C$7:C$86,$N39))</f>
        <v/>
      </c>
      <c r="D39" s="10">
        <f>IF($N39="","",INDEX('반배정'!D$7:D$86,$N39))</f>
        <v/>
      </c>
      <c r="E39" s="10">
        <f>IF($N39="","",INDEX('반배정'!E$7:E$86,$N39))</f>
        <v/>
      </c>
      <c r="F39" s="10">
        <f>IF($N39="","",INDEX('반배정'!G$7:G$86,$N39))</f>
        <v/>
      </c>
      <c r="G39" s="10">
        <f>IF($N39="","",INDEX('반배정'!H$7:H$86,$N39))</f>
        <v/>
      </c>
      <c r="H39" s="37">
        <f>IF($N39="","",INDEX('반배정'!I$7:I$86,$N39))</f>
        <v/>
      </c>
      <c r="I39" s="27">
        <f>IF($N39="","",INDEX('반배정'!O$7:O$86,$N39))</f>
        <v/>
      </c>
      <c r="J39" s="10">
        <f>IF($N39="","",INDEX('반배정'!N$7:N$86,$N39)&amp;"")</f>
        <v/>
      </c>
      <c r="K39" s="10">
        <f>IF($N39="","",INDEX('반배정'!L$7:L$86,$N39))</f>
        <v/>
      </c>
      <c r="L39" s="10">
        <f>IF($N39="","",INDEX('반배정'!P$7:P$86,$N39))</f>
        <v/>
      </c>
      <c r="M39" s="10">
        <f>IFERROR(SMALL('반배정'!$Q$7:$Q$86,33),"")</f>
        <v/>
      </c>
      <c r="N39" s="10">
        <f>IF(M39="","",MATCH(M39,'반배정'!$Q$7:$Q$86,0))</f>
        <v/>
      </c>
    </row>
    <row r="40">
      <c r="A40" s="10">
        <f>IF($N40="","",INDEX('반배정'!J$7:J$86,$N40))</f>
        <v/>
      </c>
      <c r="B40" s="10">
        <f>IF($N40="","",INDEX('반배정'!B$7:B$86,$N40))</f>
        <v/>
      </c>
      <c r="C40" s="10">
        <f>IF($N40="","",INDEX('반배정'!C$7:C$86,$N40))</f>
        <v/>
      </c>
      <c r="D40" s="10">
        <f>IF($N40="","",INDEX('반배정'!D$7:D$86,$N40))</f>
        <v/>
      </c>
      <c r="E40" s="10">
        <f>IF($N40="","",INDEX('반배정'!E$7:E$86,$N40))</f>
        <v/>
      </c>
      <c r="F40" s="10">
        <f>IF($N40="","",INDEX('반배정'!G$7:G$86,$N40))</f>
        <v/>
      </c>
      <c r="G40" s="10">
        <f>IF($N40="","",INDEX('반배정'!H$7:H$86,$N40))</f>
        <v/>
      </c>
      <c r="H40" s="37">
        <f>IF($N40="","",INDEX('반배정'!I$7:I$86,$N40))</f>
        <v/>
      </c>
      <c r="I40" s="27">
        <f>IF($N40="","",INDEX('반배정'!O$7:O$86,$N40))</f>
        <v/>
      </c>
      <c r="J40" s="10">
        <f>IF($N40="","",INDEX('반배정'!N$7:N$86,$N40)&amp;"")</f>
        <v/>
      </c>
      <c r="K40" s="10">
        <f>IF($N40="","",INDEX('반배정'!L$7:L$86,$N40))</f>
        <v/>
      </c>
      <c r="L40" s="10">
        <f>IF($N40="","",INDEX('반배정'!P$7:P$86,$N40))</f>
        <v/>
      </c>
      <c r="M40" s="10">
        <f>IFERROR(SMALL('반배정'!$Q$7:$Q$86,34),"")</f>
        <v/>
      </c>
      <c r="N40" s="10">
        <f>IF(M40="","",MATCH(M40,'반배정'!$Q$7:$Q$86,0))</f>
        <v/>
      </c>
    </row>
    <row r="41">
      <c r="A41" s="10">
        <f>IF($N41="","",INDEX('반배정'!J$7:J$86,$N41))</f>
        <v/>
      </c>
      <c r="B41" s="10">
        <f>IF($N41="","",INDEX('반배정'!B$7:B$86,$N41))</f>
        <v/>
      </c>
      <c r="C41" s="10">
        <f>IF($N41="","",INDEX('반배정'!C$7:C$86,$N41))</f>
        <v/>
      </c>
      <c r="D41" s="10">
        <f>IF($N41="","",INDEX('반배정'!D$7:D$86,$N41))</f>
        <v/>
      </c>
      <c r="E41" s="10">
        <f>IF($N41="","",INDEX('반배정'!E$7:E$86,$N41))</f>
        <v/>
      </c>
      <c r="F41" s="10">
        <f>IF($N41="","",INDEX('반배정'!G$7:G$86,$N41))</f>
        <v/>
      </c>
      <c r="G41" s="10">
        <f>IF($N41="","",INDEX('반배정'!H$7:H$86,$N41))</f>
        <v/>
      </c>
      <c r="H41" s="37">
        <f>IF($N41="","",INDEX('반배정'!I$7:I$86,$N41))</f>
        <v/>
      </c>
      <c r="I41" s="27">
        <f>IF($N41="","",INDEX('반배정'!O$7:O$86,$N41))</f>
        <v/>
      </c>
      <c r="J41" s="10">
        <f>IF($N41="","",INDEX('반배정'!N$7:N$86,$N41)&amp;"")</f>
        <v/>
      </c>
      <c r="K41" s="10">
        <f>IF($N41="","",INDEX('반배정'!L$7:L$86,$N41))</f>
        <v/>
      </c>
      <c r="L41" s="10">
        <f>IF($N41="","",INDEX('반배정'!P$7:P$86,$N41))</f>
        <v/>
      </c>
      <c r="M41" s="10">
        <f>IFERROR(SMALL('반배정'!$Q$7:$Q$86,35),"")</f>
        <v/>
      </c>
      <c r="N41" s="10">
        <f>IF(M41="","",MATCH(M41,'반배정'!$Q$7:$Q$86,0))</f>
        <v/>
      </c>
    </row>
    <row r="42">
      <c r="A42" s="10">
        <f>IF($N42="","",INDEX('반배정'!J$7:J$86,$N42))</f>
        <v/>
      </c>
      <c r="B42" s="10">
        <f>IF($N42="","",INDEX('반배정'!B$7:B$86,$N42))</f>
        <v/>
      </c>
      <c r="C42" s="10">
        <f>IF($N42="","",INDEX('반배정'!C$7:C$86,$N42))</f>
        <v/>
      </c>
      <c r="D42" s="10">
        <f>IF($N42="","",INDEX('반배정'!D$7:D$86,$N42))</f>
        <v/>
      </c>
      <c r="E42" s="10">
        <f>IF($N42="","",INDEX('반배정'!E$7:E$86,$N42))</f>
        <v/>
      </c>
      <c r="F42" s="10">
        <f>IF($N42="","",INDEX('반배정'!G$7:G$86,$N42))</f>
        <v/>
      </c>
      <c r="G42" s="10">
        <f>IF($N42="","",INDEX('반배정'!H$7:H$86,$N42))</f>
        <v/>
      </c>
      <c r="H42" s="37">
        <f>IF($N42="","",INDEX('반배정'!I$7:I$86,$N42))</f>
        <v/>
      </c>
      <c r="I42" s="27">
        <f>IF($N42="","",INDEX('반배정'!O$7:O$86,$N42))</f>
        <v/>
      </c>
      <c r="J42" s="10">
        <f>IF($N42="","",INDEX('반배정'!N$7:N$86,$N42)&amp;"")</f>
        <v/>
      </c>
      <c r="K42" s="10">
        <f>IF($N42="","",INDEX('반배정'!L$7:L$86,$N42))</f>
        <v/>
      </c>
      <c r="L42" s="10">
        <f>IF($N42="","",INDEX('반배정'!P$7:P$86,$N42))</f>
        <v/>
      </c>
      <c r="M42" s="10">
        <f>IFERROR(SMALL('반배정'!$Q$7:$Q$86,36),"")</f>
        <v/>
      </c>
      <c r="N42" s="10">
        <f>IF(M42="","",MATCH(M42,'반배정'!$Q$7:$Q$86,0))</f>
        <v/>
      </c>
    </row>
    <row r="43">
      <c r="A43" s="10">
        <f>IF($N43="","",INDEX('반배정'!J$7:J$86,$N43))</f>
        <v/>
      </c>
      <c r="B43" s="10">
        <f>IF($N43="","",INDEX('반배정'!B$7:B$86,$N43))</f>
        <v/>
      </c>
      <c r="C43" s="10">
        <f>IF($N43="","",INDEX('반배정'!C$7:C$86,$N43))</f>
        <v/>
      </c>
      <c r="D43" s="10">
        <f>IF($N43="","",INDEX('반배정'!D$7:D$86,$N43))</f>
        <v/>
      </c>
      <c r="E43" s="10">
        <f>IF($N43="","",INDEX('반배정'!E$7:E$86,$N43))</f>
        <v/>
      </c>
      <c r="F43" s="10">
        <f>IF($N43="","",INDEX('반배정'!G$7:G$86,$N43))</f>
        <v/>
      </c>
      <c r="G43" s="10">
        <f>IF($N43="","",INDEX('반배정'!H$7:H$86,$N43))</f>
        <v/>
      </c>
      <c r="H43" s="37">
        <f>IF($N43="","",INDEX('반배정'!I$7:I$86,$N43))</f>
        <v/>
      </c>
      <c r="I43" s="27">
        <f>IF($N43="","",INDEX('반배정'!O$7:O$86,$N43))</f>
        <v/>
      </c>
      <c r="J43" s="10">
        <f>IF($N43="","",INDEX('반배정'!N$7:N$86,$N43)&amp;"")</f>
        <v/>
      </c>
      <c r="K43" s="10">
        <f>IF($N43="","",INDEX('반배정'!L$7:L$86,$N43))</f>
        <v/>
      </c>
      <c r="L43" s="10">
        <f>IF($N43="","",INDEX('반배정'!P$7:P$86,$N43))</f>
        <v/>
      </c>
      <c r="M43" s="10">
        <f>IFERROR(SMALL('반배정'!$Q$7:$Q$86,37),"")</f>
        <v/>
      </c>
      <c r="N43" s="10">
        <f>IF(M43="","",MATCH(M43,'반배정'!$Q$7:$Q$86,0))</f>
        <v/>
      </c>
    </row>
    <row r="44">
      <c r="A44" s="10">
        <f>IF($N44="","",INDEX('반배정'!J$7:J$86,$N44))</f>
        <v/>
      </c>
      <c r="B44" s="10">
        <f>IF($N44="","",INDEX('반배정'!B$7:B$86,$N44))</f>
        <v/>
      </c>
      <c r="C44" s="10">
        <f>IF($N44="","",INDEX('반배정'!C$7:C$86,$N44))</f>
        <v/>
      </c>
      <c r="D44" s="10">
        <f>IF($N44="","",INDEX('반배정'!D$7:D$86,$N44))</f>
        <v/>
      </c>
      <c r="E44" s="10">
        <f>IF($N44="","",INDEX('반배정'!E$7:E$86,$N44))</f>
        <v/>
      </c>
      <c r="F44" s="10">
        <f>IF($N44="","",INDEX('반배정'!G$7:G$86,$N44))</f>
        <v/>
      </c>
      <c r="G44" s="10">
        <f>IF($N44="","",INDEX('반배정'!H$7:H$86,$N44))</f>
        <v/>
      </c>
      <c r="H44" s="37">
        <f>IF($N44="","",INDEX('반배정'!I$7:I$86,$N44))</f>
        <v/>
      </c>
      <c r="I44" s="27">
        <f>IF($N44="","",INDEX('반배정'!O$7:O$86,$N44))</f>
        <v/>
      </c>
      <c r="J44" s="10">
        <f>IF($N44="","",INDEX('반배정'!N$7:N$86,$N44)&amp;"")</f>
        <v/>
      </c>
      <c r="K44" s="10">
        <f>IF($N44="","",INDEX('반배정'!L$7:L$86,$N44))</f>
        <v/>
      </c>
      <c r="L44" s="10">
        <f>IF($N44="","",INDEX('반배정'!P$7:P$86,$N44))</f>
        <v/>
      </c>
      <c r="M44" s="10">
        <f>IFERROR(SMALL('반배정'!$Q$7:$Q$86,38),"")</f>
        <v/>
      </c>
      <c r="N44" s="10">
        <f>IF(M44="","",MATCH(M44,'반배정'!$Q$7:$Q$86,0))</f>
        <v/>
      </c>
    </row>
    <row r="45">
      <c r="A45" s="10">
        <f>IF($N45="","",INDEX('반배정'!J$7:J$86,$N45))</f>
        <v/>
      </c>
      <c r="B45" s="10">
        <f>IF($N45="","",INDEX('반배정'!B$7:B$86,$N45))</f>
        <v/>
      </c>
      <c r="C45" s="10">
        <f>IF($N45="","",INDEX('반배정'!C$7:C$86,$N45))</f>
        <v/>
      </c>
      <c r="D45" s="10">
        <f>IF($N45="","",INDEX('반배정'!D$7:D$86,$N45))</f>
        <v/>
      </c>
      <c r="E45" s="10">
        <f>IF($N45="","",INDEX('반배정'!E$7:E$86,$N45))</f>
        <v/>
      </c>
      <c r="F45" s="10">
        <f>IF($N45="","",INDEX('반배정'!G$7:G$86,$N45))</f>
        <v/>
      </c>
      <c r="G45" s="10">
        <f>IF($N45="","",INDEX('반배정'!H$7:H$86,$N45))</f>
        <v/>
      </c>
      <c r="H45" s="37">
        <f>IF($N45="","",INDEX('반배정'!I$7:I$86,$N45))</f>
        <v/>
      </c>
      <c r="I45" s="27">
        <f>IF($N45="","",INDEX('반배정'!O$7:O$86,$N45))</f>
        <v/>
      </c>
      <c r="J45" s="10">
        <f>IF($N45="","",INDEX('반배정'!N$7:N$86,$N45)&amp;"")</f>
        <v/>
      </c>
      <c r="K45" s="10">
        <f>IF($N45="","",INDEX('반배정'!L$7:L$86,$N45))</f>
        <v/>
      </c>
      <c r="L45" s="10">
        <f>IF($N45="","",INDEX('반배정'!P$7:P$86,$N45))</f>
        <v/>
      </c>
      <c r="M45" s="10">
        <f>IFERROR(SMALL('반배정'!$Q$7:$Q$86,39),"")</f>
        <v/>
      </c>
      <c r="N45" s="10">
        <f>IF(M45="","",MATCH(M45,'반배정'!$Q$7:$Q$86,0))</f>
        <v/>
      </c>
    </row>
    <row r="46">
      <c r="A46" s="10">
        <f>IF($N46="","",INDEX('반배정'!J$7:J$86,$N46))</f>
        <v/>
      </c>
      <c r="B46" s="10">
        <f>IF($N46="","",INDEX('반배정'!B$7:B$86,$N46))</f>
        <v/>
      </c>
      <c r="C46" s="10">
        <f>IF($N46="","",INDEX('반배정'!C$7:C$86,$N46))</f>
        <v/>
      </c>
      <c r="D46" s="10">
        <f>IF($N46="","",INDEX('반배정'!D$7:D$86,$N46))</f>
        <v/>
      </c>
      <c r="E46" s="10">
        <f>IF($N46="","",INDEX('반배정'!E$7:E$86,$N46))</f>
        <v/>
      </c>
      <c r="F46" s="10">
        <f>IF($N46="","",INDEX('반배정'!G$7:G$86,$N46))</f>
        <v/>
      </c>
      <c r="G46" s="10">
        <f>IF($N46="","",INDEX('반배정'!H$7:H$86,$N46))</f>
        <v/>
      </c>
      <c r="H46" s="37">
        <f>IF($N46="","",INDEX('반배정'!I$7:I$86,$N46))</f>
        <v/>
      </c>
      <c r="I46" s="27">
        <f>IF($N46="","",INDEX('반배정'!O$7:O$86,$N46))</f>
        <v/>
      </c>
      <c r="J46" s="10">
        <f>IF($N46="","",INDEX('반배정'!N$7:N$86,$N46)&amp;"")</f>
        <v/>
      </c>
      <c r="K46" s="10">
        <f>IF($N46="","",INDEX('반배정'!L$7:L$86,$N46))</f>
        <v/>
      </c>
      <c r="L46" s="10">
        <f>IF($N46="","",INDEX('반배정'!P$7:P$86,$N46))</f>
        <v/>
      </c>
      <c r="M46" s="10">
        <f>IFERROR(SMALL('반배정'!$Q$7:$Q$86,40),"")</f>
        <v/>
      </c>
      <c r="N46" s="10">
        <f>IF(M46="","",MATCH(M46,'반배정'!$Q$7:$Q$86,0))</f>
        <v/>
      </c>
    </row>
    <row r="47">
      <c r="A47" s="10">
        <f>IF($N47="","",INDEX('반배정'!J$7:J$86,$N47))</f>
        <v/>
      </c>
      <c r="B47" s="10">
        <f>IF($N47="","",INDEX('반배정'!B$7:B$86,$N47))</f>
        <v/>
      </c>
      <c r="C47" s="10">
        <f>IF($N47="","",INDEX('반배정'!C$7:C$86,$N47))</f>
        <v/>
      </c>
      <c r="D47" s="10">
        <f>IF($N47="","",INDEX('반배정'!D$7:D$86,$N47))</f>
        <v/>
      </c>
      <c r="E47" s="10">
        <f>IF($N47="","",INDEX('반배정'!E$7:E$86,$N47))</f>
        <v/>
      </c>
      <c r="F47" s="10">
        <f>IF($N47="","",INDEX('반배정'!G$7:G$86,$N47))</f>
        <v/>
      </c>
      <c r="G47" s="10">
        <f>IF($N47="","",INDEX('반배정'!H$7:H$86,$N47))</f>
        <v/>
      </c>
      <c r="H47" s="37">
        <f>IF($N47="","",INDEX('반배정'!I$7:I$86,$N47))</f>
        <v/>
      </c>
      <c r="I47" s="27">
        <f>IF($N47="","",INDEX('반배정'!O$7:O$86,$N47))</f>
        <v/>
      </c>
      <c r="J47" s="10">
        <f>IF($N47="","",INDEX('반배정'!N$7:N$86,$N47)&amp;"")</f>
        <v/>
      </c>
      <c r="K47" s="10">
        <f>IF($N47="","",INDEX('반배정'!L$7:L$86,$N47))</f>
        <v/>
      </c>
      <c r="L47" s="10">
        <f>IF($N47="","",INDEX('반배정'!P$7:P$86,$N47))</f>
        <v/>
      </c>
      <c r="M47" s="10">
        <f>IFERROR(SMALL('반배정'!$Q$7:$Q$86,41),"")</f>
        <v/>
      </c>
      <c r="N47" s="10">
        <f>IF(M47="","",MATCH(M47,'반배정'!$Q$7:$Q$86,0))</f>
        <v/>
      </c>
    </row>
    <row r="48">
      <c r="A48" s="10">
        <f>IF($N48="","",INDEX('반배정'!J$7:J$86,$N48))</f>
        <v/>
      </c>
      <c r="B48" s="10">
        <f>IF($N48="","",INDEX('반배정'!B$7:B$86,$N48))</f>
        <v/>
      </c>
      <c r="C48" s="10">
        <f>IF($N48="","",INDEX('반배정'!C$7:C$86,$N48))</f>
        <v/>
      </c>
      <c r="D48" s="10">
        <f>IF($N48="","",INDEX('반배정'!D$7:D$86,$N48))</f>
        <v/>
      </c>
      <c r="E48" s="10">
        <f>IF($N48="","",INDEX('반배정'!E$7:E$86,$N48))</f>
        <v/>
      </c>
      <c r="F48" s="10">
        <f>IF($N48="","",INDEX('반배정'!G$7:G$86,$N48))</f>
        <v/>
      </c>
      <c r="G48" s="10">
        <f>IF($N48="","",INDEX('반배정'!H$7:H$86,$N48))</f>
        <v/>
      </c>
      <c r="H48" s="37">
        <f>IF($N48="","",INDEX('반배정'!I$7:I$86,$N48))</f>
        <v/>
      </c>
      <c r="I48" s="27">
        <f>IF($N48="","",INDEX('반배정'!O$7:O$86,$N48))</f>
        <v/>
      </c>
      <c r="J48" s="10">
        <f>IF($N48="","",INDEX('반배정'!N$7:N$86,$N48)&amp;"")</f>
        <v/>
      </c>
      <c r="K48" s="10">
        <f>IF($N48="","",INDEX('반배정'!L$7:L$86,$N48))</f>
        <v/>
      </c>
      <c r="L48" s="10">
        <f>IF($N48="","",INDEX('반배정'!P$7:P$86,$N48))</f>
        <v/>
      </c>
      <c r="M48" s="10">
        <f>IFERROR(SMALL('반배정'!$Q$7:$Q$86,42),"")</f>
        <v/>
      </c>
      <c r="N48" s="10">
        <f>IF(M48="","",MATCH(M48,'반배정'!$Q$7:$Q$86,0))</f>
        <v/>
      </c>
    </row>
    <row r="49">
      <c r="A49" s="10">
        <f>IF($N49="","",INDEX('반배정'!J$7:J$86,$N49))</f>
        <v/>
      </c>
      <c r="B49" s="10">
        <f>IF($N49="","",INDEX('반배정'!B$7:B$86,$N49))</f>
        <v/>
      </c>
      <c r="C49" s="10">
        <f>IF($N49="","",INDEX('반배정'!C$7:C$86,$N49))</f>
        <v/>
      </c>
      <c r="D49" s="10">
        <f>IF($N49="","",INDEX('반배정'!D$7:D$86,$N49))</f>
        <v/>
      </c>
      <c r="E49" s="10">
        <f>IF($N49="","",INDEX('반배정'!E$7:E$86,$N49))</f>
        <v/>
      </c>
      <c r="F49" s="10">
        <f>IF($N49="","",INDEX('반배정'!G$7:G$86,$N49))</f>
        <v/>
      </c>
      <c r="G49" s="10">
        <f>IF($N49="","",INDEX('반배정'!H$7:H$86,$N49))</f>
        <v/>
      </c>
      <c r="H49" s="37">
        <f>IF($N49="","",INDEX('반배정'!I$7:I$86,$N49))</f>
        <v/>
      </c>
      <c r="I49" s="27">
        <f>IF($N49="","",INDEX('반배정'!O$7:O$86,$N49))</f>
        <v/>
      </c>
      <c r="J49" s="10">
        <f>IF($N49="","",INDEX('반배정'!N$7:N$86,$N49)&amp;"")</f>
        <v/>
      </c>
      <c r="K49" s="10">
        <f>IF($N49="","",INDEX('반배정'!L$7:L$86,$N49))</f>
        <v/>
      </c>
      <c r="L49" s="10">
        <f>IF($N49="","",INDEX('반배정'!P$7:P$86,$N49))</f>
        <v/>
      </c>
      <c r="M49" s="10">
        <f>IFERROR(SMALL('반배정'!$Q$7:$Q$86,43),"")</f>
        <v/>
      </c>
      <c r="N49" s="10">
        <f>IF(M49="","",MATCH(M49,'반배정'!$Q$7:$Q$86,0))</f>
        <v/>
      </c>
    </row>
    <row r="50">
      <c r="A50" s="10">
        <f>IF($N50="","",INDEX('반배정'!J$7:J$86,$N50))</f>
        <v/>
      </c>
      <c r="B50" s="10">
        <f>IF($N50="","",INDEX('반배정'!B$7:B$86,$N50))</f>
        <v/>
      </c>
      <c r="C50" s="10">
        <f>IF($N50="","",INDEX('반배정'!C$7:C$86,$N50))</f>
        <v/>
      </c>
      <c r="D50" s="10">
        <f>IF($N50="","",INDEX('반배정'!D$7:D$86,$N50))</f>
        <v/>
      </c>
      <c r="E50" s="10">
        <f>IF($N50="","",INDEX('반배정'!E$7:E$86,$N50))</f>
        <v/>
      </c>
      <c r="F50" s="10">
        <f>IF($N50="","",INDEX('반배정'!G$7:G$86,$N50))</f>
        <v/>
      </c>
      <c r="G50" s="10">
        <f>IF($N50="","",INDEX('반배정'!H$7:H$86,$N50))</f>
        <v/>
      </c>
      <c r="H50" s="37">
        <f>IF($N50="","",INDEX('반배정'!I$7:I$86,$N50))</f>
        <v/>
      </c>
      <c r="I50" s="27">
        <f>IF($N50="","",INDEX('반배정'!O$7:O$86,$N50))</f>
        <v/>
      </c>
      <c r="J50" s="10">
        <f>IF($N50="","",INDEX('반배정'!N$7:N$86,$N50)&amp;"")</f>
        <v/>
      </c>
      <c r="K50" s="10">
        <f>IF($N50="","",INDEX('반배정'!L$7:L$86,$N50))</f>
        <v/>
      </c>
      <c r="L50" s="10">
        <f>IF($N50="","",INDEX('반배정'!P$7:P$86,$N50))</f>
        <v/>
      </c>
      <c r="M50" s="10">
        <f>IFERROR(SMALL('반배정'!$Q$7:$Q$86,44),"")</f>
        <v/>
      </c>
      <c r="N50" s="10">
        <f>IF(M50="","",MATCH(M50,'반배정'!$Q$7:$Q$86,0))</f>
        <v/>
      </c>
    </row>
    <row r="51">
      <c r="A51" s="10">
        <f>IF($N51="","",INDEX('반배정'!J$7:J$86,$N51))</f>
        <v/>
      </c>
      <c r="B51" s="10">
        <f>IF($N51="","",INDEX('반배정'!B$7:B$86,$N51))</f>
        <v/>
      </c>
      <c r="C51" s="10">
        <f>IF($N51="","",INDEX('반배정'!C$7:C$86,$N51))</f>
        <v/>
      </c>
      <c r="D51" s="10">
        <f>IF($N51="","",INDEX('반배정'!D$7:D$86,$N51))</f>
        <v/>
      </c>
      <c r="E51" s="10">
        <f>IF($N51="","",INDEX('반배정'!E$7:E$86,$N51))</f>
        <v/>
      </c>
      <c r="F51" s="10">
        <f>IF($N51="","",INDEX('반배정'!G$7:G$86,$N51))</f>
        <v/>
      </c>
      <c r="G51" s="10">
        <f>IF($N51="","",INDEX('반배정'!H$7:H$86,$N51))</f>
        <v/>
      </c>
      <c r="H51" s="37">
        <f>IF($N51="","",INDEX('반배정'!I$7:I$86,$N51))</f>
        <v/>
      </c>
      <c r="I51" s="27">
        <f>IF($N51="","",INDEX('반배정'!O$7:O$86,$N51))</f>
        <v/>
      </c>
      <c r="J51" s="10">
        <f>IF($N51="","",INDEX('반배정'!N$7:N$86,$N51)&amp;"")</f>
        <v/>
      </c>
      <c r="K51" s="10">
        <f>IF($N51="","",INDEX('반배정'!L$7:L$86,$N51))</f>
        <v/>
      </c>
      <c r="L51" s="10">
        <f>IF($N51="","",INDEX('반배정'!P$7:P$86,$N51))</f>
        <v/>
      </c>
      <c r="M51" s="10">
        <f>IFERROR(SMALL('반배정'!$Q$7:$Q$86,45),"")</f>
        <v/>
      </c>
      <c r="N51" s="10">
        <f>IF(M51="","",MATCH(M51,'반배정'!$Q$7:$Q$86,0))</f>
        <v/>
      </c>
    </row>
    <row r="52">
      <c r="A52" s="10">
        <f>IF($N52="","",INDEX('반배정'!J$7:J$86,$N52))</f>
        <v/>
      </c>
      <c r="B52" s="10">
        <f>IF($N52="","",INDEX('반배정'!B$7:B$86,$N52))</f>
        <v/>
      </c>
      <c r="C52" s="10">
        <f>IF($N52="","",INDEX('반배정'!C$7:C$86,$N52))</f>
        <v/>
      </c>
      <c r="D52" s="10">
        <f>IF($N52="","",INDEX('반배정'!D$7:D$86,$N52))</f>
        <v/>
      </c>
      <c r="E52" s="10">
        <f>IF($N52="","",INDEX('반배정'!E$7:E$86,$N52))</f>
        <v/>
      </c>
      <c r="F52" s="10">
        <f>IF($N52="","",INDEX('반배정'!G$7:G$86,$N52))</f>
        <v/>
      </c>
      <c r="G52" s="10">
        <f>IF($N52="","",INDEX('반배정'!H$7:H$86,$N52))</f>
        <v/>
      </c>
      <c r="H52" s="37">
        <f>IF($N52="","",INDEX('반배정'!I$7:I$86,$N52))</f>
        <v/>
      </c>
      <c r="I52" s="27">
        <f>IF($N52="","",INDEX('반배정'!O$7:O$86,$N52))</f>
        <v/>
      </c>
      <c r="J52" s="10">
        <f>IF($N52="","",INDEX('반배정'!N$7:N$86,$N52)&amp;"")</f>
        <v/>
      </c>
      <c r="K52" s="10">
        <f>IF($N52="","",INDEX('반배정'!L$7:L$86,$N52))</f>
        <v/>
      </c>
      <c r="L52" s="10">
        <f>IF($N52="","",INDEX('반배정'!P$7:P$86,$N52))</f>
        <v/>
      </c>
      <c r="M52" s="10">
        <f>IFERROR(SMALL('반배정'!$Q$7:$Q$86,46),"")</f>
        <v/>
      </c>
      <c r="N52" s="10">
        <f>IF(M52="","",MATCH(M52,'반배정'!$Q$7:$Q$86,0))</f>
        <v/>
      </c>
    </row>
    <row r="53">
      <c r="A53" s="10">
        <f>IF($N53="","",INDEX('반배정'!J$7:J$86,$N53))</f>
        <v/>
      </c>
      <c r="B53" s="10">
        <f>IF($N53="","",INDEX('반배정'!B$7:B$86,$N53))</f>
        <v/>
      </c>
      <c r="C53" s="10">
        <f>IF($N53="","",INDEX('반배정'!C$7:C$86,$N53))</f>
        <v/>
      </c>
      <c r="D53" s="10">
        <f>IF($N53="","",INDEX('반배정'!D$7:D$86,$N53))</f>
        <v/>
      </c>
      <c r="E53" s="10">
        <f>IF($N53="","",INDEX('반배정'!E$7:E$86,$N53))</f>
        <v/>
      </c>
      <c r="F53" s="10">
        <f>IF($N53="","",INDEX('반배정'!G$7:G$86,$N53))</f>
        <v/>
      </c>
      <c r="G53" s="10">
        <f>IF($N53="","",INDEX('반배정'!H$7:H$86,$N53))</f>
        <v/>
      </c>
      <c r="H53" s="37">
        <f>IF($N53="","",INDEX('반배정'!I$7:I$86,$N53))</f>
        <v/>
      </c>
      <c r="I53" s="27">
        <f>IF($N53="","",INDEX('반배정'!O$7:O$86,$N53))</f>
        <v/>
      </c>
      <c r="J53" s="10">
        <f>IF($N53="","",INDEX('반배정'!N$7:N$86,$N53)&amp;"")</f>
        <v/>
      </c>
      <c r="K53" s="10">
        <f>IF($N53="","",INDEX('반배정'!L$7:L$86,$N53))</f>
        <v/>
      </c>
      <c r="L53" s="10">
        <f>IF($N53="","",INDEX('반배정'!P$7:P$86,$N53))</f>
        <v/>
      </c>
      <c r="M53" s="10">
        <f>IFERROR(SMALL('반배정'!$Q$7:$Q$86,47),"")</f>
        <v/>
      </c>
      <c r="N53" s="10">
        <f>IF(M53="","",MATCH(M53,'반배정'!$Q$7:$Q$86,0))</f>
        <v/>
      </c>
    </row>
    <row r="54">
      <c r="A54" s="10">
        <f>IF($N54="","",INDEX('반배정'!J$7:J$86,$N54))</f>
        <v/>
      </c>
      <c r="B54" s="10">
        <f>IF($N54="","",INDEX('반배정'!B$7:B$86,$N54))</f>
        <v/>
      </c>
      <c r="C54" s="10">
        <f>IF($N54="","",INDEX('반배정'!C$7:C$86,$N54))</f>
        <v/>
      </c>
      <c r="D54" s="10">
        <f>IF($N54="","",INDEX('반배정'!D$7:D$86,$N54))</f>
        <v/>
      </c>
      <c r="E54" s="10">
        <f>IF($N54="","",INDEX('반배정'!E$7:E$86,$N54))</f>
        <v/>
      </c>
      <c r="F54" s="10">
        <f>IF($N54="","",INDEX('반배정'!G$7:G$86,$N54))</f>
        <v/>
      </c>
      <c r="G54" s="10">
        <f>IF($N54="","",INDEX('반배정'!H$7:H$86,$N54))</f>
        <v/>
      </c>
      <c r="H54" s="37">
        <f>IF($N54="","",INDEX('반배정'!I$7:I$86,$N54))</f>
        <v/>
      </c>
      <c r="I54" s="27">
        <f>IF($N54="","",INDEX('반배정'!O$7:O$86,$N54))</f>
        <v/>
      </c>
      <c r="J54" s="10">
        <f>IF($N54="","",INDEX('반배정'!N$7:N$86,$N54)&amp;"")</f>
        <v/>
      </c>
      <c r="K54" s="10">
        <f>IF($N54="","",INDEX('반배정'!L$7:L$86,$N54))</f>
        <v/>
      </c>
      <c r="L54" s="10">
        <f>IF($N54="","",INDEX('반배정'!P$7:P$86,$N54))</f>
        <v/>
      </c>
      <c r="M54" s="10">
        <f>IFERROR(SMALL('반배정'!$Q$7:$Q$86,48),"")</f>
        <v/>
      </c>
      <c r="N54" s="10">
        <f>IF(M54="","",MATCH(M54,'반배정'!$Q$7:$Q$86,0))</f>
        <v/>
      </c>
    </row>
    <row r="55">
      <c r="A55" s="10">
        <f>IF($N55="","",INDEX('반배정'!J$7:J$86,$N55))</f>
        <v/>
      </c>
      <c r="B55" s="10">
        <f>IF($N55="","",INDEX('반배정'!B$7:B$86,$N55))</f>
        <v/>
      </c>
      <c r="C55" s="10">
        <f>IF($N55="","",INDEX('반배정'!C$7:C$86,$N55))</f>
        <v/>
      </c>
      <c r="D55" s="10">
        <f>IF($N55="","",INDEX('반배정'!D$7:D$86,$N55))</f>
        <v/>
      </c>
      <c r="E55" s="10">
        <f>IF($N55="","",INDEX('반배정'!E$7:E$86,$N55))</f>
        <v/>
      </c>
      <c r="F55" s="10">
        <f>IF($N55="","",INDEX('반배정'!G$7:G$86,$N55))</f>
        <v/>
      </c>
      <c r="G55" s="10">
        <f>IF($N55="","",INDEX('반배정'!H$7:H$86,$N55))</f>
        <v/>
      </c>
      <c r="H55" s="37">
        <f>IF($N55="","",INDEX('반배정'!I$7:I$86,$N55))</f>
        <v/>
      </c>
      <c r="I55" s="27">
        <f>IF($N55="","",INDEX('반배정'!O$7:O$86,$N55))</f>
        <v/>
      </c>
      <c r="J55" s="10">
        <f>IF($N55="","",INDEX('반배정'!N$7:N$86,$N55)&amp;"")</f>
        <v/>
      </c>
      <c r="K55" s="10">
        <f>IF($N55="","",INDEX('반배정'!L$7:L$86,$N55))</f>
        <v/>
      </c>
      <c r="L55" s="10">
        <f>IF($N55="","",INDEX('반배정'!P$7:P$86,$N55))</f>
        <v/>
      </c>
      <c r="M55" s="10">
        <f>IFERROR(SMALL('반배정'!$Q$7:$Q$86,49),"")</f>
        <v/>
      </c>
      <c r="N55" s="10">
        <f>IF(M55="","",MATCH(M55,'반배정'!$Q$7:$Q$86,0))</f>
        <v/>
      </c>
    </row>
    <row r="56">
      <c r="A56" s="10">
        <f>IF($N56="","",INDEX('반배정'!J$7:J$86,$N56))</f>
        <v/>
      </c>
      <c r="B56" s="10">
        <f>IF($N56="","",INDEX('반배정'!B$7:B$86,$N56))</f>
        <v/>
      </c>
      <c r="C56" s="10">
        <f>IF($N56="","",INDEX('반배정'!C$7:C$86,$N56))</f>
        <v/>
      </c>
      <c r="D56" s="10">
        <f>IF($N56="","",INDEX('반배정'!D$7:D$86,$N56))</f>
        <v/>
      </c>
      <c r="E56" s="10">
        <f>IF($N56="","",INDEX('반배정'!E$7:E$86,$N56))</f>
        <v/>
      </c>
      <c r="F56" s="10">
        <f>IF($N56="","",INDEX('반배정'!G$7:G$86,$N56))</f>
        <v/>
      </c>
      <c r="G56" s="10">
        <f>IF($N56="","",INDEX('반배정'!H$7:H$86,$N56))</f>
        <v/>
      </c>
      <c r="H56" s="37">
        <f>IF($N56="","",INDEX('반배정'!I$7:I$86,$N56))</f>
        <v/>
      </c>
      <c r="I56" s="27">
        <f>IF($N56="","",INDEX('반배정'!O$7:O$86,$N56))</f>
        <v/>
      </c>
      <c r="J56" s="10">
        <f>IF($N56="","",INDEX('반배정'!N$7:N$86,$N56)&amp;"")</f>
        <v/>
      </c>
      <c r="K56" s="10">
        <f>IF($N56="","",INDEX('반배정'!L$7:L$86,$N56))</f>
        <v/>
      </c>
      <c r="L56" s="10">
        <f>IF($N56="","",INDEX('반배정'!P$7:P$86,$N56))</f>
        <v/>
      </c>
      <c r="M56" s="10">
        <f>IFERROR(SMALL('반배정'!$Q$7:$Q$86,50),"")</f>
        <v/>
      </c>
      <c r="N56" s="10">
        <f>IF(M56="","",MATCH(M56,'반배정'!$Q$7:$Q$86,0))</f>
        <v/>
      </c>
    </row>
    <row r="57">
      <c r="A57" s="10">
        <f>IF($N57="","",INDEX('반배정'!J$7:J$86,$N57))</f>
        <v/>
      </c>
      <c r="B57" s="10">
        <f>IF($N57="","",INDEX('반배정'!B$7:B$86,$N57))</f>
        <v/>
      </c>
      <c r="C57" s="10">
        <f>IF($N57="","",INDEX('반배정'!C$7:C$86,$N57))</f>
        <v/>
      </c>
      <c r="D57" s="10">
        <f>IF($N57="","",INDEX('반배정'!D$7:D$86,$N57))</f>
        <v/>
      </c>
      <c r="E57" s="10">
        <f>IF($N57="","",INDEX('반배정'!E$7:E$86,$N57))</f>
        <v/>
      </c>
      <c r="F57" s="10">
        <f>IF($N57="","",INDEX('반배정'!G$7:G$86,$N57))</f>
        <v/>
      </c>
      <c r="G57" s="10">
        <f>IF($N57="","",INDEX('반배정'!H$7:H$86,$N57))</f>
        <v/>
      </c>
      <c r="H57" s="37">
        <f>IF($N57="","",INDEX('반배정'!I$7:I$86,$N57))</f>
        <v/>
      </c>
      <c r="I57" s="27">
        <f>IF($N57="","",INDEX('반배정'!O$7:O$86,$N57))</f>
        <v/>
      </c>
      <c r="J57" s="10">
        <f>IF($N57="","",INDEX('반배정'!N$7:N$86,$N57)&amp;"")</f>
        <v/>
      </c>
      <c r="K57" s="10">
        <f>IF($N57="","",INDEX('반배정'!L$7:L$86,$N57))</f>
        <v/>
      </c>
      <c r="L57" s="10">
        <f>IF($N57="","",INDEX('반배정'!P$7:P$86,$N57))</f>
        <v/>
      </c>
      <c r="M57" s="10">
        <f>IFERROR(SMALL('반배정'!$Q$7:$Q$86,51),"")</f>
        <v/>
      </c>
      <c r="N57" s="10">
        <f>IF(M57="","",MATCH(M57,'반배정'!$Q$7:$Q$86,0))</f>
        <v/>
      </c>
    </row>
    <row r="58">
      <c r="A58" s="10">
        <f>IF($N58="","",INDEX('반배정'!J$7:J$86,$N58))</f>
        <v/>
      </c>
      <c r="B58" s="10">
        <f>IF($N58="","",INDEX('반배정'!B$7:B$86,$N58))</f>
        <v/>
      </c>
      <c r="C58" s="10">
        <f>IF($N58="","",INDEX('반배정'!C$7:C$86,$N58))</f>
        <v/>
      </c>
      <c r="D58" s="10">
        <f>IF($N58="","",INDEX('반배정'!D$7:D$86,$N58))</f>
        <v/>
      </c>
      <c r="E58" s="10">
        <f>IF($N58="","",INDEX('반배정'!E$7:E$86,$N58))</f>
        <v/>
      </c>
      <c r="F58" s="10">
        <f>IF($N58="","",INDEX('반배정'!G$7:G$86,$N58))</f>
        <v/>
      </c>
      <c r="G58" s="10">
        <f>IF($N58="","",INDEX('반배정'!H$7:H$86,$N58))</f>
        <v/>
      </c>
      <c r="H58" s="37">
        <f>IF($N58="","",INDEX('반배정'!I$7:I$86,$N58))</f>
        <v/>
      </c>
      <c r="I58" s="27">
        <f>IF($N58="","",INDEX('반배정'!O$7:O$86,$N58))</f>
        <v/>
      </c>
      <c r="J58" s="10">
        <f>IF($N58="","",INDEX('반배정'!N$7:N$86,$N58)&amp;"")</f>
        <v/>
      </c>
      <c r="K58" s="10">
        <f>IF($N58="","",INDEX('반배정'!L$7:L$86,$N58))</f>
        <v/>
      </c>
      <c r="L58" s="10">
        <f>IF($N58="","",INDEX('반배정'!P$7:P$86,$N58))</f>
        <v/>
      </c>
      <c r="M58" s="10">
        <f>IFERROR(SMALL('반배정'!$Q$7:$Q$86,52),"")</f>
        <v/>
      </c>
      <c r="N58" s="10">
        <f>IF(M58="","",MATCH(M58,'반배정'!$Q$7:$Q$86,0))</f>
        <v/>
      </c>
    </row>
    <row r="59">
      <c r="A59" s="10">
        <f>IF($N59="","",INDEX('반배정'!J$7:J$86,$N59))</f>
        <v/>
      </c>
      <c r="B59" s="10">
        <f>IF($N59="","",INDEX('반배정'!B$7:B$86,$N59))</f>
        <v/>
      </c>
      <c r="C59" s="10">
        <f>IF($N59="","",INDEX('반배정'!C$7:C$86,$N59))</f>
        <v/>
      </c>
      <c r="D59" s="10">
        <f>IF($N59="","",INDEX('반배정'!D$7:D$86,$N59))</f>
        <v/>
      </c>
      <c r="E59" s="10">
        <f>IF($N59="","",INDEX('반배정'!E$7:E$86,$N59))</f>
        <v/>
      </c>
      <c r="F59" s="10">
        <f>IF($N59="","",INDEX('반배정'!G$7:G$86,$N59))</f>
        <v/>
      </c>
      <c r="G59" s="10">
        <f>IF($N59="","",INDEX('반배정'!H$7:H$86,$N59))</f>
        <v/>
      </c>
      <c r="H59" s="37">
        <f>IF($N59="","",INDEX('반배정'!I$7:I$86,$N59))</f>
        <v/>
      </c>
      <c r="I59" s="27">
        <f>IF($N59="","",INDEX('반배정'!O$7:O$86,$N59))</f>
        <v/>
      </c>
      <c r="J59" s="10">
        <f>IF($N59="","",INDEX('반배정'!N$7:N$86,$N59)&amp;"")</f>
        <v/>
      </c>
      <c r="K59" s="10">
        <f>IF($N59="","",INDEX('반배정'!L$7:L$86,$N59))</f>
        <v/>
      </c>
      <c r="L59" s="10">
        <f>IF($N59="","",INDEX('반배정'!P$7:P$86,$N59))</f>
        <v/>
      </c>
      <c r="M59" s="10">
        <f>IFERROR(SMALL('반배정'!$Q$7:$Q$86,53),"")</f>
        <v/>
      </c>
      <c r="N59" s="10">
        <f>IF(M59="","",MATCH(M59,'반배정'!$Q$7:$Q$86,0))</f>
        <v/>
      </c>
    </row>
    <row r="60">
      <c r="A60" s="10">
        <f>IF($N60="","",INDEX('반배정'!J$7:J$86,$N60))</f>
        <v/>
      </c>
      <c r="B60" s="10">
        <f>IF($N60="","",INDEX('반배정'!B$7:B$86,$N60))</f>
        <v/>
      </c>
      <c r="C60" s="10">
        <f>IF($N60="","",INDEX('반배정'!C$7:C$86,$N60))</f>
        <v/>
      </c>
      <c r="D60" s="10">
        <f>IF($N60="","",INDEX('반배정'!D$7:D$86,$N60))</f>
        <v/>
      </c>
      <c r="E60" s="10">
        <f>IF($N60="","",INDEX('반배정'!E$7:E$86,$N60))</f>
        <v/>
      </c>
      <c r="F60" s="10">
        <f>IF($N60="","",INDEX('반배정'!G$7:G$86,$N60))</f>
        <v/>
      </c>
      <c r="G60" s="10">
        <f>IF($N60="","",INDEX('반배정'!H$7:H$86,$N60))</f>
        <v/>
      </c>
      <c r="H60" s="37">
        <f>IF($N60="","",INDEX('반배정'!I$7:I$86,$N60))</f>
        <v/>
      </c>
      <c r="I60" s="27">
        <f>IF($N60="","",INDEX('반배정'!O$7:O$86,$N60))</f>
        <v/>
      </c>
      <c r="J60" s="10">
        <f>IF($N60="","",INDEX('반배정'!N$7:N$86,$N60)&amp;"")</f>
        <v/>
      </c>
      <c r="K60" s="10">
        <f>IF($N60="","",INDEX('반배정'!L$7:L$86,$N60))</f>
        <v/>
      </c>
      <c r="L60" s="10">
        <f>IF($N60="","",INDEX('반배정'!P$7:P$86,$N60))</f>
        <v/>
      </c>
      <c r="M60" s="10">
        <f>IFERROR(SMALL('반배정'!$Q$7:$Q$86,54),"")</f>
        <v/>
      </c>
      <c r="N60" s="10">
        <f>IF(M60="","",MATCH(M60,'반배정'!$Q$7:$Q$86,0))</f>
        <v/>
      </c>
    </row>
    <row r="61">
      <c r="A61" s="10">
        <f>IF($N61="","",INDEX('반배정'!J$7:J$86,$N61))</f>
        <v/>
      </c>
      <c r="B61" s="10">
        <f>IF($N61="","",INDEX('반배정'!B$7:B$86,$N61))</f>
        <v/>
      </c>
      <c r="C61" s="10">
        <f>IF($N61="","",INDEX('반배정'!C$7:C$86,$N61))</f>
        <v/>
      </c>
      <c r="D61" s="10">
        <f>IF($N61="","",INDEX('반배정'!D$7:D$86,$N61))</f>
        <v/>
      </c>
      <c r="E61" s="10">
        <f>IF($N61="","",INDEX('반배정'!E$7:E$86,$N61))</f>
        <v/>
      </c>
      <c r="F61" s="10">
        <f>IF($N61="","",INDEX('반배정'!G$7:G$86,$N61))</f>
        <v/>
      </c>
      <c r="G61" s="10">
        <f>IF($N61="","",INDEX('반배정'!H$7:H$86,$N61))</f>
        <v/>
      </c>
      <c r="H61" s="37">
        <f>IF($N61="","",INDEX('반배정'!I$7:I$86,$N61))</f>
        <v/>
      </c>
      <c r="I61" s="27">
        <f>IF($N61="","",INDEX('반배정'!O$7:O$86,$N61))</f>
        <v/>
      </c>
      <c r="J61" s="10">
        <f>IF($N61="","",INDEX('반배정'!N$7:N$86,$N61)&amp;"")</f>
        <v/>
      </c>
      <c r="K61" s="10">
        <f>IF($N61="","",INDEX('반배정'!L$7:L$86,$N61))</f>
        <v/>
      </c>
      <c r="L61" s="10">
        <f>IF($N61="","",INDEX('반배정'!P$7:P$86,$N61))</f>
        <v/>
      </c>
      <c r="M61" s="10">
        <f>IFERROR(SMALL('반배정'!$Q$7:$Q$86,55),"")</f>
        <v/>
      </c>
      <c r="N61" s="10">
        <f>IF(M61="","",MATCH(M61,'반배정'!$Q$7:$Q$86,0))</f>
        <v/>
      </c>
    </row>
    <row r="62">
      <c r="A62" s="10">
        <f>IF($N62="","",INDEX('반배정'!J$7:J$86,$N62))</f>
        <v/>
      </c>
      <c r="B62" s="10">
        <f>IF($N62="","",INDEX('반배정'!B$7:B$86,$N62))</f>
        <v/>
      </c>
      <c r="C62" s="10">
        <f>IF($N62="","",INDEX('반배정'!C$7:C$86,$N62))</f>
        <v/>
      </c>
      <c r="D62" s="10">
        <f>IF($N62="","",INDEX('반배정'!D$7:D$86,$N62))</f>
        <v/>
      </c>
      <c r="E62" s="10">
        <f>IF($N62="","",INDEX('반배정'!E$7:E$86,$N62))</f>
        <v/>
      </c>
      <c r="F62" s="10">
        <f>IF($N62="","",INDEX('반배정'!G$7:G$86,$N62))</f>
        <v/>
      </c>
      <c r="G62" s="10">
        <f>IF($N62="","",INDEX('반배정'!H$7:H$86,$N62))</f>
        <v/>
      </c>
      <c r="H62" s="37">
        <f>IF($N62="","",INDEX('반배정'!I$7:I$86,$N62))</f>
        <v/>
      </c>
      <c r="I62" s="27">
        <f>IF($N62="","",INDEX('반배정'!O$7:O$86,$N62))</f>
        <v/>
      </c>
      <c r="J62" s="10">
        <f>IF($N62="","",INDEX('반배정'!N$7:N$86,$N62)&amp;"")</f>
        <v/>
      </c>
      <c r="K62" s="10">
        <f>IF($N62="","",INDEX('반배정'!L$7:L$86,$N62))</f>
        <v/>
      </c>
      <c r="L62" s="10">
        <f>IF($N62="","",INDEX('반배정'!P$7:P$86,$N62))</f>
        <v/>
      </c>
      <c r="M62" s="10">
        <f>IFERROR(SMALL('반배정'!$Q$7:$Q$86,56),"")</f>
        <v/>
      </c>
      <c r="N62" s="10">
        <f>IF(M62="","",MATCH(M62,'반배정'!$Q$7:$Q$86,0))</f>
        <v/>
      </c>
    </row>
    <row r="63">
      <c r="A63" s="10">
        <f>IF($N63="","",INDEX('반배정'!J$7:J$86,$N63))</f>
        <v/>
      </c>
      <c r="B63" s="10">
        <f>IF($N63="","",INDEX('반배정'!B$7:B$86,$N63))</f>
        <v/>
      </c>
      <c r="C63" s="10">
        <f>IF($N63="","",INDEX('반배정'!C$7:C$86,$N63))</f>
        <v/>
      </c>
      <c r="D63" s="10">
        <f>IF($N63="","",INDEX('반배정'!D$7:D$86,$N63))</f>
        <v/>
      </c>
      <c r="E63" s="10">
        <f>IF($N63="","",INDEX('반배정'!E$7:E$86,$N63))</f>
        <v/>
      </c>
      <c r="F63" s="10">
        <f>IF($N63="","",INDEX('반배정'!G$7:G$86,$N63))</f>
        <v/>
      </c>
      <c r="G63" s="10">
        <f>IF($N63="","",INDEX('반배정'!H$7:H$86,$N63))</f>
        <v/>
      </c>
      <c r="H63" s="37">
        <f>IF($N63="","",INDEX('반배정'!I$7:I$86,$N63))</f>
        <v/>
      </c>
      <c r="I63" s="27">
        <f>IF($N63="","",INDEX('반배정'!O$7:O$86,$N63))</f>
        <v/>
      </c>
      <c r="J63" s="10">
        <f>IF($N63="","",INDEX('반배정'!N$7:N$86,$N63)&amp;"")</f>
        <v/>
      </c>
      <c r="K63" s="10">
        <f>IF($N63="","",INDEX('반배정'!L$7:L$86,$N63))</f>
        <v/>
      </c>
      <c r="L63" s="10">
        <f>IF($N63="","",INDEX('반배정'!P$7:P$86,$N63))</f>
        <v/>
      </c>
      <c r="M63" s="10">
        <f>IFERROR(SMALL('반배정'!$Q$7:$Q$86,57),"")</f>
        <v/>
      </c>
      <c r="N63" s="10">
        <f>IF(M63="","",MATCH(M63,'반배정'!$Q$7:$Q$86,0))</f>
        <v/>
      </c>
    </row>
    <row r="64">
      <c r="A64" s="10">
        <f>IF($N64="","",INDEX('반배정'!J$7:J$86,$N64))</f>
        <v/>
      </c>
      <c r="B64" s="10">
        <f>IF($N64="","",INDEX('반배정'!B$7:B$86,$N64))</f>
        <v/>
      </c>
      <c r="C64" s="10">
        <f>IF($N64="","",INDEX('반배정'!C$7:C$86,$N64))</f>
        <v/>
      </c>
      <c r="D64" s="10">
        <f>IF($N64="","",INDEX('반배정'!D$7:D$86,$N64))</f>
        <v/>
      </c>
      <c r="E64" s="10">
        <f>IF($N64="","",INDEX('반배정'!E$7:E$86,$N64))</f>
        <v/>
      </c>
      <c r="F64" s="10">
        <f>IF($N64="","",INDEX('반배정'!G$7:G$86,$N64))</f>
        <v/>
      </c>
      <c r="G64" s="10">
        <f>IF($N64="","",INDEX('반배정'!H$7:H$86,$N64))</f>
        <v/>
      </c>
      <c r="H64" s="37">
        <f>IF($N64="","",INDEX('반배정'!I$7:I$86,$N64))</f>
        <v/>
      </c>
      <c r="I64" s="27">
        <f>IF($N64="","",INDEX('반배정'!O$7:O$86,$N64))</f>
        <v/>
      </c>
      <c r="J64" s="10">
        <f>IF($N64="","",INDEX('반배정'!N$7:N$86,$N64)&amp;"")</f>
        <v/>
      </c>
      <c r="K64" s="10">
        <f>IF($N64="","",INDEX('반배정'!L$7:L$86,$N64))</f>
        <v/>
      </c>
      <c r="L64" s="10">
        <f>IF($N64="","",INDEX('반배정'!P$7:P$86,$N64))</f>
        <v/>
      </c>
      <c r="M64" s="10">
        <f>IFERROR(SMALL('반배정'!$Q$7:$Q$86,58),"")</f>
        <v/>
      </c>
      <c r="N64" s="10">
        <f>IF(M64="","",MATCH(M64,'반배정'!$Q$7:$Q$86,0))</f>
        <v/>
      </c>
    </row>
    <row r="65">
      <c r="A65" s="10">
        <f>IF($N65="","",INDEX('반배정'!J$7:J$86,$N65))</f>
        <v/>
      </c>
      <c r="B65" s="10">
        <f>IF($N65="","",INDEX('반배정'!B$7:B$86,$N65))</f>
        <v/>
      </c>
      <c r="C65" s="10">
        <f>IF($N65="","",INDEX('반배정'!C$7:C$86,$N65))</f>
        <v/>
      </c>
      <c r="D65" s="10">
        <f>IF($N65="","",INDEX('반배정'!D$7:D$86,$N65))</f>
        <v/>
      </c>
      <c r="E65" s="10">
        <f>IF($N65="","",INDEX('반배정'!E$7:E$86,$N65))</f>
        <v/>
      </c>
      <c r="F65" s="10">
        <f>IF($N65="","",INDEX('반배정'!G$7:G$86,$N65))</f>
        <v/>
      </c>
      <c r="G65" s="10">
        <f>IF($N65="","",INDEX('반배정'!H$7:H$86,$N65))</f>
        <v/>
      </c>
      <c r="H65" s="37">
        <f>IF($N65="","",INDEX('반배정'!I$7:I$86,$N65))</f>
        <v/>
      </c>
      <c r="I65" s="27">
        <f>IF($N65="","",INDEX('반배정'!O$7:O$86,$N65))</f>
        <v/>
      </c>
      <c r="J65" s="10">
        <f>IF($N65="","",INDEX('반배정'!N$7:N$86,$N65)&amp;"")</f>
        <v/>
      </c>
      <c r="K65" s="10">
        <f>IF($N65="","",INDEX('반배정'!L$7:L$86,$N65))</f>
        <v/>
      </c>
      <c r="L65" s="10">
        <f>IF($N65="","",INDEX('반배정'!P$7:P$86,$N65))</f>
        <v/>
      </c>
      <c r="M65" s="10">
        <f>IFERROR(SMALL('반배정'!$Q$7:$Q$86,59),"")</f>
        <v/>
      </c>
      <c r="N65" s="10">
        <f>IF(M65="","",MATCH(M65,'반배정'!$Q$7:$Q$86,0))</f>
        <v/>
      </c>
    </row>
    <row r="66">
      <c r="A66" s="10">
        <f>IF($N66="","",INDEX('반배정'!J$7:J$86,$N66))</f>
        <v/>
      </c>
      <c r="B66" s="10">
        <f>IF($N66="","",INDEX('반배정'!B$7:B$86,$N66))</f>
        <v/>
      </c>
      <c r="C66" s="10">
        <f>IF($N66="","",INDEX('반배정'!C$7:C$86,$N66))</f>
        <v/>
      </c>
      <c r="D66" s="10">
        <f>IF($N66="","",INDEX('반배정'!D$7:D$86,$N66))</f>
        <v/>
      </c>
      <c r="E66" s="10">
        <f>IF($N66="","",INDEX('반배정'!E$7:E$86,$N66))</f>
        <v/>
      </c>
      <c r="F66" s="10">
        <f>IF($N66="","",INDEX('반배정'!G$7:G$86,$N66))</f>
        <v/>
      </c>
      <c r="G66" s="10">
        <f>IF($N66="","",INDEX('반배정'!H$7:H$86,$N66))</f>
        <v/>
      </c>
      <c r="H66" s="37">
        <f>IF($N66="","",INDEX('반배정'!I$7:I$86,$N66))</f>
        <v/>
      </c>
      <c r="I66" s="27">
        <f>IF($N66="","",INDEX('반배정'!O$7:O$86,$N66))</f>
        <v/>
      </c>
      <c r="J66" s="10">
        <f>IF($N66="","",INDEX('반배정'!N$7:N$86,$N66)&amp;"")</f>
        <v/>
      </c>
      <c r="K66" s="10">
        <f>IF($N66="","",INDEX('반배정'!L$7:L$86,$N66))</f>
        <v/>
      </c>
      <c r="L66" s="10">
        <f>IF($N66="","",INDEX('반배정'!P$7:P$86,$N66))</f>
        <v/>
      </c>
      <c r="M66" s="10">
        <f>IFERROR(SMALL('반배정'!$Q$7:$Q$86,60),"")</f>
        <v/>
      </c>
      <c r="N66" s="10">
        <f>IF(M66="","",MATCH(M66,'반배정'!$Q$7:$Q$86,0))</f>
        <v/>
      </c>
    </row>
    <row r="67">
      <c r="A67" s="10">
        <f>IF($N67="","",INDEX('반배정'!J$7:J$86,$N67))</f>
        <v/>
      </c>
      <c r="B67" s="10">
        <f>IF($N67="","",INDEX('반배정'!B$7:B$86,$N67))</f>
        <v/>
      </c>
      <c r="C67" s="10">
        <f>IF($N67="","",INDEX('반배정'!C$7:C$86,$N67))</f>
        <v/>
      </c>
      <c r="D67" s="10">
        <f>IF($N67="","",INDEX('반배정'!D$7:D$86,$N67))</f>
        <v/>
      </c>
      <c r="E67" s="10">
        <f>IF($N67="","",INDEX('반배정'!E$7:E$86,$N67))</f>
        <v/>
      </c>
      <c r="F67" s="10">
        <f>IF($N67="","",INDEX('반배정'!G$7:G$86,$N67))</f>
        <v/>
      </c>
      <c r="G67" s="10">
        <f>IF($N67="","",INDEX('반배정'!H$7:H$86,$N67))</f>
        <v/>
      </c>
      <c r="H67" s="37">
        <f>IF($N67="","",INDEX('반배정'!I$7:I$86,$N67))</f>
        <v/>
      </c>
      <c r="I67" s="27">
        <f>IF($N67="","",INDEX('반배정'!O$7:O$86,$N67))</f>
        <v/>
      </c>
      <c r="J67" s="10">
        <f>IF($N67="","",INDEX('반배정'!N$7:N$86,$N67)&amp;"")</f>
        <v/>
      </c>
      <c r="K67" s="10">
        <f>IF($N67="","",INDEX('반배정'!L$7:L$86,$N67))</f>
        <v/>
      </c>
      <c r="L67" s="10">
        <f>IF($N67="","",INDEX('반배정'!P$7:P$86,$N67))</f>
        <v/>
      </c>
      <c r="M67" s="10">
        <f>IFERROR(SMALL('반배정'!$Q$7:$Q$86,61),"")</f>
        <v/>
      </c>
      <c r="N67" s="10">
        <f>IF(M67="","",MATCH(M67,'반배정'!$Q$7:$Q$86,0))</f>
        <v/>
      </c>
    </row>
    <row r="68">
      <c r="A68" s="10">
        <f>IF($N68="","",INDEX('반배정'!J$7:J$86,$N68))</f>
        <v/>
      </c>
      <c r="B68" s="10">
        <f>IF($N68="","",INDEX('반배정'!B$7:B$86,$N68))</f>
        <v/>
      </c>
      <c r="C68" s="10">
        <f>IF($N68="","",INDEX('반배정'!C$7:C$86,$N68))</f>
        <v/>
      </c>
      <c r="D68" s="10">
        <f>IF($N68="","",INDEX('반배정'!D$7:D$86,$N68))</f>
        <v/>
      </c>
      <c r="E68" s="10">
        <f>IF($N68="","",INDEX('반배정'!E$7:E$86,$N68))</f>
        <v/>
      </c>
      <c r="F68" s="10">
        <f>IF($N68="","",INDEX('반배정'!G$7:G$86,$N68))</f>
        <v/>
      </c>
      <c r="G68" s="10">
        <f>IF($N68="","",INDEX('반배정'!H$7:H$86,$N68))</f>
        <v/>
      </c>
      <c r="H68" s="37">
        <f>IF($N68="","",INDEX('반배정'!I$7:I$86,$N68))</f>
        <v/>
      </c>
      <c r="I68" s="27">
        <f>IF($N68="","",INDEX('반배정'!O$7:O$86,$N68))</f>
        <v/>
      </c>
      <c r="J68" s="10">
        <f>IF($N68="","",INDEX('반배정'!N$7:N$86,$N68)&amp;"")</f>
        <v/>
      </c>
      <c r="K68" s="10">
        <f>IF($N68="","",INDEX('반배정'!L$7:L$86,$N68))</f>
        <v/>
      </c>
      <c r="L68" s="10">
        <f>IF($N68="","",INDEX('반배정'!P$7:P$86,$N68))</f>
        <v/>
      </c>
      <c r="M68" s="10">
        <f>IFERROR(SMALL('반배정'!$Q$7:$Q$86,62),"")</f>
        <v/>
      </c>
      <c r="N68" s="10">
        <f>IF(M68="","",MATCH(M68,'반배정'!$Q$7:$Q$86,0))</f>
        <v/>
      </c>
    </row>
    <row r="69">
      <c r="A69" s="10">
        <f>IF($N69="","",INDEX('반배정'!J$7:J$86,$N69))</f>
        <v/>
      </c>
      <c r="B69" s="10">
        <f>IF($N69="","",INDEX('반배정'!B$7:B$86,$N69))</f>
        <v/>
      </c>
      <c r="C69" s="10">
        <f>IF($N69="","",INDEX('반배정'!C$7:C$86,$N69))</f>
        <v/>
      </c>
      <c r="D69" s="10">
        <f>IF($N69="","",INDEX('반배정'!D$7:D$86,$N69))</f>
        <v/>
      </c>
      <c r="E69" s="10">
        <f>IF($N69="","",INDEX('반배정'!E$7:E$86,$N69))</f>
        <v/>
      </c>
      <c r="F69" s="10">
        <f>IF($N69="","",INDEX('반배정'!G$7:G$86,$N69))</f>
        <v/>
      </c>
      <c r="G69" s="10">
        <f>IF($N69="","",INDEX('반배정'!H$7:H$86,$N69))</f>
        <v/>
      </c>
      <c r="H69" s="37">
        <f>IF($N69="","",INDEX('반배정'!I$7:I$86,$N69))</f>
        <v/>
      </c>
      <c r="I69" s="27">
        <f>IF($N69="","",INDEX('반배정'!O$7:O$86,$N69))</f>
        <v/>
      </c>
      <c r="J69" s="10">
        <f>IF($N69="","",INDEX('반배정'!N$7:N$86,$N69)&amp;"")</f>
        <v/>
      </c>
      <c r="K69" s="10">
        <f>IF($N69="","",INDEX('반배정'!L$7:L$86,$N69))</f>
        <v/>
      </c>
      <c r="L69" s="10">
        <f>IF($N69="","",INDEX('반배정'!P$7:P$86,$N69))</f>
        <v/>
      </c>
      <c r="M69" s="10">
        <f>IFERROR(SMALL('반배정'!$Q$7:$Q$86,63),"")</f>
        <v/>
      </c>
      <c r="N69" s="10">
        <f>IF(M69="","",MATCH(M69,'반배정'!$Q$7:$Q$86,0))</f>
        <v/>
      </c>
    </row>
    <row r="70">
      <c r="A70" s="10">
        <f>IF($N70="","",INDEX('반배정'!J$7:J$86,$N70))</f>
        <v/>
      </c>
      <c r="B70" s="10">
        <f>IF($N70="","",INDEX('반배정'!B$7:B$86,$N70))</f>
        <v/>
      </c>
      <c r="C70" s="10">
        <f>IF($N70="","",INDEX('반배정'!C$7:C$86,$N70))</f>
        <v/>
      </c>
      <c r="D70" s="10">
        <f>IF($N70="","",INDEX('반배정'!D$7:D$86,$N70))</f>
        <v/>
      </c>
      <c r="E70" s="10">
        <f>IF($N70="","",INDEX('반배정'!E$7:E$86,$N70))</f>
        <v/>
      </c>
      <c r="F70" s="10">
        <f>IF($N70="","",INDEX('반배정'!G$7:G$86,$N70))</f>
        <v/>
      </c>
      <c r="G70" s="10">
        <f>IF($N70="","",INDEX('반배정'!H$7:H$86,$N70))</f>
        <v/>
      </c>
      <c r="H70" s="37">
        <f>IF($N70="","",INDEX('반배정'!I$7:I$86,$N70))</f>
        <v/>
      </c>
      <c r="I70" s="27">
        <f>IF($N70="","",INDEX('반배정'!O$7:O$86,$N70))</f>
        <v/>
      </c>
      <c r="J70" s="10">
        <f>IF($N70="","",INDEX('반배정'!N$7:N$86,$N70)&amp;"")</f>
        <v/>
      </c>
      <c r="K70" s="10">
        <f>IF($N70="","",INDEX('반배정'!L$7:L$86,$N70))</f>
        <v/>
      </c>
      <c r="L70" s="10">
        <f>IF($N70="","",INDEX('반배정'!P$7:P$86,$N70))</f>
        <v/>
      </c>
      <c r="M70" s="10">
        <f>IFERROR(SMALL('반배정'!$Q$7:$Q$86,64),"")</f>
        <v/>
      </c>
      <c r="N70" s="10">
        <f>IF(M70="","",MATCH(M70,'반배정'!$Q$7:$Q$86,0))</f>
        <v/>
      </c>
    </row>
    <row r="71">
      <c r="A71" s="10">
        <f>IF($N71="","",INDEX('반배정'!J$7:J$86,$N71))</f>
        <v/>
      </c>
      <c r="B71" s="10">
        <f>IF($N71="","",INDEX('반배정'!B$7:B$86,$N71))</f>
        <v/>
      </c>
      <c r="C71" s="10">
        <f>IF($N71="","",INDEX('반배정'!C$7:C$86,$N71))</f>
        <v/>
      </c>
      <c r="D71" s="10">
        <f>IF($N71="","",INDEX('반배정'!D$7:D$86,$N71))</f>
        <v/>
      </c>
      <c r="E71" s="10">
        <f>IF($N71="","",INDEX('반배정'!E$7:E$86,$N71))</f>
        <v/>
      </c>
      <c r="F71" s="10">
        <f>IF($N71="","",INDEX('반배정'!G$7:G$86,$N71))</f>
        <v/>
      </c>
      <c r="G71" s="10">
        <f>IF($N71="","",INDEX('반배정'!H$7:H$86,$N71))</f>
        <v/>
      </c>
      <c r="H71" s="37">
        <f>IF($N71="","",INDEX('반배정'!I$7:I$86,$N71))</f>
        <v/>
      </c>
      <c r="I71" s="27">
        <f>IF($N71="","",INDEX('반배정'!O$7:O$86,$N71))</f>
        <v/>
      </c>
      <c r="J71" s="10">
        <f>IF($N71="","",INDEX('반배정'!N$7:N$86,$N71)&amp;"")</f>
        <v/>
      </c>
      <c r="K71" s="10">
        <f>IF($N71="","",INDEX('반배정'!L$7:L$86,$N71))</f>
        <v/>
      </c>
      <c r="L71" s="10">
        <f>IF($N71="","",INDEX('반배정'!P$7:P$86,$N71))</f>
        <v/>
      </c>
      <c r="M71" s="10">
        <f>IFERROR(SMALL('반배정'!$Q$7:$Q$86,65),"")</f>
        <v/>
      </c>
      <c r="N71" s="10">
        <f>IF(M71="","",MATCH(M71,'반배정'!$Q$7:$Q$86,0))</f>
        <v/>
      </c>
    </row>
    <row r="72">
      <c r="A72" s="10">
        <f>IF($N72="","",INDEX('반배정'!J$7:J$86,$N72))</f>
        <v/>
      </c>
      <c r="B72" s="10">
        <f>IF($N72="","",INDEX('반배정'!B$7:B$86,$N72))</f>
        <v/>
      </c>
      <c r="C72" s="10">
        <f>IF($N72="","",INDEX('반배정'!C$7:C$86,$N72))</f>
        <v/>
      </c>
      <c r="D72" s="10">
        <f>IF($N72="","",INDEX('반배정'!D$7:D$86,$N72))</f>
        <v/>
      </c>
      <c r="E72" s="10">
        <f>IF($N72="","",INDEX('반배정'!E$7:E$86,$N72))</f>
        <v/>
      </c>
      <c r="F72" s="10">
        <f>IF($N72="","",INDEX('반배정'!G$7:G$86,$N72))</f>
        <v/>
      </c>
      <c r="G72" s="10">
        <f>IF($N72="","",INDEX('반배정'!H$7:H$86,$N72))</f>
        <v/>
      </c>
      <c r="H72" s="37">
        <f>IF($N72="","",INDEX('반배정'!I$7:I$86,$N72))</f>
        <v/>
      </c>
      <c r="I72" s="27">
        <f>IF($N72="","",INDEX('반배정'!O$7:O$86,$N72))</f>
        <v/>
      </c>
      <c r="J72" s="10">
        <f>IF($N72="","",INDEX('반배정'!N$7:N$86,$N72)&amp;"")</f>
        <v/>
      </c>
      <c r="K72" s="10">
        <f>IF($N72="","",INDEX('반배정'!L$7:L$86,$N72))</f>
        <v/>
      </c>
      <c r="L72" s="10">
        <f>IF($N72="","",INDEX('반배정'!P$7:P$86,$N72))</f>
        <v/>
      </c>
      <c r="M72" s="10">
        <f>IFERROR(SMALL('반배정'!$Q$7:$Q$86,66),"")</f>
        <v/>
      </c>
      <c r="N72" s="10">
        <f>IF(M72="","",MATCH(M72,'반배정'!$Q$7:$Q$86,0))</f>
        <v/>
      </c>
    </row>
    <row r="73">
      <c r="A73" s="10">
        <f>IF($N73="","",INDEX('반배정'!J$7:J$86,$N73))</f>
        <v/>
      </c>
      <c r="B73" s="10">
        <f>IF($N73="","",INDEX('반배정'!B$7:B$86,$N73))</f>
        <v/>
      </c>
      <c r="C73" s="10">
        <f>IF($N73="","",INDEX('반배정'!C$7:C$86,$N73))</f>
        <v/>
      </c>
      <c r="D73" s="10">
        <f>IF($N73="","",INDEX('반배정'!D$7:D$86,$N73))</f>
        <v/>
      </c>
      <c r="E73" s="10">
        <f>IF($N73="","",INDEX('반배정'!E$7:E$86,$N73))</f>
        <v/>
      </c>
      <c r="F73" s="10">
        <f>IF($N73="","",INDEX('반배정'!G$7:G$86,$N73))</f>
        <v/>
      </c>
      <c r="G73" s="10">
        <f>IF($N73="","",INDEX('반배정'!H$7:H$86,$N73))</f>
        <v/>
      </c>
      <c r="H73" s="37">
        <f>IF($N73="","",INDEX('반배정'!I$7:I$86,$N73))</f>
        <v/>
      </c>
      <c r="I73" s="27">
        <f>IF($N73="","",INDEX('반배정'!O$7:O$86,$N73))</f>
        <v/>
      </c>
      <c r="J73" s="10">
        <f>IF($N73="","",INDEX('반배정'!N$7:N$86,$N73)&amp;"")</f>
        <v/>
      </c>
      <c r="K73" s="10">
        <f>IF($N73="","",INDEX('반배정'!L$7:L$86,$N73))</f>
        <v/>
      </c>
      <c r="L73" s="10">
        <f>IF($N73="","",INDEX('반배정'!P$7:P$86,$N73))</f>
        <v/>
      </c>
      <c r="M73" s="10">
        <f>IFERROR(SMALL('반배정'!$Q$7:$Q$86,67),"")</f>
        <v/>
      </c>
      <c r="N73" s="10">
        <f>IF(M73="","",MATCH(M73,'반배정'!$Q$7:$Q$86,0))</f>
        <v/>
      </c>
    </row>
    <row r="74">
      <c r="A74" s="10">
        <f>IF($N74="","",INDEX('반배정'!J$7:J$86,$N74))</f>
        <v/>
      </c>
      <c r="B74" s="10">
        <f>IF($N74="","",INDEX('반배정'!B$7:B$86,$N74))</f>
        <v/>
      </c>
      <c r="C74" s="10">
        <f>IF($N74="","",INDEX('반배정'!C$7:C$86,$N74))</f>
        <v/>
      </c>
      <c r="D74" s="10">
        <f>IF($N74="","",INDEX('반배정'!D$7:D$86,$N74))</f>
        <v/>
      </c>
      <c r="E74" s="10">
        <f>IF($N74="","",INDEX('반배정'!E$7:E$86,$N74))</f>
        <v/>
      </c>
      <c r="F74" s="10">
        <f>IF($N74="","",INDEX('반배정'!G$7:G$86,$N74))</f>
        <v/>
      </c>
      <c r="G74" s="10">
        <f>IF($N74="","",INDEX('반배정'!H$7:H$86,$N74))</f>
        <v/>
      </c>
      <c r="H74" s="37">
        <f>IF($N74="","",INDEX('반배정'!I$7:I$86,$N74))</f>
        <v/>
      </c>
      <c r="I74" s="27">
        <f>IF($N74="","",INDEX('반배정'!O$7:O$86,$N74))</f>
        <v/>
      </c>
      <c r="J74" s="10">
        <f>IF($N74="","",INDEX('반배정'!N$7:N$86,$N74)&amp;"")</f>
        <v/>
      </c>
      <c r="K74" s="10">
        <f>IF($N74="","",INDEX('반배정'!L$7:L$86,$N74))</f>
        <v/>
      </c>
      <c r="L74" s="10">
        <f>IF($N74="","",INDEX('반배정'!P$7:P$86,$N74))</f>
        <v/>
      </c>
      <c r="M74" s="10">
        <f>IFERROR(SMALL('반배정'!$Q$7:$Q$86,68),"")</f>
        <v/>
      </c>
      <c r="N74" s="10">
        <f>IF(M74="","",MATCH(M74,'반배정'!$Q$7:$Q$86,0))</f>
        <v/>
      </c>
    </row>
    <row r="75">
      <c r="A75" s="10">
        <f>IF($N75="","",INDEX('반배정'!J$7:J$86,$N75))</f>
        <v/>
      </c>
      <c r="B75" s="10">
        <f>IF($N75="","",INDEX('반배정'!B$7:B$86,$N75))</f>
        <v/>
      </c>
      <c r="C75" s="10">
        <f>IF($N75="","",INDEX('반배정'!C$7:C$86,$N75))</f>
        <v/>
      </c>
      <c r="D75" s="10">
        <f>IF($N75="","",INDEX('반배정'!D$7:D$86,$N75))</f>
        <v/>
      </c>
      <c r="E75" s="10">
        <f>IF($N75="","",INDEX('반배정'!E$7:E$86,$N75))</f>
        <v/>
      </c>
      <c r="F75" s="10">
        <f>IF($N75="","",INDEX('반배정'!G$7:G$86,$N75))</f>
        <v/>
      </c>
      <c r="G75" s="10">
        <f>IF($N75="","",INDEX('반배정'!H$7:H$86,$N75))</f>
        <v/>
      </c>
      <c r="H75" s="37">
        <f>IF($N75="","",INDEX('반배정'!I$7:I$86,$N75))</f>
        <v/>
      </c>
      <c r="I75" s="27">
        <f>IF($N75="","",INDEX('반배정'!O$7:O$86,$N75))</f>
        <v/>
      </c>
      <c r="J75" s="10">
        <f>IF($N75="","",INDEX('반배정'!N$7:N$86,$N75)&amp;"")</f>
        <v/>
      </c>
      <c r="K75" s="10">
        <f>IF($N75="","",INDEX('반배정'!L$7:L$86,$N75))</f>
        <v/>
      </c>
      <c r="L75" s="10">
        <f>IF($N75="","",INDEX('반배정'!P$7:P$86,$N75))</f>
        <v/>
      </c>
      <c r="M75" s="10">
        <f>IFERROR(SMALL('반배정'!$Q$7:$Q$86,69),"")</f>
        <v/>
      </c>
      <c r="N75" s="10">
        <f>IF(M75="","",MATCH(M75,'반배정'!$Q$7:$Q$86,0))</f>
        <v/>
      </c>
    </row>
    <row r="76">
      <c r="A76" s="10">
        <f>IF($N76="","",INDEX('반배정'!J$7:J$86,$N76))</f>
        <v/>
      </c>
      <c r="B76" s="10">
        <f>IF($N76="","",INDEX('반배정'!B$7:B$86,$N76))</f>
        <v/>
      </c>
      <c r="C76" s="10">
        <f>IF($N76="","",INDEX('반배정'!C$7:C$86,$N76))</f>
        <v/>
      </c>
      <c r="D76" s="10">
        <f>IF($N76="","",INDEX('반배정'!D$7:D$86,$N76))</f>
        <v/>
      </c>
      <c r="E76" s="10">
        <f>IF($N76="","",INDEX('반배정'!E$7:E$86,$N76))</f>
        <v/>
      </c>
      <c r="F76" s="10">
        <f>IF($N76="","",INDEX('반배정'!G$7:G$86,$N76))</f>
        <v/>
      </c>
      <c r="G76" s="10">
        <f>IF($N76="","",INDEX('반배정'!H$7:H$86,$N76))</f>
        <v/>
      </c>
      <c r="H76" s="37">
        <f>IF($N76="","",INDEX('반배정'!I$7:I$86,$N76))</f>
        <v/>
      </c>
      <c r="I76" s="27">
        <f>IF($N76="","",INDEX('반배정'!O$7:O$86,$N76))</f>
        <v/>
      </c>
      <c r="J76" s="10">
        <f>IF($N76="","",INDEX('반배정'!N$7:N$86,$N76)&amp;"")</f>
        <v/>
      </c>
      <c r="K76" s="10">
        <f>IF($N76="","",INDEX('반배정'!L$7:L$86,$N76))</f>
        <v/>
      </c>
      <c r="L76" s="10">
        <f>IF($N76="","",INDEX('반배정'!P$7:P$86,$N76))</f>
        <v/>
      </c>
      <c r="M76" s="10">
        <f>IFERROR(SMALL('반배정'!$Q$7:$Q$86,70),"")</f>
        <v/>
      </c>
      <c r="N76" s="10">
        <f>IF(M76="","",MATCH(M76,'반배정'!$Q$7:$Q$86,0))</f>
        <v/>
      </c>
    </row>
    <row r="77">
      <c r="A77" s="10">
        <f>IF($N77="","",INDEX('반배정'!J$7:J$86,$N77))</f>
        <v/>
      </c>
      <c r="B77" s="10">
        <f>IF($N77="","",INDEX('반배정'!B$7:B$86,$N77))</f>
        <v/>
      </c>
      <c r="C77" s="10">
        <f>IF($N77="","",INDEX('반배정'!C$7:C$86,$N77))</f>
        <v/>
      </c>
      <c r="D77" s="10">
        <f>IF($N77="","",INDEX('반배정'!D$7:D$86,$N77))</f>
        <v/>
      </c>
      <c r="E77" s="10">
        <f>IF($N77="","",INDEX('반배정'!E$7:E$86,$N77))</f>
        <v/>
      </c>
      <c r="F77" s="10">
        <f>IF($N77="","",INDEX('반배정'!G$7:G$86,$N77))</f>
        <v/>
      </c>
      <c r="G77" s="10">
        <f>IF($N77="","",INDEX('반배정'!H$7:H$86,$N77))</f>
        <v/>
      </c>
      <c r="H77" s="37">
        <f>IF($N77="","",INDEX('반배정'!I$7:I$86,$N77))</f>
        <v/>
      </c>
      <c r="I77" s="27">
        <f>IF($N77="","",INDEX('반배정'!O$7:O$86,$N77))</f>
        <v/>
      </c>
      <c r="J77" s="10">
        <f>IF($N77="","",INDEX('반배정'!N$7:N$86,$N77)&amp;"")</f>
        <v/>
      </c>
      <c r="K77" s="10">
        <f>IF($N77="","",INDEX('반배정'!L$7:L$86,$N77))</f>
        <v/>
      </c>
      <c r="L77" s="10">
        <f>IF($N77="","",INDEX('반배정'!P$7:P$86,$N77))</f>
        <v/>
      </c>
      <c r="M77" s="10">
        <f>IFERROR(SMALL('반배정'!$Q$7:$Q$86,71),"")</f>
        <v/>
      </c>
      <c r="N77" s="10">
        <f>IF(M77="","",MATCH(M77,'반배정'!$Q$7:$Q$86,0))</f>
        <v/>
      </c>
    </row>
    <row r="78">
      <c r="A78" s="10">
        <f>IF($N78="","",INDEX('반배정'!J$7:J$86,$N78))</f>
        <v/>
      </c>
      <c r="B78" s="10">
        <f>IF($N78="","",INDEX('반배정'!B$7:B$86,$N78))</f>
        <v/>
      </c>
      <c r="C78" s="10">
        <f>IF($N78="","",INDEX('반배정'!C$7:C$86,$N78))</f>
        <v/>
      </c>
      <c r="D78" s="10">
        <f>IF($N78="","",INDEX('반배정'!D$7:D$86,$N78))</f>
        <v/>
      </c>
      <c r="E78" s="10">
        <f>IF($N78="","",INDEX('반배정'!E$7:E$86,$N78))</f>
        <v/>
      </c>
      <c r="F78" s="10">
        <f>IF($N78="","",INDEX('반배정'!G$7:G$86,$N78))</f>
        <v/>
      </c>
      <c r="G78" s="10">
        <f>IF($N78="","",INDEX('반배정'!H$7:H$86,$N78))</f>
        <v/>
      </c>
      <c r="H78" s="37">
        <f>IF($N78="","",INDEX('반배정'!I$7:I$86,$N78))</f>
        <v/>
      </c>
      <c r="I78" s="27">
        <f>IF($N78="","",INDEX('반배정'!O$7:O$86,$N78))</f>
        <v/>
      </c>
      <c r="J78" s="10">
        <f>IF($N78="","",INDEX('반배정'!N$7:N$86,$N78)&amp;"")</f>
        <v/>
      </c>
      <c r="K78" s="10">
        <f>IF($N78="","",INDEX('반배정'!L$7:L$86,$N78))</f>
        <v/>
      </c>
      <c r="L78" s="10">
        <f>IF($N78="","",INDEX('반배정'!P$7:P$86,$N78))</f>
        <v/>
      </c>
      <c r="M78" s="10">
        <f>IFERROR(SMALL('반배정'!$Q$7:$Q$86,72),"")</f>
        <v/>
      </c>
      <c r="N78" s="10">
        <f>IF(M78="","",MATCH(M78,'반배정'!$Q$7:$Q$86,0))</f>
        <v/>
      </c>
    </row>
    <row r="79">
      <c r="A79" s="10">
        <f>IF($N79="","",INDEX('반배정'!J$7:J$86,$N79))</f>
        <v/>
      </c>
      <c r="B79" s="10">
        <f>IF($N79="","",INDEX('반배정'!B$7:B$86,$N79))</f>
        <v/>
      </c>
      <c r="C79" s="10">
        <f>IF($N79="","",INDEX('반배정'!C$7:C$86,$N79))</f>
        <v/>
      </c>
      <c r="D79" s="10">
        <f>IF($N79="","",INDEX('반배정'!D$7:D$86,$N79))</f>
        <v/>
      </c>
      <c r="E79" s="10">
        <f>IF($N79="","",INDEX('반배정'!E$7:E$86,$N79))</f>
        <v/>
      </c>
      <c r="F79" s="10">
        <f>IF($N79="","",INDEX('반배정'!G$7:G$86,$N79))</f>
        <v/>
      </c>
      <c r="G79" s="10">
        <f>IF($N79="","",INDEX('반배정'!H$7:H$86,$N79))</f>
        <v/>
      </c>
      <c r="H79" s="37">
        <f>IF($N79="","",INDEX('반배정'!I$7:I$86,$N79))</f>
        <v/>
      </c>
      <c r="I79" s="27">
        <f>IF($N79="","",INDEX('반배정'!O$7:O$86,$N79))</f>
        <v/>
      </c>
      <c r="J79" s="10">
        <f>IF($N79="","",INDEX('반배정'!N$7:N$86,$N79)&amp;"")</f>
        <v/>
      </c>
      <c r="K79" s="10">
        <f>IF($N79="","",INDEX('반배정'!L$7:L$86,$N79))</f>
        <v/>
      </c>
      <c r="L79" s="10">
        <f>IF($N79="","",INDEX('반배정'!P$7:P$86,$N79))</f>
        <v/>
      </c>
      <c r="M79" s="10">
        <f>IFERROR(SMALL('반배정'!$Q$7:$Q$86,73),"")</f>
        <v/>
      </c>
      <c r="N79" s="10">
        <f>IF(M79="","",MATCH(M79,'반배정'!$Q$7:$Q$86,0))</f>
        <v/>
      </c>
    </row>
    <row r="80">
      <c r="A80" s="10">
        <f>IF($N80="","",INDEX('반배정'!J$7:J$86,$N80))</f>
        <v/>
      </c>
      <c r="B80" s="10">
        <f>IF($N80="","",INDEX('반배정'!B$7:B$86,$N80))</f>
        <v/>
      </c>
      <c r="C80" s="10">
        <f>IF($N80="","",INDEX('반배정'!C$7:C$86,$N80))</f>
        <v/>
      </c>
      <c r="D80" s="10">
        <f>IF($N80="","",INDEX('반배정'!D$7:D$86,$N80))</f>
        <v/>
      </c>
      <c r="E80" s="10">
        <f>IF($N80="","",INDEX('반배정'!E$7:E$86,$N80))</f>
        <v/>
      </c>
      <c r="F80" s="10">
        <f>IF($N80="","",INDEX('반배정'!G$7:G$86,$N80))</f>
        <v/>
      </c>
      <c r="G80" s="10">
        <f>IF($N80="","",INDEX('반배정'!H$7:H$86,$N80))</f>
        <v/>
      </c>
      <c r="H80" s="37">
        <f>IF($N80="","",INDEX('반배정'!I$7:I$86,$N80))</f>
        <v/>
      </c>
      <c r="I80" s="27">
        <f>IF($N80="","",INDEX('반배정'!O$7:O$86,$N80))</f>
        <v/>
      </c>
      <c r="J80" s="10">
        <f>IF($N80="","",INDEX('반배정'!N$7:N$86,$N80)&amp;"")</f>
        <v/>
      </c>
      <c r="K80" s="10">
        <f>IF($N80="","",INDEX('반배정'!L$7:L$86,$N80))</f>
        <v/>
      </c>
      <c r="L80" s="10">
        <f>IF($N80="","",INDEX('반배정'!P$7:P$86,$N80))</f>
        <v/>
      </c>
      <c r="M80" s="10">
        <f>IFERROR(SMALL('반배정'!$Q$7:$Q$86,74),"")</f>
        <v/>
      </c>
      <c r="N80" s="10">
        <f>IF(M80="","",MATCH(M80,'반배정'!$Q$7:$Q$86,0))</f>
        <v/>
      </c>
    </row>
    <row r="81">
      <c r="A81" s="10">
        <f>IF($N81="","",INDEX('반배정'!J$7:J$86,$N81))</f>
        <v/>
      </c>
      <c r="B81" s="10">
        <f>IF($N81="","",INDEX('반배정'!B$7:B$86,$N81))</f>
        <v/>
      </c>
      <c r="C81" s="10">
        <f>IF($N81="","",INDEX('반배정'!C$7:C$86,$N81))</f>
        <v/>
      </c>
      <c r="D81" s="10">
        <f>IF($N81="","",INDEX('반배정'!D$7:D$86,$N81))</f>
        <v/>
      </c>
      <c r="E81" s="10">
        <f>IF($N81="","",INDEX('반배정'!E$7:E$86,$N81))</f>
        <v/>
      </c>
      <c r="F81" s="10">
        <f>IF($N81="","",INDEX('반배정'!G$7:G$86,$N81))</f>
        <v/>
      </c>
      <c r="G81" s="10">
        <f>IF($N81="","",INDEX('반배정'!H$7:H$86,$N81))</f>
        <v/>
      </c>
      <c r="H81" s="37">
        <f>IF($N81="","",INDEX('반배정'!I$7:I$86,$N81))</f>
        <v/>
      </c>
      <c r="I81" s="27">
        <f>IF($N81="","",INDEX('반배정'!O$7:O$86,$N81))</f>
        <v/>
      </c>
      <c r="J81" s="10">
        <f>IF($N81="","",INDEX('반배정'!N$7:N$86,$N81)&amp;"")</f>
        <v/>
      </c>
      <c r="K81" s="10">
        <f>IF($N81="","",INDEX('반배정'!L$7:L$86,$N81))</f>
        <v/>
      </c>
      <c r="L81" s="10">
        <f>IF($N81="","",INDEX('반배정'!P$7:P$86,$N81))</f>
        <v/>
      </c>
      <c r="M81" s="10">
        <f>IFERROR(SMALL('반배정'!$Q$7:$Q$86,75),"")</f>
        <v/>
      </c>
      <c r="N81" s="10">
        <f>IF(M81="","",MATCH(M81,'반배정'!$Q$7:$Q$86,0))</f>
        <v/>
      </c>
    </row>
    <row r="82">
      <c r="A82" s="10">
        <f>IF($N82="","",INDEX('반배정'!J$7:J$86,$N82))</f>
        <v/>
      </c>
      <c r="B82" s="10">
        <f>IF($N82="","",INDEX('반배정'!B$7:B$86,$N82))</f>
        <v/>
      </c>
      <c r="C82" s="10">
        <f>IF($N82="","",INDEX('반배정'!C$7:C$86,$N82))</f>
        <v/>
      </c>
      <c r="D82" s="10">
        <f>IF($N82="","",INDEX('반배정'!D$7:D$86,$N82))</f>
        <v/>
      </c>
      <c r="E82" s="10">
        <f>IF($N82="","",INDEX('반배정'!E$7:E$86,$N82))</f>
        <v/>
      </c>
      <c r="F82" s="10">
        <f>IF($N82="","",INDEX('반배정'!G$7:G$86,$N82))</f>
        <v/>
      </c>
      <c r="G82" s="10">
        <f>IF($N82="","",INDEX('반배정'!H$7:H$86,$N82))</f>
        <v/>
      </c>
      <c r="H82" s="37">
        <f>IF($N82="","",INDEX('반배정'!I$7:I$86,$N82))</f>
        <v/>
      </c>
      <c r="I82" s="27">
        <f>IF($N82="","",INDEX('반배정'!O$7:O$86,$N82))</f>
        <v/>
      </c>
      <c r="J82" s="10">
        <f>IF($N82="","",INDEX('반배정'!N$7:N$86,$N82)&amp;"")</f>
        <v/>
      </c>
      <c r="K82" s="10">
        <f>IF($N82="","",INDEX('반배정'!L$7:L$86,$N82))</f>
        <v/>
      </c>
      <c r="L82" s="10">
        <f>IF($N82="","",INDEX('반배정'!P$7:P$86,$N82))</f>
        <v/>
      </c>
      <c r="M82" s="10">
        <f>IFERROR(SMALL('반배정'!$Q$7:$Q$86,76),"")</f>
        <v/>
      </c>
      <c r="N82" s="10">
        <f>IF(M82="","",MATCH(M82,'반배정'!$Q$7:$Q$86,0))</f>
        <v/>
      </c>
    </row>
    <row r="83">
      <c r="A83" s="10">
        <f>IF($N83="","",INDEX('반배정'!J$7:J$86,$N83))</f>
        <v/>
      </c>
      <c r="B83" s="10">
        <f>IF($N83="","",INDEX('반배정'!B$7:B$86,$N83))</f>
        <v/>
      </c>
      <c r="C83" s="10">
        <f>IF($N83="","",INDEX('반배정'!C$7:C$86,$N83))</f>
        <v/>
      </c>
      <c r="D83" s="10">
        <f>IF($N83="","",INDEX('반배정'!D$7:D$86,$N83))</f>
        <v/>
      </c>
      <c r="E83" s="10">
        <f>IF($N83="","",INDEX('반배정'!E$7:E$86,$N83))</f>
        <v/>
      </c>
      <c r="F83" s="10">
        <f>IF($N83="","",INDEX('반배정'!G$7:G$86,$N83))</f>
        <v/>
      </c>
      <c r="G83" s="10">
        <f>IF($N83="","",INDEX('반배정'!H$7:H$86,$N83))</f>
        <v/>
      </c>
      <c r="H83" s="37">
        <f>IF($N83="","",INDEX('반배정'!I$7:I$86,$N83))</f>
        <v/>
      </c>
      <c r="I83" s="27">
        <f>IF($N83="","",INDEX('반배정'!O$7:O$86,$N83))</f>
        <v/>
      </c>
      <c r="J83" s="10">
        <f>IF($N83="","",INDEX('반배정'!N$7:N$86,$N83)&amp;"")</f>
        <v/>
      </c>
      <c r="K83" s="10">
        <f>IF($N83="","",INDEX('반배정'!L$7:L$86,$N83))</f>
        <v/>
      </c>
      <c r="L83" s="10">
        <f>IF($N83="","",INDEX('반배정'!P$7:P$86,$N83))</f>
        <v/>
      </c>
      <c r="M83" s="10">
        <f>IFERROR(SMALL('반배정'!$Q$7:$Q$86,77),"")</f>
        <v/>
      </c>
      <c r="N83" s="10">
        <f>IF(M83="","",MATCH(M83,'반배정'!$Q$7:$Q$86,0))</f>
        <v/>
      </c>
    </row>
    <row r="84">
      <c r="A84" s="10">
        <f>IF($N84="","",INDEX('반배정'!J$7:J$86,$N84))</f>
        <v/>
      </c>
      <c r="B84" s="10">
        <f>IF($N84="","",INDEX('반배정'!B$7:B$86,$N84))</f>
        <v/>
      </c>
      <c r="C84" s="10">
        <f>IF($N84="","",INDEX('반배정'!C$7:C$86,$N84))</f>
        <v/>
      </c>
      <c r="D84" s="10">
        <f>IF($N84="","",INDEX('반배정'!D$7:D$86,$N84))</f>
        <v/>
      </c>
      <c r="E84" s="10">
        <f>IF($N84="","",INDEX('반배정'!E$7:E$86,$N84))</f>
        <v/>
      </c>
      <c r="F84" s="10">
        <f>IF($N84="","",INDEX('반배정'!G$7:G$86,$N84))</f>
        <v/>
      </c>
      <c r="G84" s="10">
        <f>IF($N84="","",INDEX('반배정'!H$7:H$86,$N84))</f>
        <v/>
      </c>
      <c r="H84" s="37">
        <f>IF($N84="","",INDEX('반배정'!I$7:I$86,$N84))</f>
        <v/>
      </c>
      <c r="I84" s="27">
        <f>IF($N84="","",INDEX('반배정'!O$7:O$86,$N84))</f>
        <v/>
      </c>
      <c r="J84" s="10">
        <f>IF($N84="","",INDEX('반배정'!N$7:N$86,$N84)&amp;"")</f>
        <v/>
      </c>
      <c r="K84" s="10">
        <f>IF($N84="","",INDEX('반배정'!L$7:L$86,$N84))</f>
        <v/>
      </c>
      <c r="L84" s="10">
        <f>IF($N84="","",INDEX('반배정'!P$7:P$86,$N84))</f>
        <v/>
      </c>
      <c r="M84" s="10">
        <f>IFERROR(SMALL('반배정'!$Q$7:$Q$86,78),"")</f>
        <v/>
      </c>
      <c r="N84" s="10">
        <f>IF(M84="","",MATCH(M84,'반배정'!$Q$7:$Q$86,0))</f>
        <v/>
      </c>
    </row>
    <row r="85">
      <c r="A85" s="10">
        <f>IF($N85="","",INDEX('반배정'!J$7:J$86,$N85))</f>
        <v/>
      </c>
      <c r="B85" s="10">
        <f>IF($N85="","",INDEX('반배정'!B$7:B$86,$N85))</f>
        <v/>
      </c>
      <c r="C85" s="10">
        <f>IF($N85="","",INDEX('반배정'!C$7:C$86,$N85))</f>
        <v/>
      </c>
      <c r="D85" s="10">
        <f>IF($N85="","",INDEX('반배정'!D$7:D$86,$N85))</f>
        <v/>
      </c>
      <c r="E85" s="10">
        <f>IF($N85="","",INDEX('반배정'!E$7:E$86,$N85))</f>
        <v/>
      </c>
      <c r="F85" s="10">
        <f>IF($N85="","",INDEX('반배정'!G$7:G$86,$N85))</f>
        <v/>
      </c>
      <c r="G85" s="10">
        <f>IF($N85="","",INDEX('반배정'!H$7:H$86,$N85))</f>
        <v/>
      </c>
      <c r="H85" s="37">
        <f>IF($N85="","",INDEX('반배정'!I$7:I$86,$N85))</f>
        <v/>
      </c>
      <c r="I85" s="27">
        <f>IF($N85="","",INDEX('반배정'!O$7:O$86,$N85))</f>
        <v/>
      </c>
      <c r="J85" s="10">
        <f>IF($N85="","",INDEX('반배정'!N$7:N$86,$N85)&amp;"")</f>
        <v/>
      </c>
      <c r="K85" s="10">
        <f>IF($N85="","",INDEX('반배정'!L$7:L$86,$N85))</f>
        <v/>
      </c>
      <c r="L85" s="10">
        <f>IF($N85="","",INDEX('반배정'!P$7:P$86,$N85))</f>
        <v/>
      </c>
      <c r="M85" s="10">
        <f>IFERROR(SMALL('반배정'!$Q$7:$Q$86,79),"")</f>
        <v/>
      </c>
      <c r="N85" s="10">
        <f>IF(M85="","",MATCH(M85,'반배정'!$Q$7:$Q$86,0))</f>
        <v/>
      </c>
    </row>
    <row r="86">
      <c r="A86" s="10">
        <f>IF($N86="","",INDEX('반배정'!J$7:J$86,$N86))</f>
        <v/>
      </c>
      <c r="B86" s="10">
        <f>IF($N86="","",INDEX('반배정'!B$7:B$86,$N86))</f>
        <v/>
      </c>
      <c r="C86" s="10">
        <f>IF($N86="","",INDEX('반배정'!C$7:C$86,$N86))</f>
        <v/>
      </c>
      <c r="D86" s="10">
        <f>IF($N86="","",INDEX('반배정'!D$7:D$86,$N86))</f>
        <v/>
      </c>
      <c r="E86" s="10">
        <f>IF($N86="","",INDEX('반배정'!E$7:E$86,$N86))</f>
        <v/>
      </c>
      <c r="F86" s="10">
        <f>IF($N86="","",INDEX('반배정'!G$7:G$86,$N86))</f>
        <v/>
      </c>
      <c r="G86" s="10">
        <f>IF($N86="","",INDEX('반배정'!H$7:H$86,$N86))</f>
        <v/>
      </c>
      <c r="H86" s="37">
        <f>IF($N86="","",INDEX('반배정'!I$7:I$86,$N86))</f>
        <v/>
      </c>
      <c r="I86" s="27">
        <f>IF($N86="","",INDEX('반배정'!O$7:O$86,$N86))</f>
        <v/>
      </c>
      <c r="J86" s="10">
        <f>IF($N86="","",INDEX('반배정'!N$7:N$86,$N86)&amp;"")</f>
        <v/>
      </c>
      <c r="K86" s="10">
        <f>IF($N86="","",INDEX('반배정'!L$7:L$86,$N86))</f>
        <v/>
      </c>
      <c r="L86" s="10">
        <f>IF($N86="","",INDEX('반배정'!P$7:P$86,$N86))</f>
        <v/>
      </c>
      <c r="M86" s="10">
        <f>IFERROR(SMALL('반배정'!$Q$7:$Q$86,80),"")</f>
        <v/>
      </c>
      <c r="N86" s="10">
        <f>IF(M86="","",MATCH(M86,'반배정'!$Q$7:$Q$86,0))</f>
        <v/>
      </c>
    </row>
  </sheetData>
  <mergeCells count="2">
    <mergeCell ref="A2:L2"/>
    <mergeCell ref="A1:L1"/>
  </mergeCells>
  <conditionalFormatting sqref="A7:L8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TF3반 정답률(자동배정 기준, 0.3 이상이면 상·하위를 잘 가르는 문항). 객관식은 선지별 선택 인원으로 매력적 오답을 확인하세요.</t>
        </is>
      </c>
    </row>
    <row r="4">
      <c r="A4" s="38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9">
        <f>'공수1'!D4</f>
        <v/>
      </c>
      <c r="D6" s="10">
        <f>'공수1'!D5</f>
        <v/>
      </c>
      <c r="E6" s="10">
        <f>'공수1'!D3</f>
        <v/>
      </c>
      <c r="F6" s="40">
        <f>IF('공수1'!$D$2="","",'공수1'!$D$2)</f>
        <v/>
      </c>
      <c r="G6" s="10">
        <f>COUNT('공수1'!$Y$7:$Y$86)</f>
        <v/>
      </c>
      <c r="H6" s="10">
        <f>IF(F6="","",SUMPRODUCT(('공수1'!$D$7:$D$86='공수1'!$D$2)*('공수1'!$D$7:$D$86&lt;&gt;"")))</f>
        <v/>
      </c>
      <c r="I6" s="41">
        <f>IF(OR(F6="",G6=0),"",H6/G6)</f>
        <v/>
      </c>
      <c r="J6" s="42">
        <f>IF(F6="","",IFERROR(SUMPRODUCT(('공수1'!$D$7:$D$86='공수1'!$D$2)*('공수1'!$D$7:$D$86&lt;&gt;"")*('반배정'!$K$7:$K$86='설정'!$B$6))/COUNTIFS('반배정'!$K$7:$K$86,'설정'!$B$6,'공수1'!$Y$7:$Y$86,"&gt;=0"),""))</f>
        <v/>
      </c>
      <c r="K6" s="42">
        <f>IF(F6="","",IFERROR(SUMPRODUCT(('공수1'!$D$7:$D$86='공수1'!$D$2)*('공수1'!$D$7:$D$86&lt;&gt;"")*('반배정'!$K$7:$K$86='설정'!$B$7))/COUNTIFS('반배정'!$K$7:$K$86,'설정'!$B$7,'공수1'!$Y$7:$Y$86,"&gt;=0"),""))</f>
        <v/>
      </c>
      <c r="L6" s="42">
        <f>IF(F6="","",IFERROR(SUMPRODUCT(('공수1'!$D$7:$D$86='공수1'!$D$2)*('공수1'!$D$7:$D$86&lt;&gt;"")*('반배정'!$K$7:$K$86='설정'!$B$8))/COUNTIFS('반배정'!$K$7:$K$86,'설정'!$B$8,'공수1'!$Y$7:$Y$86,"&gt;=0"),""))</f>
        <v/>
      </c>
      <c r="M6" s="43">
        <f>IF(OR(J6="",L6=""),"",J6-L6)</f>
        <v/>
      </c>
      <c r="N6" s="39">
        <f>IF(I6="","",IF(AND(M6&lt;&gt;"",M6&lt;0),"역변별·문항검토",IF(I6&gt;=0.9,"매우 쉬움",IF(I6&lt;=0.15,"매우 어려움",IF(AND(M6&lt;&gt;"",M6&lt;0.2),"변별력 낮음","양호")))))</f>
        <v/>
      </c>
      <c r="O6" s="39">
        <f>IF(G6=0,"",COUNTIF('공수1'!$D$7:$D$86,1))</f>
        <v/>
      </c>
      <c r="P6" s="39">
        <f>IF(G6=0,"",COUNTIF('공수1'!$D$7:$D$86,2))</f>
        <v/>
      </c>
      <c r="Q6" s="39">
        <f>IF(G6=0,"",COUNTIF('공수1'!$D$7:$D$86,3))</f>
        <v/>
      </c>
      <c r="R6" s="39">
        <f>IF(G6=0,"",COUNTIF('공수1'!$D$7:$D$86,4))</f>
        <v/>
      </c>
      <c r="S6" s="39">
        <f>IF(G6=0,"",COUNTIF('공수1'!$D$7:$D$86,5))</f>
        <v/>
      </c>
    </row>
    <row r="7">
      <c r="A7" s="8" t="n">
        <v>2</v>
      </c>
      <c r="B7" s="17" t="inlineStr">
        <is>
          <t>객관식</t>
        </is>
      </c>
      <c r="C7" s="39">
        <f>'공수1'!E4</f>
        <v/>
      </c>
      <c r="D7" s="10">
        <f>'공수1'!E5</f>
        <v/>
      </c>
      <c r="E7" s="10">
        <f>'공수1'!E3</f>
        <v/>
      </c>
      <c r="F7" s="40">
        <f>IF('공수1'!$E$2="","",'공수1'!$E$2)</f>
        <v/>
      </c>
      <c r="G7" s="10">
        <f>COUNT('공수1'!$Y$7:$Y$86)</f>
        <v/>
      </c>
      <c r="H7" s="10">
        <f>IF(F7="","",SUMPRODUCT(('공수1'!$E$7:$E$86='공수1'!$E$2)*('공수1'!$E$7:$E$86&lt;&gt;"")))</f>
        <v/>
      </c>
      <c r="I7" s="41">
        <f>IF(OR(F7="",G7=0),"",H7/G7)</f>
        <v/>
      </c>
      <c r="J7" s="42">
        <f>IF(F7="","",IFERROR(SUMPRODUCT(('공수1'!$E$7:$E$86='공수1'!$E$2)*('공수1'!$E$7:$E$86&lt;&gt;"")*('반배정'!$K$7:$K$86='설정'!$B$6))/COUNTIFS('반배정'!$K$7:$K$86,'설정'!$B$6,'공수1'!$Y$7:$Y$86,"&gt;=0"),""))</f>
        <v/>
      </c>
      <c r="K7" s="42">
        <f>IF(F7="","",IFERROR(SUMPRODUCT(('공수1'!$E$7:$E$86='공수1'!$E$2)*('공수1'!$E$7:$E$86&lt;&gt;"")*('반배정'!$K$7:$K$86='설정'!$B$7))/COUNTIFS('반배정'!$K$7:$K$86,'설정'!$B$7,'공수1'!$Y$7:$Y$86,"&gt;=0"),""))</f>
        <v/>
      </c>
      <c r="L7" s="42">
        <f>IF(F7="","",IFERROR(SUMPRODUCT(('공수1'!$E$7:$E$86='공수1'!$E$2)*('공수1'!$E$7:$E$86&lt;&gt;"")*('반배정'!$K$7:$K$86='설정'!$B$8))/COUNTIFS('반배정'!$K$7:$K$86,'설정'!$B$8,'공수1'!$Y$7:$Y$86,"&gt;=0"),""))</f>
        <v/>
      </c>
      <c r="M7" s="43">
        <f>IF(OR(J7="",L7=""),"",J7-L7)</f>
        <v/>
      </c>
      <c r="N7" s="39">
        <f>IF(I7="","",IF(AND(M7&lt;&gt;"",M7&lt;0),"역변별·문항검토",IF(I7&gt;=0.9,"매우 쉬움",IF(I7&lt;=0.15,"매우 어려움",IF(AND(M7&lt;&gt;"",M7&lt;0.2),"변별력 낮음","양호")))))</f>
        <v/>
      </c>
      <c r="O7" s="39">
        <f>IF(G7=0,"",COUNTIF('공수1'!$E$7:$E$86,1))</f>
        <v/>
      </c>
      <c r="P7" s="39">
        <f>IF(G7=0,"",COUNTIF('공수1'!$E$7:$E$86,2))</f>
        <v/>
      </c>
      <c r="Q7" s="39">
        <f>IF(G7=0,"",COUNTIF('공수1'!$E$7:$E$86,3))</f>
        <v/>
      </c>
      <c r="R7" s="39">
        <f>IF(G7=0,"",COUNTIF('공수1'!$E$7:$E$86,4))</f>
        <v/>
      </c>
      <c r="S7" s="39">
        <f>IF(G7=0,"",COUNTIF('공수1'!$E$7:$E$86,5))</f>
        <v/>
      </c>
    </row>
    <row r="8">
      <c r="A8" s="8" t="n">
        <v>3</v>
      </c>
      <c r="B8" s="17" t="inlineStr">
        <is>
          <t>객관식</t>
        </is>
      </c>
      <c r="C8" s="39">
        <f>'공수1'!F4</f>
        <v/>
      </c>
      <c r="D8" s="10">
        <f>'공수1'!F5</f>
        <v/>
      </c>
      <c r="E8" s="10">
        <f>'공수1'!F3</f>
        <v/>
      </c>
      <c r="F8" s="40">
        <f>IF('공수1'!$F$2="","",'공수1'!$F$2)</f>
        <v/>
      </c>
      <c r="G8" s="10">
        <f>COUNT('공수1'!$Y$7:$Y$86)</f>
        <v/>
      </c>
      <c r="H8" s="10">
        <f>IF(F8="","",SUMPRODUCT(('공수1'!$F$7:$F$86='공수1'!$F$2)*('공수1'!$F$7:$F$86&lt;&gt;"")))</f>
        <v/>
      </c>
      <c r="I8" s="41">
        <f>IF(OR(F8="",G8=0),"",H8/G8)</f>
        <v/>
      </c>
      <c r="J8" s="42">
        <f>IF(F8="","",IFERROR(SUMPRODUCT(('공수1'!$F$7:$F$86='공수1'!$F$2)*('공수1'!$F$7:$F$86&lt;&gt;"")*('반배정'!$K$7:$K$86='설정'!$B$6))/COUNTIFS('반배정'!$K$7:$K$86,'설정'!$B$6,'공수1'!$Y$7:$Y$86,"&gt;=0"),""))</f>
        <v/>
      </c>
      <c r="K8" s="42">
        <f>IF(F8="","",IFERROR(SUMPRODUCT(('공수1'!$F$7:$F$86='공수1'!$F$2)*('공수1'!$F$7:$F$86&lt;&gt;"")*('반배정'!$K$7:$K$86='설정'!$B$7))/COUNTIFS('반배정'!$K$7:$K$86,'설정'!$B$7,'공수1'!$Y$7:$Y$86,"&gt;=0"),""))</f>
        <v/>
      </c>
      <c r="L8" s="42">
        <f>IF(F8="","",IFERROR(SUMPRODUCT(('공수1'!$F$7:$F$86='공수1'!$F$2)*('공수1'!$F$7:$F$86&lt;&gt;"")*('반배정'!$K$7:$K$86='설정'!$B$8))/COUNTIFS('반배정'!$K$7:$K$86,'설정'!$B$8,'공수1'!$Y$7:$Y$86,"&gt;=0"),""))</f>
        <v/>
      </c>
      <c r="M8" s="43">
        <f>IF(OR(J8="",L8=""),"",J8-L8)</f>
        <v/>
      </c>
      <c r="N8" s="39">
        <f>IF(I8="","",IF(AND(M8&lt;&gt;"",M8&lt;0),"역변별·문항검토",IF(I8&gt;=0.9,"매우 쉬움",IF(I8&lt;=0.15,"매우 어려움",IF(AND(M8&lt;&gt;"",M8&lt;0.2),"변별력 낮음","양호")))))</f>
        <v/>
      </c>
      <c r="O8" s="39">
        <f>IF(G8=0,"",COUNTIF('공수1'!$F$7:$F$86,1))</f>
        <v/>
      </c>
      <c r="P8" s="39">
        <f>IF(G8=0,"",COUNTIF('공수1'!$F$7:$F$86,2))</f>
        <v/>
      </c>
      <c r="Q8" s="39">
        <f>IF(G8=0,"",COUNTIF('공수1'!$F$7:$F$86,3))</f>
        <v/>
      </c>
      <c r="R8" s="39">
        <f>IF(G8=0,"",COUNTIF('공수1'!$F$7:$F$86,4))</f>
        <v/>
      </c>
      <c r="S8" s="39">
        <f>IF(G8=0,"",COUNTIF('공수1'!$F$7:$F$86,5))</f>
        <v/>
      </c>
    </row>
    <row r="9">
      <c r="A9" s="8" t="n">
        <v>4</v>
      </c>
      <c r="B9" s="17" t="inlineStr">
        <is>
          <t>객관식</t>
        </is>
      </c>
      <c r="C9" s="39">
        <f>'공수1'!G4</f>
        <v/>
      </c>
      <c r="D9" s="10">
        <f>'공수1'!G5</f>
        <v/>
      </c>
      <c r="E9" s="10">
        <f>'공수1'!G3</f>
        <v/>
      </c>
      <c r="F9" s="40">
        <f>IF('공수1'!$G$2="","",'공수1'!$G$2)</f>
        <v/>
      </c>
      <c r="G9" s="10">
        <f>COUNT('공수1'!$Y$7:$Y$86)</f>
        <v/>
      </c>
      <c r="H9" s="10">
        <f>IF(F9="","",SUMPRODUCT(('공수1'!$G$7:$G$86='공수1'!$G$2)*('공수1'!$G$7:$G$86&lt;&gt;"")))</f>
        <v/>
      </c>
      <c r="I9" s="41">
        <f>IF(OR(F9="",G9=0),"",H9/G9)</f>
        <v/>
      </c>
      <c r="J9" s="42">
        <f>IF(F9="","",IFERROR(SUMPRODUCT(('공수1'!$G$7:$G$86='공수1'!$G$2)*('공수1'!$G$7:$G$86&lt;&gt;"")*('반배정'!$K$7:$K$86='설정'!$B$6))/COUNTIFS('반배정'!$K$7:$K$86,'설정'!$B$6,'공수1'!$Y$7:$Y$86,"&gt;=0"),""))</f>
        <v/>
      </c>
      <c r="K9" s="42">
        <f>IF(F9="","",IFERROR(SUMPRODUCT(('공수1'!$G$7:$G$86='공수1'!$G$2)*('공수1'!$G$7:$G$86&lt;&gt;"")*('반배정'!$K$7:$K$86='설정'!$B$7))/COUNTIFS('반배정'!$K$7:$K$86,'설정'!$B$7,'공수1'!$Y$7:$Y$86,"&gt;=0"),""))</f>
        <v/>
      </c>
      <c r="L9" s="42">
        <f>IF(F9="","",IFERROR(SUMPRODUCT(('공수1'!$G$7:$G$86='공수1'!$G$2)*('공수1'!$G$7:$G$86&lt;&gt;"")*('반배정'!$K$7:$K$86='설정'!$B$8))/COUNTIFS('반배정'!$K$7:$K$86,'설정'!$B$8,'공수1'!$Y$7:$Y$86,"&gt;=0"),""))</f>
        <v/>
      </c>
      <c r="M9" s="43">
        <f>IF(OR(J9="",L9=""),"",J9-L9)</f>
        <v/>
      </c>
      <c r="N9" s="39">
        <f>IF(I9="","",IF(AND(M9&lt;&gt;"",M9&lt;0),"역변별·문항검토",IF(I9&gt;=0.9,"매우 쉬움",IF(I9&lt;=0.15,"매우 어려움",IF(AND(M9&lt;&gt;"",M9&lt;0.2),"변별력 낮음","양호")))))</f>
        <v/>
      </c>
      <c r="O9" s="39">
        <f>IF(G9=0,"",COUNTIF('공수1'!$G$7:$G$86,1))</f>
        <v/>
      </c>
      <c r="P9" s="39">
        <f>IF(G9=0,"",COUNTIF('공수1'!$G$7:$G$86,2))</f>
        <v/>
      </c>
      <c r="Q9" s="39">
        <f>IF(G9=0,"",COUNTIF('공수1'!$G$7:$G$86,3))</f>
        <v/>
      </c>
      <c r="R9" s="39">
        <f>IF(G9=0,"",COUNTIF('공수1'!$G$7:$G$86,4))</f>
        <v/>
      </c>
      <c r="S9" s="39">
        <f>IF(G9=0,"",COUNTIF('공수1'!$G$7:$G$86,5))</f>
        <v/>
      </c>
    </row>
    <row r="10">
      <c r="A10" s="8" t="n">
        <v>5</v>
      </c>
      <c r="B10" s="17" t="inlineStr">
        <is>
          <t>객관식</t>
        </is>
      </c>
      <c r="C10" s="39">
        <f>'공수1'!H4</f>
        <v/>
      </c>
      <c r="D10" s="10">
        <f>'공수1'!H5</f>
        <v/>
      </c>
      <c r="E10" s="10">
        <f>'공수1'!H3</f>
        <v/>
      </c>
      <c r="F10" s="40">
        <f>IF('공수1'!$H$2="","",'공수1'!$H$2)</f>
        <v/>
      </c>
      <c r="G10" s="10">
        <f>COUNT('공수1'!$Y$7:$Y$86)</f>
        <v/>
      </c>
      <c r="H10" s="10">
        <f>IF(F10="","",SUMPRODUCT(('공수1'!$H$7:$H$86='공수1'!$H$2)*('공수1'!$H$7:$H$86&lt;&gt;"")))</f>
        <v/>
      </c>
      <c r="I10" s="41">
        <f>IF(OR(F10="",G10=0),"",H10/G10)</f>
        <v/>
      </c>
      <c r="J10" s="42">
        <f>IF(F10="","",IFERROR(SUMPRODUCT(('공수1'!$H$7:$H$86='공수1'!$H$2)*('공수1'!$H$7:$H$86&lt;&gt;"")*('반배정'!$K$7:$K$86='설정'!$B$6))/COUNTIFS('반배정'!$K$7:$K$86,'설정'!$B$6,'공수1'!$Y$7:$Y$86,"&gt;=0"),""))</f>
        <v/>
      </c>
      <c r="K10" s="42">
        <f>IF(F10="","",IFERROR(SUMPRODUCT(('공수1'!$H$7:$H$86='공수1'!$H$2)*('공수1'!$H$7:$H$86&lt;&gt;"")*('반배정'!$K$7:$K$86='설정'!$B$7))/COUNTIFS('반배정'!$K$7:$K$86,'설정'!$B$7,'공수1'!$Y$7:$Y$86,"&gt;=0"),""))</f>
        <v/>
      </c>
      <c r="L10" s="42">
        <f>IF(F10="","",IFERROR(SUMPRODUCT(('공수1'!$H$7:$H$86='공수1'!$H$2)*('공수1'!$H$7:$H$86&lt;&gt;"")*('반배정'!$K$7:$K$86='설정'!$B$8))/COUNTIFS('반배정'!$K$7:$K$86,'설정'!$B$8,'공수1'!$Y$7:$Y$86,"&gt;=0"),""))</f>
        <v/>
      </c>
      <c r="M10" s="43">
        <f>IF(OR(J10="",L10=""),"",J10-L10)</f>
        <v/>
      </c>
      <c r="N10" s="39">
        <f>IF(I10="","",IF(AND(M10&lt;&gt;"",M10&lt;0),"역변별·문항검토",IF(I10&gt;=0.9,"매우 쉬움",IF(I10&lt;=0.15,"매우 어려움",IF(AND(M10&lt;&gt;"",M10&lt;0.2),"변별력 낮음","양호")))))</f>
        <v/>
      </c>
      <c r="O10" s="39">
        <f>IF(G10=0,"",COUNTIF('공수1'!$H$7:$H$86,1))</f>
        <v/>
      </c>
      <c r="P10" s="39">
        <f>IF(G10=0,"",COUNTIF('공수1'!$H$7:$H$86,2))</f>
        <v/>
      </c>
      <c r="Q10" s="39">
        <f>IF(G10=0,"",COUNTIF('공수1'!$H$7:$H$86,3))</f>
        <v/>
      </c>
      <c r="R10" s="39">
        <f>IF(G10=0,"",COUNTIF('공수1'!$H$7:$H$86,4))</f>
        <v/>
      </c>
      <c r="S10" s="39">
        <f>IF(G10=0,"",COUNTIF('공수1'!$H$7:$H$86,5))</f>
        <v/>
      </c>
    </row>
    <row r="11">
      <c r="A11" s="8" t="n">
        <v>6</v>
      </c>
      <c r="B11" s="17" t="inlineStr">
        <is>
          <t>객관식</t>
        </is>
      </c>
      <c r="C11" s="39">
        <f>'공수1'!I4</f>
        <v/>
      </c>
      <c r="D11" s="10">
        <f>'공수1'!I5</f>
        <v/>
      </c>
      <c r="E11" s="10">
        <f>'공수1'!I3</f>
        <v/>
      </c>
      <c r="F11" s="40">
        <f>IF('공수1'!$I$2="","",'공수1'!$I$2)</f>
        <v/>
      </c>
      <c r="G11" s="10">
        <f>COUNT('공수1'!$Y$7:$Y$86)</f>
        <v/>
      </c>
      <c r="H11" s="10">
        <f>IF(F11="","",SUMPRODUCT(('공수1'!$I$7:$I$86='공수1'!$I$2)*('공수1'!$I$7:$I$86&lt;&gt;"")))</f>
        <v/>
      </c>
      <c r="I11" s="41">
        <f>IF(OR(F11="",G11=0),"",H11/G11)</f>
        <v/>
      </c>
      <c r="J11" s="42">
        <f>IF(F11="","",IFERROR(SUMPRODUCT(('공수1'!$I$7:$I$86='공수1'!$I$2)*('공수1'!$I$7:$I$86&lt;&gt;"")*('반배정'!$K$7:$K$86='설정'!$B$6))/COUNTIFS('반배정'!$K$7:$K$86,'설정'!$B$6,'공수1'!$Y$7:$Y$86,"&gt;=0"),""))</f>
        <v/>
      </c>
      <c r="K11" s="42">
        <f>IF(F11="","",IFERROR(SUMPRODUCT(('공수1'!$I$7:$I$86='공수1'!$I$2)*('공수1'!$I$7:$I$86&lt;&gt;"")*('반배정'!$K$7:$K$86='설정'!$B$7))/COUNTIFS('반배정'!$K$7:$K$86,'설정'!$B$7,'공수1'!$Y$7:$Y$86,"&gt;=0"),""))</f>
        <v/>
      </c>
      <c r="L11" s="42">
        <f>IF(F11="","",IFERROR(SUMPRODUCT(('공수1'!$I$7:$I$86='공수1'!$I$2)*('공수1'!$I$7:$I$86&lt;&gt;"")*('반배정'!$K$7:$K$86='설정'!$B$8))/COUNTIFS('반배정'!$K$7:$K$86,'설정'!$B$8,'공수1'!$Y$7:$Y$86,"&gt;=0"),""))</f>
        <v/>
      </c>
      <c r="M11" s="43">
        <f>IF(OR(J11="",L11=""),"",J11-L11)</f>
        <v/>
      </c>
      <c r="N11" s="39">
        <f>IF(I11="","",IF(AND(M11&lt;&gt;"",M11&lt;0),"역변별·문항검토",IF(I11&gt;=0.9,"매우 쉬움",IF(I11&lt;=0.15,"매우 어려움",IF(AND(M11&lt;&gt;"",M11&lt;0.2),"변별력 낮음","양호")))))</f>
        <v/>
      </c>
      <c r="O11" s="39">
        <f>IF(G11=0,"",COUNTIF('공수1'!$I$7:$I$86,1))</f>
        <v/>
      </c>
      <c r="P11" s="39">
        <f>IF(G11=0,"",COUNTIF('공수1'!$I$7:$I$86,2))</f>
        <v/>
      </c>
      <c r="Q11" s="39">
        <f>IF(G11=0,"",COUNTIF('공수1'!$I$7:$I$86,3))</f>
        <v/>
      </c>
      <c r="R11" s="39">
        <f>IF(G11=0,"",COUNTIF('공수1'!$I$7:$I$86,4))</f>
        <v/>
      </c>
      <c r="S11" s="39">
        <f>IF(G11=0,"",COUNTIF('공수1'!$I$7:$I$86,5))</f>
        <v/>
      </c>
    </row>
    <row r="12">
      <c r="A12" s="8" t="n">
        <v>7</v>
      </c>
      <c r="B12" s="17" t="inlineStr">
        <is>
          <t>객관식</t>
        </is>
      </c>
      <c r="C12" s="39">
        <f>'공수1'!J4</f>
        <v/>
      </c>
      <c r="D12" s="10">
        <f>'공수1'!J5</f>
        <v/>
      </c>
      <c r="E12" s="10">
        <f>'공수1'!J3</f>
        <v/>
      </c>
      <c r="F12" s="40">
        <f>IF('공수1'!$J$2="","",'공수1'!$J$2)</f>
        <v/>
      </c>
      <c r="G12" s="10">
        <f>COUNT('공수1'!$Y$7:$Y$86)</f>
        <v/>
      </c>
      <c r="H12" s="10">
        <f>IF(F12="","",SUMPRODUCT(('공수1'!$J$7:$J$86='공수1'!$J$2)*('공수1'!$J$7:$J$86&lt;&gt;"")))</f>
        <v/>
      </c>
      <c r="I12" s="41">
        <f>IF(OR(F12="",G12=0),"",H12/G12)</f>
        <v/>
      </c>
      <c r="J12" s="42">
        <f>IF(F12="","",IFERROR(SUMPRODUCT(('공수1'!$J$7:$J$86='공수1'!$J$2)*('공수1'!$J$7:$J$86&lt;&gt;"")*('반배정'!$K$7:$K$86='설정'!$B$6))/COUNTIFS('반배정'!$K$7:$K$86,'설정'!$B$6,'공수1'!$Y$7:$Y$86,"&gt;=0"),""))</f>
        <v/>
      </c>
      <c r="K12" s="42">
        <f>IF(F12="","",IFERROR(SUMPRODUCT(('공수1'!$J$7:$J$86='공수1'!$J$2)*('공수1'!$J$7:$J$86&lt;&gt;"")*('반배정'!$K$7:$K$86='설정'!$B$7))/COUNTIFS('반배정'!$K$7:$K$86,'설정'!$B$7,'공수1'!$Y$7:$Y$86,"&gt;=0"),""))</f>
        <v/>
      </c>
      <c r="L12" s="42">
        <f>IF(F12="","",IFERROR(SUMPRODUCT(('공수1'!$J$7:$J$86='공수1'!$J$2)*('공수1'!$J$7:$J$86&lt;&gt;"")*('반배정'!$K$7:$K$86='설정'!$B$8))/COUNTIFS('반배정'!$K$7:$K$86,'설정'!$B$8,'공수1'!$Y$7:$Y$86,"&gt;=0"),""))</f>
        <v/>
      </c>
      <c r="M12" s="43">
        <f>IF(OR(J12="",L12=""),"",J12-L12)</f>
        <v/>
      </c>
      <c r="N12" s="39">
        <f>IF(I12="","",IF(AND(M12&lt;&gt;"",M12&lt;0),"역변별·문항검토",IF(I12&gt;=0.9,"매우 쉬움",IF(I12&lt;=0.15,"매우 어려움",IF(AND(M12&lt;&gt;"",M12&lt;0.2),"변별력 낮음","양호")))))</f>
        <v/>
      </c>
      <c r="O12" s="39">
        <f>IF(G12=0,"",COUNTIF('공수1'!$J$7:$J$86,1))</f>
        <v/>
      </c>
      <c r="P12" s="39">
        <f>IF(G12=0,"",COUNTIF('공수1'!$J$7:$J$86,2))</f>
        <v/>
      </c>
      <c r="Q12" s="39">
        <f>IF(G12=0,"",COUNTIF('공수1'!$J$7:$J$86,3))</f>
        <v/>
      </c>
      <c r="R12" s="39">
        <f>IF(G12=0,"",COUNTIF('공수1'!$J$7:$J$86,4))</f>
        <v/>
      </c>
      <c r="S12" s="39">
        <f>IF(G12=0,"",COUNTIF('공수1'!$J$7:$J$86,5))</f>
        <v/>
      </c>
    </row>
    <row r="13">
      <c r="A13" s="8" t="n">
        <v>8</v>
      </c>
      <c r="B13" s="17" t="inlineStr">
        <is>
          <t>객관식</t>
        </is>
      </c>
      <c r="C13" s="39">
        <f>'공수1'!K4</f>
        <v/>
      </c>
      <c r="D13" s="10">
        <f>'공수1'!K5</f>
        <v/>
      </c>
      <c r="E13" s="10">
        <f>'공수1'!K3</f>
        <v/>
      </c>
      <c r="F13" s="40">
        <f>IF('공수1'!$K$2="","",'공수1'!$K$2)</f>
        <v/>
      </c>
      <c r="G13" s="10">
        <f>COUNT('공수1'!$Y$7:$Y$86)</f>
        <v/>
      </c>
      <c r="H13" s="10">
        <f>IF(F13="","",SUMPRODUCT(('공수1'!$K$7:$K$86='공수1'!$K$2)*('공수1'!$K$7:$K$86&lt;&gt;"")))</f>
        <v/>
      </c>
      <c r="I13" s="41">
        <f>IF(OR(F13="",G13=0),"",H13/G13)</f>
        <v/>
      </c>
      <c r="J13" s="42">
        <f>IF(F13="","",IFERROR(SUMPRODUCT(('공수1'!$K$7:$K$86='공수1'!$K$2)*('공수1'!$K$7:$K$86&lt;&gt;"")*('반배정'!$K$7:$K$86='설정'!$B$6))/COUNTIFS('반배정'!$K$7:$K$86,'설정'!$B$6,'공수1'!$Y$7:$Y$86,"&gt;=0"),""))</f>
        <v/>
      </c>
      <c r="K13" s="42">
        <f>IF(F13="","",IFERROR(SUMPRODUCT(('공수1'!$K$7:$K$86='공수1'!$K$2)*('공수1'!$K$7:$K$86&lt;&gt;"")*('반배정'!$K$7:$K$86='설정'!$B$7))/COUNTIFS('반배정'!$K$7:$K$86,'설정'!$B$7,'공수1'!$Y$7:$Y$86,"&gt;=0"),""))</f>
        <v/>
      </c>
      <c r="L13" s="42">
        <f>IF(F13="","",IFERROR(SUMPRODUCT(('공수1'!$K$7:$K$86='공수1'!$K$2)*('공수1'!$K$7:$K$86&lt;&gt;"")*('반배정'!$K$7:$K$86='설정'!$B$8))/COUNTIFS('반배정'!$K$7:$K$86,'설정'!$B$8,'공수1'!$Y$7:$Y$86,"&gt;=0"),""))</f>
        <v/>
      </c>
      <c r="M13" s="43">
        <f>IF(OR(J13="",L13=""),"",J13-L13)</f>
        <v/>
      </c>
      <c r="N13" s="39">
        <f>IF(I13="","",IF(AND(M13&lt;&gt;"",M13&lt;0),"역변별·문항검토",IF(I13&gt;=0.9,"매우 쉬움",IF(I13&lt;=0.15,"매우 어려움",IF(AND(M13&lt;&gt;"",M13&lt;0.2),"변별력 낮음","양호")))))</f>
        <v/>
      </c>
      <c r="O13" s="39">
        <f>IF(G13=0,"",COUNTIF('공수1'!$K$7:$K$86,1))</f>
        <v/>
      </c>
      <c r="P13" s="39">
        <f>IF(G13=0,"",COUNTIF('공수1'!$K$7:$K$86,2))</f>
        <v/>
      </c>
      <c r="Q13" s="39">
        <f>IF(G13=0,"",COUNTIF('공수1'!$K$7:$K$86,3))</f>
        <v/>
      </c>
      <c r="R13" s="39">
        <f>IF(G13=0,"",COUNTIF('공수1'!$K$7:$K$86,4))</f>
        <v/>
      </c>
      <c r="S13" s="39">
        <f>IF(G13=0,"",COUNTIF('공수1'!$K$7:$K$86,5))</f>
        <v/>
      </c>
    </row>
    <row r="14">
      <c r="A14" s="8" t="n">
        <v>9</v>
      </c>
      <c r="B14" s="17" t="inlineStr">
        <is>
          <t>객관식</t>
        </is>
      </c>
      <c r="C14" s="39">
        <f>'공수1'!L4</f>
        <v/>
      </c>
      <c r="D14" s="10">
        <f>'공수1'!L5</f>
        <v/>
      </c>
      <c r="E14" s="10">
        <f>'공수1'!L3</f>
        <v/>
      </c>
      <c r="F14" s="40">
        <f>IF('공수1'!$L$2="","",'공수1'!$L$2)</f>
        <v/>
      </c>
      <c r="G14" s="10">
        <f>COUNT('공수1'!$Y$7:$Y$86)</f>
        <v/>
      </c>
      <c r="H14" s="10">
        <f>IF(F14="","",SUMPRODUCT(('공수1'!$L$7:$L$86='공수1'!$L$2)*('공수1'!$L$7:$L$86&lt;&gt;"")))</f>
        <v/>
      </c>
      <c r="I14" s="41">
        <f>IF(OR(F14="",G14=0),"",H14/G14)</f>
        <v/>
      </c>
      <c r="J14" s="42">
        <f>IF(F14="","",IFERROR(SUMPRODUCT(('공수1'!$L$7:$L$86='공수1'!$L$2)*('공수1'!$L$7:$L$86&lt;&gt;"")*('반배정'!$K$7:$K$86='설정'!$B$6))/COUNTIFS('반배정'!$K$7:$K$86,'설정'!$B$6,'공수1'!$Y$7:$Y$86,"&gt;=0"),""))</f>
        <v/>
      </c>
      <c r="K14" s="42">
        <f>IF(F14="","",IFERROR(SUMPRODUCT(('공수1'!$L$7:$L$86='공수1'!$L$2)*('공수1'!$L$7:$L$86&lt;&gt;"")*('반배정'!$K$7:$K$86='설정'!$B$7))/COUNTIFS('반배정'!$K$7:$K$86,'설정'!$B$7,'공수1'!$Y$7:$Y$86,"&gt;=0"),""))</f>
        <v/>
      </c>
      <c r="L14" s="42">
        <f>IF(F14="","",IFERROR(SUMPRODUCT(('공수1'!$L$7:$L$86='공수1'!$L$2)*('공수1'!$L$7:$L$86&lt;&gt;"")*('반배정'!$K$7:$K$86='설정'!$B$8))/COUNTIFS('반배정'!$K$7:$K$86,'설정'!$B$8,'공수1'!$Y$7:$Y$86,"&gt;=0"),""))</f>
        <v/>
      </c>
      <c r="M14" s="43">
        <f>IF(OR(J14="",L14=""),"",J14-L14)</f>
        <v/>
      </c>
      <c r="N14" s="39">
        <f>IF(I14="","",IF(AND(M14&lt;&gt;"",M14&lt;0),"역변별·문항검토",IF(I14&gt;=0.9,"매우 쉬움",IF(I14&lt;=0.15,"매우 어려움",IF(AND(M14&lt;&gt;"",M14&lt;0.2),"변별력 낮음","양호")))))</f>
        <v/>
      </c>
      <c r="O14" s="39">
        <f>IF(G14=0,"",COUNTIF('공수1'!$L$7:$L$86,1))</f>
        <v/>
      </c>
      <c r="P14" s="39">
        <f>IF(G14=0,"",COUNTIF('공수1'!$L$7:$L$86,2))</f>
        <v/>
      </c>
      <c r="Q14" s="39">
        <f>IF(G14=0,"",COUNTIF('공수1'!$L$7:$L$86,3))</f>
        <v/>
      </c>
      <c r="R14" s="39">
        <f>IF(G14=0,"",COUNTIF('공수1'!$L$7:$L$86,4))</f>
        <v/>
      </c>
      <c r="S14" s="39">
        <f>IF(G14=0,"",COUNTIF('공수1'!$L$7:$L$86,5))</f>
        <v/>
      </c>
    </row>
    <row r="15">
      <c r="A15" s="8" t="n">
        <v>10</v>
      </c>
      <c r="B15" s="17" t="inlineStr">
        <is>
          <t>객관식</t>
        </is>
      </c>
      <c r="C15" s="39">
        <f>'공수1'!M4</f>
        <v/>
      </c>
      <c r="D15" s="10">
        <f>'공수1'!M5</f>
        <v/>
      </c>
      <c r="E15" s="10">
        <f>'공수1'!M3</f>
        <v/>
      </c>
      <c r="F15" s="40">
        <f>IF('공수1'!$M$2="","",'공수1'!$M$2)</f>
        <v/>
      </c>
      <c r="G15" s="10">
        <f>COUNT('공수1'!$Y$7:$Y$86)</f>
        <v/>
      </c>
      <c r="H15" s="10">
        <f>IF(F15="","",SUMPRODUCT(('공수1'!$M$7:$M$86='공수1'!$M$2)*('공수1'!$M$7:$M$86&lt;&gt;"")))</f>
        <v/>
      </c>
      <c r="I15" s="41">
        <f>IF(OR(F15="",G15=0),"",H15/G15)</f>
        <v/>
      </c>
      <c r="J15" s="42">
        <f>IF(F15="","",IFERROR(SUMPRODUCT(('공수1'!$M$7:$M$86='공수1'!$M$2)*('공수1'!$M$7:$M$86&lt;&gt;"")*('반배정'!$K$7:$K$86='설정'!$B$6))/COUNTIFS('반배정'!$K$7:$K$86,'설정'!$B$6,'공수1'!$Y$7:$Y$86,"&gt;=0"),""))</f>
        <v/>
      </c>
      <c r="K15" s="42">
        <f>IF(F15="","",IFERROR(SUMPRODUCT(('공수1'!$M$7:$M$86='공수1'!$M$2)*('공수1'!$M$7:$M$86&lt;&gt;"")*('반배정'!$K$7:$K$86='설정'!$B$7))/COUNTIFS('반배정'!$K$7:$K$86,'설정'!$B$7,'공수1'!$Y$7:$Y$86,"&gt;=0"),""))</f>
        <v/>
      </c>
      <c r="L15" s="42">
        <f>IF(F15="","",IFERROR(SUMPRODUCT(('공수1'!$M$7:$M$86='공수1'!$M$2)*('공수1'!$M$7:$M$86&lt;&gt;"")*('반배정'!$K$7:$K$86='설정'!$B$8))/COUNTIFS('반배정'!$K$7:$K$86,'설정'!$B$8,'공수1'!$Y$7:$Y$86,"&gt;=0"),""))</f>
        <v/>
      </c>
      <c r="M15" s="43">
        <f>IF(OR(J15="",L15=""),"",J15-L15)</f>
        <v/>
      </c>
      <c r="N15" s="39">
        <f>IF(I15="","",IF(AND(M15&lt;&gt;"",M15&lt;0),"역변별·문항검토",IF(I15&gt;=0.9,"매우 쉬움",IF(I15&lt;=0.15,"매우 어려움",IF(AND(M15&lt;&gt;"",M15&lt;0.2),"변별력 낮음","양호")))))</f>
        <v/>
      </c>
      <c r="O15" s="39">
        <f>IF(G15=0,"",COUNTIF('공수1'!$M$7:$M$86,1))</f>
        <v/>
      </c>
      <c r="P15" s="39">
        <f>IF(G15=0,"",COUNTIF('공수1'!$M$7:$M$86,2))</f>
        <v/>
      </c>
      <c r="Q15" s="39">
        <f>IF(G15=0,"",COUNTIF('공수1'!$M$7:$M$86,3))</f>
        <v/>
      </c>
      <c r="R15" s="39">
        <f>IF(G15=0,"",COUNTIF('공수1'!$M$7:$M$86,4))</f>
        <v/>
      </c>
      <c r="S15" s="39">
        <f>IF(G15=0,"",COUNTIF('공수1'!$M$7:$M$86,5))</f>
        <v/>
      </c>
    </row>
    <row r="16">
      <c r="A16" s="8" t="n">
        <v>11</v>
      </c>
      <c r="B16" s="17" t="inlineStr">
        <is>
          <t>객관식</t>
        </is>
      </c>
      <c r="C16" s="39">
        <f>'공수1'!N4</f>
        <v/>
      </c>
      <c r="D16" s="10">
        <f>'공수1'!N5</f>
        <v/>
      </c>
      <c r="E16" s="10">
        <f>'공수1'!N3</f>
        <v/>
      </c>
      <c r="F16" s="40">
        <f>IF('공수1'!$N$2="","",'공수1'!$N$2)</f>
        <v/>
      </c>
      <c r="G16" s="10">
        <f>COUNT('공수1'!$Y$7:$Y$86)</f>
        <v/>
      </c>
      <c r="H16" s="10">
        <f>IF(F16="","",SUMPRODUCT(('공수1'!$N$7:$N$86='공수1'!$N$2)*('공수1'!$N$7:$N$86&lt;&gt;"")))</f>
        <v/>
      </c>
      <c r="I16" s="41">
        <f>IF(OR(F16="",G16=0),"",H16/G16)</f>
        <v/>
      </c>
      <c r="J16" s="42">
        <f>IF(F16="","",IFERROR(SUMPRODUCT(('공수1'!$N$7:$N$86='공수1'!$N$2)*('공수1'!$N$7:$N$86&lt;&gt;"")*('반배정'!$K$7:$K$86='설정'!$B$6))/COUNTIFS('반배정'!$K$7:$K$86,'설정'!$B$6,'공수1'!$Y$7:$Y$86,"&gt;=0"),""))</f>
        <v/>
      </c>
      <c r="K16" s="42">
        <f>IF(F16="","",IFERROR(SUMPRODUCT(('공수1'!$N$7:$N$86='공수1'!$N$2)*('공수1'!$N$7:$N$86&lt;&gt;"")*('반배정'!$K$7:$K$86='설정'!$B$7))/COUNTIFS('반배정'!$K$7:$K$86,'설정'!$B$7,'공수1'!$Y$7:$Y$86,"&gt;=0"),""))</f>
        <v/>
      </c>
      <c r="L16" s="42">
        <f>IF(F16="","",IFERROR(SUMPRODUCT(('공수1'!$N$7:$N$86='공수1'!$N$2)*('공수1'!$N$7:$N$86&lt;&gt;"")*('반배정'!$K$7:$K$86='설정'!$B$8))/COUNTIFS('반배정'!$K$7:$K$86,'설정'!$B$8,'공수1'!$Y$7:$Y$86,"&gt;=0"),""))</f>
        <v/>
      </c>
      <c r="M16" s="43">
        <f>IF(OR(J16="",L16=""),"",J16-L16)</f>
        <v/>
      </c>
      <c r="N16" s="39">
        <f>IF(I16="","",IF(AND(M16&lt;&gt;"",M16&lt;0),"역변별·문항검토",IF(I16&gt;=0.9,"매우 쉬움",IF(I16&lt;=0.15,"매우 어려움",IF(AND(M16&lt;&gt;"",M16&lt;0.2),"변별력 낮음","양호")))))</f>
        <v/>
      </c>
      <c r="O16" s="39">
        <f>IF(G16=0,"",COUNTIF('공수1'!$N$7:$N$86,1))</f>
        <v/>
      </c>
      <c r="P16" s="39">
        <f>IF(G16=0,"",COUNTIF('공수1'!$N$7:$N$86,2))</f>
        <v/>
      </c>
      <c r="Q16" s="39">
        <f>IF(G16=0,"",COUNTIF('공수1'!$N$7:$N$86,3))</f>
        <v/>
      </c>
      <c r="R16" s="39">
        <f>IF(G16=0,"",COUNTIF('공수1'!$N$7:$N$86,4))</f>
        <v/>
      </c>
      <c r="S16" s="39">
        <f>IF(G16=0,"",COUNTIF('공수1'!$N$7:$N$86,5))</f>
        <v/>
      </c>
    </row>
    <row r="17">
      <c r="A17" s="8" t="n">
        <v>12</v>
      </c>
      <c r="B17" s="17" t="inlineStr">
        <is>
          <t>객관식</t>
        </is>
      </c>
      <c r="C17" s="39">
        <f>'공수1'!O4</f>
        <v/>
      </c>
      <c r="D17" s="10">
        <f>'공수1'!O5</f>
        <v/>
      </c>
      <c r="E17" s="10">
        <f>'공수1'!O3</f>
        <v/>
      </c>
      <c r="F17" s="40">
        <f>IF('공수1'!$O$2="","",'공수1'!$O$2)</f>
        <v/>
      </c>
      <c r="G17" s="10">
        <f>COUNT('공수1'!$Y$7:$Y$86)</f>
        <v/>
      </c>
      <c r="H17" s="10">
        <f>IF(F17="","",SUMPRODUCT(('공수1'!$O$7:$O$86='공수1'!$O$2)*('공수1'!$O$7:$O$86&lt;&gt;"")))</f>
        <v/>
      </c>
      <c r="I17" s="41">
        <f>IF(OR(F17="",G17=0),"",H17/G17)</f>
        <v/>
      </c>
      <c r="J17" s="42">
        <f>IF(F17="","",IFERROR(SUMPRODUCT(('공수1'!$O$7:$O$86='공수1'!$O$2)*('공수1'!$O$7:$O$86&lt;&gt;"")*('반배정'!$K$7:$K$86='설정'!$B$6))/COUNTIFS('반배정'!$K$7:$K$86,'설정'!$B$6,'공수1'!$Y$7:$Y$86,"&gt;=0"),""))</f>
        <v/>
      </c>
      <c r="K17" s="42">
        <f>IF(F17="","",IFERROR(SUMPRODUCT(('공수1'!$O$7:$O$86='공수1'!$O$2)*('공수1'!$O$7:$O$86&lt;&gt;"")*('반배정'!$K$7:$K$86='설정'!$B$7))/COUNTIFS('반배정'!$K$7:$K$86,'설정'!$B$7,'공수1'!$Y$7:$Y$86,"&gt;=0"),""))</f>
        <v/>
      </c>
      <c r="L17" s="42">
        <f>IF(F17="","",IFERROR(SUMPRODUCT(('공수1'!$O$7:$O$86='공수1'!$O$2)*('공수1'!$O$7:$O$86&lt;&gt;"")*('반배정'!$K$7:$K$86='설정'!$B$8))/COUNTIFS('반배정'!$K$7:$K$86,'설정'!$B$8,'공수1'!$Y$7:$Y$86,"&gt;=0"),""))</f>
        <v/>
      </c>
      <c r="M17" s="43">
        <f>IF(OR(J17="",L17=""),"",J17-L17)</f>
        <v/>
      </c>
      <c r="N17" s="39">
        <f>IF(I17="","",IF(AND(M17&lt;&gt;"",M17&lt;0),"역변별·문항검토",IF(I17&gt;=0.9,"매우 쉬움",IF(I17&lt;=0.15,"매우 어려움",IF(AND(M17&lt;&gt;"",M17&lt;0.2),"변별력 낮음","양호")))))</f>
        <v/>
      </c>
      <c r="O17" s="39">
        <f>IF(G17=0,"",COUNTIF('공수1'!$O$7:$O$86,1))</f>
        <v/>
      </c>
      <c r="P17" s="39">
        <f>IF(G17=0,"",COUNTIF('공수1'!$O$7:$O$86,2))</f>
        <v/>
      </c>
      <c r="Q17" s="39">
        <f>IF(G17=0,"",COUNTIF('공수1'!$O$7:$O$86,3))</f>
        <v/>
      </c>
      <c r="R17" s="39">
        <f>IF(G17=0,"",COUNTIF('공수1'!$O$7:$O$86,4))</f>
        <v/>
      </c>
      <c r="S17" s="39">
        <f>IF(G17=0,"",COUNTIF('공수1'!$O$7:$O$86,5))</f>
        <v/>
      </c>
    </row>
    <row r="18">
      <c r="A18" s="8" t="n">
        <v>13</v>
      </c>
      <c r="B18" s="17" t="inlineStr">
        <is>
          <t>객관식</t>
        </is>
      </c>
      <c r="C18" s="39">
        <f>'공수1'!P4</f>
        <v/>
      </c>
      <c r="D18" s="10">
        <f>'공수1'!P5</f>
        <v/>
      </c>
      <c r="E18" s="10">
        <f>'공수1'!P3</f>
        <v/>
      </c>
      <c r="F18" s="40">
        <f>IF('공수1'!$P$2="","",'공수1'!$P$2)</f>
        <v/>
      </c>
      <c r="G18" s="10">
        <f>COUNT('공수1'!$Y$7:$Y$86)</f>
        <v/>
      </c>
      <c r="H18" s="10">
        <f>IF(F18="","",SUMPRODUCT(('공수1'!$P$7:$P$86='공수1'!$P$2)*('공수1'!$P$7:$P$86&lt;&gt;"")))</f>
        <v/>
      </c>
      <c r="I18" s="41">
        <f>IF(OR(F18="",G18=0),"",H18/G18)</f>
        <v/>
      </c>
      <c r="J18" s="42">
        <f>IF(F18="","",IFERROR(SUMPRODUCT(('공수1'!$P$7:$P$86='공수1'!$P$2)*('공수1'!$P$7:$P$86&lt;&gt;"")*('반배정'!$K$7:$K$86='설정'!$B$6))/COUNTIFS('반배정'!$K$7:$K$86,'설정'!$B$6,'공수1'!$Y$7:$Y$86,"&gt;=0"),""))</f>
        <v/>
      </c>
      <c r="K18" s="42">
        <f>IF(F18="","",IFERROR(SUMPRODUCT(('공수1'!$P$7:$P$86='공수1'!$P$2)*('공수1'!$P$7:$P$86&lt;&gt;"")*('반배정'!$K$7:$K$86='설정'!$B$7))/COUNTIFS('반배정'!$K$7:$K$86,'설정'!$B$7,'공수1'!$Y$7:$Y$86,"&gt;=0"),""))</f>
        <v/>
      </c>
      <c r="L18" s="42">
        <f>IF(F18="","",IFERROR(SUMPRODUCT(('공수1'!$P$7:$P$86='공수1'!$P$2)*('공수1'!$P$7:$P$86&lt;&gt;"")*('반배정'!$K$7:$K$86='설정'!$B$8))/COUNTIFS('반배정'!$K$7:$K$86,'설정'!$B$8,'공수1'!$Y$7:$Y$86,"&gt;=0"),""))</f>
        <v/>
      </c>
      <c r="M18" s="43">
        <f>IF(OR(J18="",L18=""),"",J18-L18)</f>
        <v/>
      </c>
      <c r="N18" s="39">
        <f>IF(I18="","",IF(AND(M18&lt;&gt;"",M18&lt;0),"역변별·문항검토",IF(I18&gt;=0.9,"매우 쉬움",IF(I18&lt;=0.15,"매우 어려움",IF(AND(M18&lt;&gt;"",M18&lt;0.2),"변별력 낮음","양호")))))</f>
        <v/>
      </c>
      <c r="O18" s="39">
        <f>IF(G18=0,"",COUNTIF('공수1'!$P$7:$P$86,1))</f>
        <v/>
      </c>
      <c r="P18" s="39">
        <f>IF(G18=0,"",COUNTIF('공수1'!$P$7:$P$86,2))</f>
        <v/>
      </c>
      <c r="Q18" s="39">
        <f>IF(G18=0,"",COUNTIF('공수1'!$P$7:$P$86,3))</f>
        <v/>
      </c>
      <c r="R18" s="39">
        <f>IF(G18=0,"",COUNTIF('공수1'!$P$7:$P$86,4))</f>
        <v/>
      </c>
      <c r="S18" s="39">
        <f>IF(G18=0,"",COUNTIF('공수1'!$P$7:$P$86,5))</f>
        <v/>
      </c>
    </row>
    <row r="19">
      <c r="A19" s="8" t="n">
        <v>14</v>
      </c>
      <c r="B19" s="17" t="inlineStr">
        <is>
          <t>객관식</t>
        </is>
      </c>
      <c r="C19" s="39">
        <f>'공수1'!Q4</f>
        <v/>
      </c>
      <c r="D19" s="10">
        <f>'공수1'!Q5</f>
        <v/>
      </c>
      <c r="E19" s="10">
        <f>'공수1'!Q3</f>
        <v/>
      </c>
      <c r="F19" s="40">
        <f>IF('공수1'!$Q$2="","",'공수1'!$Q$2)</f>
        <v/>
      </c>
      <c r="G19" s="10">
        <f>COUNT('공수1'!$Y$7:$Y$86)</f>
        <v/>
      </c>
      <c r="H19" s="10">
        <f>IF(F19="","",SUMPRODUCT(('공수1'!$Q$7:$Q$86='공수1'!$Q$2)*('공수1'!$Q$7:$Q$86&lt;&gt;"")))</f>
        <v/>
      </c>
      <c r="I19" s="41">
        <f>IF(OR(F19="",G19=0),"",H19/G19)</f>
        <v/>
      </c>
      <c r="J19" s="42">
        <f>IF(F19="","",IFERROR(SUMPRODUCT(('공수1'!$Q$7:$Q$86='공수1'!$Q$2)*('공수1'!$Q$7:$Q$86&lt;&gt;"")*('반배정'!$K$7:$K$86='설정'!$B$6))/COUNTIFS('반배정'!$K$7:$K$86,'설정'!$B$6,'공수1'!$Y$7:$Y$86,"&gt;=0"),""))</f>
        <v/>
      </c>
      <c r="K19" s="42">
        <f>IF(F19="","",IFERROR(SUMPRODUCT(('공수1'!$Q$7:$Q$86='공수1'!$Q$2)*('공수1'!$Q$7:$Q$86&lt;&gt;"")*('반배정'!$K$7:$K$86='설정'!$B$7))/COUNTIFS('반배정'!$K$7:$K$86,'설정'!$B$7,'공수1'!$Y$7:$Y$86,"&gt;=0"),""))</f>
        <v/>
      </c>
      <c r="L19" s="42">
        <f>IF(F19="","",IFERROR(SUMPRODUCT(('공수1'!$Q$7:$Q$86='공수1'!$Q$2)*('공수1'!$Q$7:$Q$86&lt;&gt;"")*('반배정'!$K$7:$K$86='설정'!$B$8))/COUNTIFS('반배정'!$K$7:$K$86,'설정'!$B$8,'공수1'!$Y$7:$Y$86,"&gt;=0"),""))</f>
        <v/>
      </c>
      <c r="M19" s="43">
        <f>IF(OR(J19="",L19=""),"",J19-L19)</f>
        <v/>
      </c>
      <c r="N19" s="39">
        <f>IF(I19="","",IF(AND(M19&lt;&gt;"",M19&lt;0),"역변별·문항검토",IF(I19&gt;=0.9,"매우 쉬움",IF(I19&lt;=0.15,"매우 어려움",IF(AND(M19&lt;&gt;"",M19&lt;0.2),"변별력 낮음","양호")))))</f>
        <v/>
      </c>
      <c r="O19" s="39">
        <f>IF(G19=0,"",COUNTIF('공수1'!$Q$7:$Q$86,1))</f>
        <v/>
      </c>
      <c r="P19" s="39">
        <f>IF(G19=0,"",COUNTIF('공수1'!$Q$7:$Q$86,2))</f>
        <v/>
      </c>
      <c r="Q19" s="39">
        <f>IF(G19=0,"",COUNTIF('공수1'!$Q$7:$Q$86,3))</f>
        <v/>
      </c>
      <c r="R19" s="39">
        <f>IF(G19=0,"",COUNTIF('공수1'!$Q$7:$Q$86,4))</f>
        <v/>
      </c>
      <c r="S19" s="39">
        <f>IF(G19=0,"",COUNTIF('공수1'!$Q$7:$Q$86,5))</f>
        <v/>
      </c>
    </row>
    <row r="20">
      <c r="A20" s="8" t="n">
        <v>15</v>
      </c>
      <c r="B20" s="17" t="inlineStr">
        <is>
          <t>단답형</t>
        </is>
      </c>
      <c r="C20" s="39">
        <f>'공수1'!R4</f>
        <v/>
      </c>
      <c r="D20" s="10">
        <f>'공수1'!R5</f>
        <v/>
      </c>
      <c r="E20" s="10">
        <f>'공수1'!R3</f>
        <v/>
      </c>
      <c r="F20" s="40">
        <f>IF('공수1'!$R$2="","","24")</f>
        <v/>
      </c>
      <c r="G20" s="10">
        <f>COUNT('공수1'!$Y$7:$Y$86)</f>
        <v/>
      </c>
      <c r="H20" s="10">
        <f>IF(F20="","",SUMPRODUCT(('공수1'!$R$7:$R$86='공수1'!$R$2)*('공수1'!$R$7:$R$86&lt;&gt;"")))</f>
        <v/>
      </c>
      <c r="I20" s="41">
        <f>IF(OR(F20="",G20=0),"",H20/G20)</f>
        <v/>
      </c>
      <c r="J20" s="42">
        <f>IF(F20="","",IFERROR(SUMPRODUCT(('공수1'!$R$7:$R$86='공수1'!$R$2)*('공수1'!$R$7:$R$86&lt;&gt;"")*('반배정'!$K$7:$K$86='설정'!$B$6))/COUNTIFS('반배정'!$K$7:$K$86,'설정'!$B$6,'공수1'!$Y$7:$Y$86,"&gt;=0"),""))</f>
        <v/>
      </c>
      <c r="K20" s="42">
        <f>IF(F20="","",IFERROR(SUMPRODUCT(('공수1'!$R$7:$R$86='공수1'!$R$2)*('공수1'!$R$7:$R$86&lt;&gt;"")*('반배정'!$K$7:$K$86='설정'!$B$7))/COUNTIFS('반배정'!$K$7:$K$86,'설정'!$B$7,'공수1'!$Y$7:$Y$86,"&gt;=0"),""))</f>
        <v/>
      </c>
      <c r="L20" s="42">
        <f>IF(F20="","",IFERROR(SUMPRODUCT(('공수1'!$R$7:$R$86='공수1'!$R$2)*('공수1'!$R$7:$R$86&lt;&gt;"")*('반배정'!$K$7:$K$86='설정'!$B$8))/COUNTIFS('반배정'!$K$7:$K$86,'설정'!$B$8,'공수1'!$Y$7:$Y$86,"&gt;=0"),""))</f>
        <v/>
      </c>
      <c r="M20" s="43">
        <f>IF(OR(J20="",L20=""),"",J20-L20)</f>
        <v/>
      </c>
      <c r="N20" s="39">
        <f>IF(I20="","",IF(AND(M20&lt;&gt;"",M20&lt;0),"역변별·문항검토",IF(I20&gt;=0.9,"매우 쉬움",IF(I20&lt;=0.15,"매우 어려움",IF(AND(M20&lt;&gt;"",M20&lt;0.2),"변별력 낮음","양호")))))</f>
        <v/>
      </c>
      <c r="O20" s="44" t="inlineStr">
        <is>
          <t>-</t>
        </is>
      </c>
      <c r="P20" s="44" t="inlineStr">
        <is>
          <t>-</t>
        </is>
      </c>
      <c r="Q20" s="44" t="inlineStr">
        <is>
          <t>-</t>
        </is>
      </c>
      <c r="R20" s="44" t="inlineStr">
        <is>
          <t>-</t>
        </is>
      </c>
      <c r="S20" s="44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9">
        <f>'공수1'!S4</f>
        <v/>
      </c>
      <c r="D21" s="10">
        <f>'공수1'!S5</f>
        <v/>
      </c>
      <c r="E21" s="10">
        <f>'공수1'!S3</f>
        <v/>
      </c>
      <c r="F21" s="40">
        <f>IF('공수1'!$S$2="","","864")</f>
        <v/>
      </c>
      <c r="G21" s="10">
        <f>COUNT('공수1'!$Y$7:$Y$86)</f>
        <v/>
      </c>
      <c r="H21" s="10">
        <f>IF(F21="","",SUMPRODUCT(('공수1'!$S$7:$S$86='공수1'!$S$2)*('공수1'!$S$7:$S$86&lt;&gt;"")))</f>
        <v/>
      </c>
      <c r="I21" s="41">
        <f>IF(OR(F21="",G21=0),"",H21/G21)</f>
        <v/>
      </c>
      <c r="J21" s="42">
        <f>IF(F21="","",IFERROR(SUMPRODUCT(('공수1'!$S$7:$S$86='공수1'!$S$2)*('공수1'!$S$7:$S$86&lt;&gt;"")*('반배정'!$K$7:$K$86='설정'!$B$6))/COUNTIFS('반배정'!$K$7:$K$86,'설정'!$B$6,'공수1'!$Y$7:$Y$86,"&gt;=0"),""))</f>
        <v/>
      </c>
      <c r="K21" s="42">
        <f>IF(F21="","",IFERROR(SUMPRODUCT(('공수1'!$S$7:$S$86='공수1'!$S$2)*('공수1'!$S$7:$S$86&lt;&gt;"")*('반배정'!$K$7:$K$86='설정'!$B$7))/COUNTIFS('반배정'!$K$7:$K$86,'설정'!$B$7,'공수1'!$Y$7:$Y$86,"&gt;=0"),""))</f>
        <v/>
      </c>
      <c r="L21" s="42">
        <f>IF(F21="","",IFERROR(SUMPRODUCT(('공수1'!$S$7:$S$86='공수1'!$S$2)*('공수1'!$S$7:$S$86&lt;&gt;"")*('반배정'!$K$7:$K$86='설정'!$B$8))/COUNTIFS('반배정'!$K$7:$K$86,'설정'!$B$8,'공수1'!$Y$7:$Y$86,"&gt;=0"),""))</f>
        <v/>
      </c>
      <c r="M21" s="43">
        <f>IF(OR(J21="",L21=""),"",J21-L21)</f>
        <v/>
      </c>
      <c r="N21" s="39">
        <f>IF(I21="","",IF(AND(M21&lt;&gt;"",M21&lt;0),"역변별·문항검토",IF(I21&gt;=0.9,"매우 쉬움",IF(I21&lt;=0.15,"매우 어려움",IF(AND(M21&lt;&gt;"",M21&lt;0.2),"변별력 낮음","양호")))))</f>
        <v/>
      </c>
      <c r="O21" s="44" t="inlineStr">
        <is>
          <t>-</t>
        </is>
      </c>
      <c r="P21" s="44" t="inlineStr">
        <is>
          <t>-</t>
        </is>
      </c>
      <c r="Q21" s="44" t="inlineStr">
        <is>
          <t>-</t>
        </is>
      </c>
      <c r="R21" s="44" t="inlineStr">
        <is>
          <t>-</t>
        </is>
      </c>
      <c r="S21" s="44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9">
        <f>'공수1'!T4</f>
        <v/>
      </c>
      <c r="D22" s="10">
        <f>'공수1'!T5</f>
        <v/>
      </c>
      <c r="E22" s="10">
        <f>'공수1'!T3</f>
        <v/>
      </c>
      <c r="F22" s="40">
        <f>IF('공수1'!$T$2="","","8")</f>
        <v/>
      </c>
      <c r="G22" s="10">
        <f>COUNT('공수1'!$Y$7:$Y$86)</f>
        <v/>
      </c>
      <c r="H22" s="10">
        <f>IF(F22="","",SUMPRODUCT(('공수1'!$T$7:$T$86='공수1'!$T$2)*('공수1'!$T$7:$T$86&lt;&gt;"")))</f>
        <v/>
      </c>
      <c r="I22" s="41">
        <f>IF(OR(F22="",G22=0),"",H22/G22)</f>
        <v/>
      </c>
      <c r="J22" s="42">
        <f>IF(F22="","",IFERROR(SUMPRODUCT(('공수1'!$T$7:$T$86='공수1'!$T$2)*('공수1'!$T$7:$T$86&lt;&gt;"")*('반배정'!$K$7:$K$86='설정'!$B$6))/COUNTIFS('반배정'!$K$7:$K$86,'설정'!$B$6,'공수1'!$Y$7:$Y$86,"&gt;=0"),""))</f>
        <v/>
      </c>
      <c r="K22" s="42">
        <f>IF(F22="","",IFERROR(SUMPRODUCT(('공수1'!$T$7:$T$86='공수1'!$T$2)*('공수1'!$T$7:$T$86&lt;&gt;"")*('반배정'!$K$7:$K$86='설정'!$B$7))/COUNTIFS('반배정'!$K$7:$K$86,'설정'!$B$7,'공수1'!$Y$7:$Y$86,"&gt;=0"),""))</f>
        <v/>
      </c>
      <c r="L22" s="42">
        <f>IF(F22="","",IFERROR(SUMPRODUCT(('공수1'!$T$7:$T$86='공수1'!$T$2)*('공수1'!$T$7:$T$86&lt;&gt;"")*('반배정'!$K$7:$K$86='설정'!$B$8))/COUNTIFS('반배정'!$K$7:$K$86,'설정'!$B$8,'공수1'!$Y$7:$Y$86,"&gt;=0"),""))</f>
        <v/>
      </c>
      <c r="M22" s="43">
        <f>IF(OR(J22="",L22=""),"",J22-L22)</f>
        <v/>
      </c>
      <c r="N22" s="39">
        <f>IF(I22="","",IF(AND(M22&lt;&gt;"",M22&lt;0),"역변별·문항검토",IF(I22&gt;=0.9,"매우 쉬움",IF(I22&lt;=0.15,"매우 어려움",IF(AND(M22&lt;&gt;"",M22&lt;0.2),"변별력 낮음","양호")))))</f>
        <v/>
      </c>
      <c r="O22" s="44" t="inlineStr">
        <is>
          <t>-</t>
        </is>
      </c>
      <c r="P22" s="44" t="inlineStr">
        <is>
          <t>-</t>
        </is>
      </c>
      <c r="Q22" s="44" t="inlineStr">
        <is>
          <t>-</t>
        </is>
      </c>
      <c r="R22" s="44" t="inlineStr">
        <is>
          <t>-</t>
        </is>
      </c>
      <c r="S22" s="44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9">
        <f>'공수1'!U4</f>
        <v/>
      </c>
      <c r="D23" s="10">
        <f>'공수1'!U5</f>
        <v/>
      </c>
      <c r="E23" s="10">
        <f>'공수1'!U3</f>
        <v/>
      </c>
      <c r="F23" s="40">
        <f>IF('공수1'!$U$2="","","76")</f>
        <v/>
      </c>
      <c r="G23" s="10">
        <f>COUNT('공수1'!$Y$7:$Y$86)</f>
        <v/>
      </c>
      <c r="H23" s="10">
        <f>IF(F23="","",SUMPRODUCT(('공수1'!$U$7:$U$86='공수1'!$U$2)*('공수1'!$U$7:$U$86&lt;&gt;"")))</f>
        <v/>
      </c>
      <c r="I23" s="41">
        <f>IF(OR(F23="",G23=0),"",H23/G23)</f>
        <v/>
      </c>
      <c r="J23" s="42">
        <f>IF(F23="","",IFERROR(SUMPRODUCT(('공수1'!$U$7:$U$86='공수1'!$U$2)*('공수1'!$U$7:$U$86&lt;&gt;"")*('반배정'!$K$7:$K$86='설정'!$B$6))/COUNTIFS('반배정'!$K$7:$K$86,'설정'!$B$6,'공수1'!$Y$7:$Y$86,"&gt;=0"),""))</f>
        <v/>
      </c>
      <c r="K23" s="42">
        <f>IF(F23="","",IFERROR(SUMPRODUCT(('공수1'!$U$7:$U$86='공수1'!$U$2)*('공수1'!$U$7:$U$86&lt;&gt;"")*('반배정'!$K$7:$K$86='설정'!$B$7))/COUNTIFS('반배정'!$K$7:$K$86,'설정'!$B$7,'공수1'!$Y$7:$Y$86,"&gt;=0"),""))</f>
        <v/>
      </c>
      <c r="L23" s="42">
        <f>IF(F23="","",IFERROR(SUMPRODUCT(('공수1'!$U$7:$U$86='공수1'!$U$2)*('공수1'!$U$7:$U$86&lt;&gt;"")*('반배정'!$K$7:$K$86='설정'!$B$8))/COUNTIFS('반배정'!$K$7:$K$86,'설정'!$B$8,'공수1'!$Y$7:$Y$86,"&gt;=0"),""))</f>
        <v/>
      </c>
      <c r="M23" s="43">
        <f>IF(OR(J23="",L23=""),"",J23-L23)</f>
        <v/>
      </c>
      <c r="N23" s="39">
        <f>IF(I23="","",IF(AND(M23&lt;&gt;"",M23&lt;0),"역변별·문항검토",IF(I23&gt;=0.9,"매우 쉬움",IF(I23&lt;=0.15,"매우 어려움",IF(AND(M23&lt;&gt;"",M23&lt;0.2),"변별력 낮음","양호")))))</f>
        <v/>
      </c>
      <c r="O23" s="44" t="inlineStr">
        <is>
          <t>-</t>
        </is>
      </c>
      <c r="P23" s="44" t="inlineStr">
        <is>
          <t>-</t>
        </is>
      </c>
      <c r="Q23" s="44" t="inlineStr">
        <is>
          <t>-</t>
        </is>
      </c>
      <c r="R23" s="44" t="inlineStr">
        <is>
          <t>-</t>
        </is>
      </c>
      <c r="S23" s="44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9">
        <f>'공수1'!V4</f>
        <v/>
      </c>
      <c r="D24" s="10">
        <f>'공수1'!V5</f>
        <v/>
      </c>
      <c r="E24" s="10">
        <f>'공수1'!V3</f>
        <v/>
      </c>
      <c r="F24" s="40">
        <f>IF('공수1'!$V$2="","","27")</f>
        <v/>
      </c>
      <c r="G24" s="10">
        <f>COUNT('공수1'!$Y$7:$Y$86)</f>
        <v/>
      </c>
      <c r="H24" s="10">
        <f>IF(F24="","",SUMPRODUCT(('공수1'!$V$7:$V$86='공수1'!$V$2)*('공수1'!$V$7:$V$86&lt;&gt;"")))</f>
        <v/>
      </c>
      <c r="I24" s="41">
        <f>IF(OR(F24="",G24=0),"",H24/G24)</f>
        <v/>
      </c>
      <c r="J24" s="42">
        <f>IF(F24="","",IFERROR(SUMPRODUCT(('공수1'!$V$7:$V$86='공수1'!$V$2)*('공수1'!$V$7:$V$86&lt;&gt;"")*('반배정'!$K$7:$K$86='설정'!$B$6))/COUNTIFS('반배정'!$K$7:$K$86,'설정'!$B$6,'공수1'!$Y$7:$Y$86,"&gt;=0"),""))</f>
        <v/>
      </c>
      <c r="K24" s="42">
        <f>IF(F24="","",IFERROR(SUMPRODUCT(('공수1'!$V$7:$V$86='공수1'!$V$2)*('공수1'!$V$7:$V$86&lt;&gt;"")*('반배정'!$K$7:$K$86='설정'!$B$7))/COUNTIFS('반배정'!$K$7:$K$86,'설정'!$B$7,'공수1'!$Y$7:$Y$86,"&gt;=0"),""))</f>
        <v/>
      </c>
      <c r="L24" s="42">
        <f>IF(F24="","",IFERROR(SUMPRODUCT(('공수1'!$V$7:$V$86='공수1'!$V$2)*('공수1'!$V$7:$V$86&lt;&gt;"")*('반배정'!$K$7:$K$86='설정'!$B$8))/COUNTIFS('반배정'!$K$7:$K$86,'설정'!$B$8,'공수1'!$Y$7:$Y$86,"&gt;=0"),""))</f>
        <v/>
      </c>
      <c r="M24" s="43">
        <f>IF(OR(J24="",L24=""),"",J24-L24)</f>
        <v/>
      </c>
      <c r="N24" s="39">
        <f>IF(I24="","",IF(AND(M24&lt;&gt;"",M24&lt;0),"역변별·문항검토",IF(I24&gt;=0.9,"매우 쉬움",IF(I24&lt;=0.15,"매우 어려움",IF(AND(M24&lt;&gt;"",M24&lt;0.2),"변별력 낮음","양호")))))</f>
        <v/>
      </c>
      <c r="O24" s="44" t="inlineStr">
        <is>
          <t>-</t>
        </is>
      </c>
      <c r="P24" s="44" t="inlineStr">
        <is>
          <t>-</t>
        </is>
      </c>
      <c r="Q24" s="44" t="inlineStr">
        <is>
          <t>-</t>
        </is>
      </c>
      <c r="R24" s="44" t="inlineStr">
        <is>
          <t>-</t>
        </is>
      </c>
      <c r="S24" s="44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9">
        <f>'공수1'!W4</f>
        <v/>
      </c>
      <c r="D25" s="10">
        <f>'공수1'!W5</f>
        <v/>
      </c>
      <c r="E25" s="10">
        <f>'공수1'!W3</f>
        <v/>
      </c>
      <c r="F25" s="40">
        <f>IF('공수1'!$W$2="","","65")</f>
        <v/>
      </c>
      <c r="G25" s="10">
        <f>COUNT('공수1'!$Y$7:$Y$86)</f>
        <v/>
      </c>
      <c r="H25" s="10">
        <f>IF(F25="","",SUMPRODUCT(('공수1'!$W$7:$W$86='공수1'!$W$2)*('공수1'!$W$7:$W$86&lt;&gt;"")))</f>
        <v/>
      </c>
      <c r="I25" s="41">
        <f>IF(OR(F25="",G25=0),"",H25/G25)</f>
        <v/>
      </c>
      <c r="J25" s="42">
        <f>IF(F25="","",IFERROR(SUMPRODUCT(('공수1'!$W$7:$W$86='공수1'!$W$2)*('공수1'!$W$7:$W$86&lt;&gt;"")*('반배정'!$K$7:$K$86='설정'!$B$6))/COUNTIFS('반배정'!$K$7:$K$86,'설정'!$B$6,'공수1'!$Y$7:$Y$86,"&gt;=0"),""))</f>
        <v/>
      </c>
      <c r="K25" s="42">
        <f>IF(F25="","",IFERROR(SUMPRODUCT(('공수1'!$W$7:$W$86='공수1'!$W$2)*('공수1'!$W$7:$W$86&lt;&gt;"")*('반배정'!$K$7:$K$86='설정'!$B$7))/COUNTIFS('반배정'!$K$7:$K$86,'설정'!$B$7,'공수1'!$Y$7:$Y$86,"&gt;=0"),""))</f>
        <v/>
      </c>
      <c r="L25" s="42">
        <f>IF(F25="","",IFERROR(SUMPRODUCT(('공수1'!$W$7:$W$86='공수1'!$W$2)*('공수1'!$W$7:$W$86&lt;&gt;"")*('반배정'!$K$7:$K$86='설정'!$B$8))/COUNTIFS('반배정'!$K$7:$K$86,'설정'!$B$8,'공수1'!$Y$7:$Y$86,"&gt;=0"),""))</f>
        <v/>
      </c>
      <c r="M25" s="43">
        <f>IF(OR(J25="",L25=""),"",J25-L25)</f>
        <v/>
      </c>
      <c r="N25" s="39">
        <f>IF(I25="","",IF(AND(M25&lt;&gt;"",M25&lt;0),"역변별·문항검토",IF(I25&gt;=0.9,"매우 쉬움",IF(I25&lt;=0.15,"매우 어려움",IF(AND(M25&lt;&gt;"",M25&lt;0.2),"변별력 낮음","양호")))))</f>
        <v/>
      </c>
      <c r="O25" s="44" t="inlineStr">
        <is>
          <t>-</t>
        </is>
      </c>
      <c r="P25" s="44" t="inlineStr">
        <is>
          <t>-</t>
        </is>
      </c>
      <c r="Q25" s="44" t="inlineStr">
        <is>
          <t>-</t>
        </is>
      </c>
      <c r="R25" s="44" t="inlineStr">
        <is>
          <t>-</t>
        </is>
      </c>
      <c r="S25" s="44" t="inlineStr">
        <is>
          <t>-</t>
        </is>
      </c>
    </row>
    <row r="28">
      <c r="A28" s="38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9">
        <f>'공수2'!D4</f>
        <v/>
      </c>
      <c r="D30" s="10">
        <f>'공수2'!D5</f>
        <v/>
      </c>
      <c r="E30" s="10">
        <f>'공수2'!D3</f>
        <v/>
      </c>
      <c r="F30" s="40">
        <f>IF('공수2'!$D$2="","",'공수2'!$D$2)</f>
        <v/>
      </c>
      <c r="G30" s="10">
        <f>COUNT('공수2'!$Y$7:$Y$86)</f>
        <v/>
      </c>
      <c r="H30" s="10">
        <f>IF(F30="","",SUMPRODUCT(('공수2'!$D$7:$D$86='공수2'!$D$2)*('공수2'!$D$7:$D$86&lt;&gt;"")))</f>
        <v/>
      </c>
      <c r="I30" s="41">
        <f>IF(OR(F30="",G30=0),"",H30/G30)</f>
        <v/>
      </c>
      <c r="J30" s="42">
        <f>IF(F30="","",IFERROR(SUMPRODUCT(('공수2'!$D$7:$D$86='공수2'!$D$2)*('공수2'!$D$7:$D$86&lt;&gt;"")*('반배정'!$K$7:$K$86='설정'!$B$6))/COUNTIFS('반배정'!$K$7:$K$86,'설정'!$B$6,'공수2'!$Y$7:$Y$86,"&gt;=0"),""))</f>
        <v/>
      </c>
      <c r="K30" s="42">
        <f>IF(F30="","",IFERROR(SUMPRODUCT(('공수2'!$D$7:$D$86='공수2'!$D$2)*('공수2'!$D$7:$D$86&lt;&gt;"")*('반배정'!$K$7:$K$86='설정'!$B$7))/COUNTIFS('반배정'!$K$7:$K$86,'설정'!$B$7,'공수2'!$Y$7:$Y$86,"&gt;=0"),""))</f>
        <v/>
      </c>
      <c r="L30" s="42">
        <f>IF(F30="","",IFERROR(SUMPRODUCT(('공수2'!$D$7:$D$86='공수2'!$D$2)*('공수2'!$D$7:$D$86&lt;&gt;"")*('반배정'!$K$7:$K$86='설정'!$B$8))/COUNTIFS('반배정'!$K$7:$K$86,'설정'!$B$8,'공수2'!$Y$7:$Y$86,"&gt;=0"),""))</f>
        <v/>
      </c>
      <c r="M30" s="43">
        <f>IF(OR(J30="",L30=""),"",J30-L30)</f>
        <v/>
      </c>
      <c r="N30" s="39">
        <f>IF(I30="","",IF(AND(M30&lt;&gt;"",M30&lt;0),"역변별·문항검토",IF(I30&gt;=0.9,"매우 쉬움",IF(I30&lt;=0.15,"매우 어려움",IF(AND(M30&lt;&gt;"",M30&lt;0.2),"변별력 낮음","양호")))))</f>
        <v/>
      </c>
      <c r="O30" s="39">
        <f>IF(G30=0,"",COUNTIF('공수2'!$D$7:$D$86,1))</f>
        <v/>
      </c>
      <c r="P30" s="39">
        <f>IF(G30=0,"",COUNTIF('공수2'!$D$7:$D$86,2))</f>
        <v/>
      </c>
      <c r="Q30" s="39">
        <f>IF(G30=0,"",COUNTIF('공수2'!$D$7:$D$86,3))</f>
        <v/>
      </c>
      <c r="R30" s="39">
        <f>IF(G30=0,"",COUNTIF('공수2'!$D$7:$D$86,4))</f>
        <v/>
      </c>
      <c r="S30" s="39">
        <f>IF(G30=0,"",COUNTIF('공수2'!$D$7:$D$86,5))</f>
        <v/>
      </c>
    </row>
    <row r="31">
      <c r="A31" s="8" t="n">
        <v>2</v>
      </c>
      <c r="B31" s="17" t="inlineStr">
        <is>
          <t>객관식</t>
        </is>
      </c>
      <c r="C31" s="39">
        <f>'공수2'!E4</f>
        <v/>
      </c>
      <c r="D31" s="10">
        <f>'공수2'!E5</f>
        <v/>
      </c>
      <c r="E31" s="10">
        <f>'공수2'!E3</f>
        <v/>
      </c>
      <c r="F31" s="40">
        <f>IF('공수2'!$E$2="","",'공수2'!$E$2)</f>
        <v/>
      </c>
      <c r="G31" s="10">
        <f>COUNT('공수2'!$Y$7:$Y$86)</f>
        <v/>
      </c>
      <c r="H31" s="10">
        <f>IF(F31="","",SUMPRODUCT(('공수2'!$E$7:$E$86='공수2'!$E$2)*('공수2'!$E$7:$E$86&lt;&gt;"")))</f>
        <v/>
      </c>
      <c r="I31" s="41">
        <f>IF(OR(F31="",G31=0),"",H31/G31)</f>
        <v/>
      </c>
      <c r="J31" s="42">
        <f>IF(F31="","",IFERROR(SUMPRODUCT(('공수2'!$E$7:$E$86='공수2'!$E$2)*('공수2'!$E$7:$E$86&lt;&gt;"")*('반배정'!$K$7:$K$86='설정'!$B$6))/COUNTIFS('반배정'!$K$7:$K$86,'설정'!$B$6,'공수2'!$Y$7:$Y$86,"&gt;=0"),""))</f>
        <v/>
      </c>
      <c r="K31" s="42">
        <f>IF(F31="","",IFERROR(SUMPRODUCT(('공수2'!$E$7:$E$86='공수2'!$E$2)*('공수2'!$E$7:$E$86&lt;&gt;"")*('반배정'!$K$7:$K$86='설정'!$B$7))/COUNTIFS('반배정'!$K$7:$K$86,'설정'!$B$7,'공수2'!$Y$7:$Y$86,"&gt;=0"),""))</f>
        <v/>
      </c>
      <c r="L31" s="42">
        <f>IF(F31="","",IFERROR(SUMPRODUCT(('공수2'!$E$7:$E$86='공수2'!$E$2)*('공수2'!$E$7:$E$86&lt;&gt;"")*('반배정'!$K$7:$K$86='설정'!$B$8))/COUNTIFS('반배정'!$K$7:$K$86,'설정'!$B$8,'공수2'!$Y$7:$Y$86,"&gt;=0"),""))</f>
        <v/>
      </c>
      <c r="M31" s="43">
        <f>IF(OR(J31="",L31=""),"",J31-L31)</f>
        <v/>
      </c>
      <c r="N31" s="39">
        <f>IF(I31="","",IF(AND(M31&lt;&gt;"",M31&lt;0),"역변별·문항검토",IF(I31&gt;=0.9,"매우 쉬움",IF(I31&lt;=0.15,"매우 어려움",IF(AND(M31&lt;&gt;"",M31&lt;0.2),"변별력 낮음","양호")))))</f>
        <v/>
      </c>
      <c r="O31" s="39">
        <f>IF(G31=0,"",COUNTIF('공수2'!$E$7:$E$86,1))</f>
        <v/>
      </c>
      <c r="P31" s="39">
        <f>IF(G31=0,"",COUNTIF('공수2'!$E$7:$E$86,2))</f>
        <v/>
      </c>
      <c r="Q31" s="39">
        <f>IF(G31=0,"",COUNTIF('공수2'!$E$7:$E$86,3))</f>
        <v/>
      </c>
      <c r="R31" s="39">
        <f>IF(G31=0,"",COUNTIF('공수2'!$E$7:$E$86,4))</f>
        <v/>
      </c>
      <c r="S31" s="39">
        <f>IF(G31=0,"",COUNTIF('공수2'!$E$7:$E$86,5))</f>
        <v/>
      </c>
    </row>
    <row r="32">
      <c r="A32" s="8" t="n">
        <v>3</v>
      </c>
      <c r="B32" s="17" t="inlineStr">
        <is>
          <t>객관식</t>
        </is>
      </c>
      <c r="C32" s="39">
        <f>'공수2'!F4</f>
        <v/>
      </c>
      <c r="D32" s="10">
        <f>'공수2'!F5</f>
        <v/>
      </c>
      <c r="E32" s="10">
        <f>'공수2'!F3</f>
        <v/>
      </c>
      <c r="F32" s="40">
        <f>IF('공수2'!$F$2="","",'공수2'!$F$2)</f>
        <v/>
      </c>
      <c r="G32" s="10">
        <f>COUNT('공수2'!$Y$7:$Y$86)</f>
        <v/>
      </c>
      <c r="H32" s="10">
        <f>IF(F32="","",SUMPRODUCT(('공수2'!$F$7:$F$86='공수2'!$F$2)*('공수2'!$F$7:$F$86&lt;&gt;"")))</f>
        <v/>
      </c>
      <c r="I32" s="41">
        <f>IF(OR(F32="",G32=0),"",H32/G32)</f>
        <v/>
      </c>
      <c r="J32" s="42">
        <f>IF(F32="","",IFERROR(SUMPRODUCT(('공수2'!$F$7:$F$86='공수2'!$F$2)*('공수2'!$F$7:$F$86&lt;&gt;"")*('반배정'!$K$7:$K$86='설정'!$B$6))/COUNTIFS('반배정'!$K$7:$K$86,'설정'!$B$6,'공수2'!$Y$7:$Y$86,"&gt;=0"),""))</f>
        <v/>
      </c>
      <c r="K32" s="42">
        <f>IF(F32="","",IFERROR(SUMPRODUCT(('공수2'!$F$7:$F$86='공수2'!$F$2)*('공수2'!$F$7:$F$86&lt;&gt;"")*('반배정'!$K$7:$K$86='설정'!$B$7))/COUNTIFS('반배정'!$K$7:$K$86,'설정'!$B$7,'공수2'!$Y$7:$Y$86,"&gt;=0"),""))</f>
        <v/>
      </c>
      <c r="L32" s="42">
        <f>IF(F32="","",IFERROR(SUMPRODUCT(('공수2'!$F$7:$F$86='공수2'!$F$2)*('공수2'!$F$7:$F$86&lt;&gt;"")*('반배정'!$K$7:$K$86='설정'!$B$8))/COUNTIFS('반배정'!$K$7:$K$86,'설정'!$B$8,'공수2'!$Y$7:$Y$86,"&gt;=0"),""))</f>
        <v/>
      </c>
      <c r="M32" s="43">
        <f>IF(OR(J32="",L32=""),"",J32-L32)</f>
        <v/>
      </c>
      <c r="N32" s="39">
        <f>IF(I32="","",IF(AND(M32&lt;&gt;"",M32&lt;0),"역변별·문항검토",IF(I32&gt;=0.9,"매우 쉬움",IF(I32&lt;=0.15,"매우 어려움",IF(AND(M32&lt;&gt;"",M32&lt;0.2),"변별력 낮음","양호")))))</f>
        <v/>
      </c>
      <c r="O32" s="39">
        <f>IF(G32=0,"",COUNTIF('공수2'!$F$7:$F$86,1))</f>
        <v/>
      </c>
      <c r="P32" s="39">
        <f>IF(G32=0,"",COUNTIF('공수2'!$F$7:$F$86,2))</f>
        <v/>
      </c>
      <c r="Q32" s="39">
        <f>IF(G32=0,"",COUNTIF('공수2'!$F$7:$F$86,3))</f>
        <v/>
      </c>
      <c r="R32" s="39">
        <f>IF(G32=0,"",COUNTIF('공수2'!$F$7:$F$86,4))</f>
        <v/>
      </c>
      <c r="S32" s="39">
        <f>IF(G32=0,"",COUNTIF('공수2'!$F$7:$F$86,5))</f>
        <v/>
      </c>
    </row>
    <row r="33">
      <c r="A33" s="8" t="n">
        <v>4</v>
      </c>
      <c r="B33" s="17" t="inlineStr">
        <is>
          <t>객관식</t>
        </is>
      </c>
      <c r="C33" s="39">
        <f>'공수2'!G4</f>
        <v/>
      </c>
      <c r="D33" s="10">
        <f>'공수2'!G5</f>
        <v/>
      </c>
      <c r="E33" s="10">
        <f>'공수2'!G3</f>
        <v/>
      </c>
      <c r="F33" s="40">
        <f>IF('공수2'!$G$2="","",'공수2'!$G$2)</f>
        <v/>
      </c>
      <c r="G33" s="10">
        <f>COUNT('공수2'!$Y$7:$Y$86)</f>
        <v/>
      </c>
      <c r="H33" s="10">
        <f>IF(F33="","",SUMPRODUCT(('공수2'!$G$7:$G$86='공수2'!$G$2)*('공수2'!$G$7:$G$86&lt;&gt;"")))</f>
        <v/>
      </c>
      <c r="I33" s="41">
        <f>IF(OR(F33="",G33=0),"",H33/G33)</f>
        <v/>
      </c>
      <c r="J33" s="42">
        <f>IF(F33="","",IFERROR(SUMPRODUCT(('공수2'!$G$7:$G$86='공수2'!$G$2)*('공수2'!$G$7:$G$86&lt;&gt;"")*('반배정'!$K$7:$K$86='설정'!$B$6))/COUNTIFS('반배정'!$K$7:$K$86,'설정'!$B$6,'공수2'!$Y$7:$Y$86,"&gt;=0"),""))</f>
        <v/>
      </c>
      <c r="K33" s="42">
        <f>IF(F33="","",IFERROR(SUMPRODUCT(('공수2'!$G$7:$G$86='공수2'!$G$2)*('공수2'!$G$7:$G$86&lt;&gt;"")*('반배정'!$K$7:$K$86='설정'!$B$7))/COUNTIFS('반배정'!$K$7:$K$86,'설정'!$B$7,'공수2'!$Y$7:$Y$86,"&gt;=0"),""))</f>
        <v/>
      </c>
      <c r="L33" s="42">
        <f>IF(F33="","",IFERROR(SUMPRODUCT(('공수2'!$G$7:$G$86='공수2'!$G$2)*('공수2'!$G$7:$G$86&lt;&gt;"")*('반배정'!$K$7:$K$86='설정'!$B$8))/COUNTIFS('반배정'!$K$7:$K$86,'설정'!$B$8,'공수2'!$Y$7:$Y$86,"&gt;=0"),""))</f>
        <v/>
      </c>
      <c r="M33" s="43">
        <f>IF(OR(J33="",L33=""),"",J33-L33)</f>
        <v/>
      </c>
      <c r="N33" s="39">
        <f>IF(I33="","",IF(AND(M33&lt;&gt;"",M33&lt;0),"역변별·문항검토",IF(I33&gt;=0.9,"매우 쉬움",IF(I33&lt;=0.15,"매우 어려움",IF(AND(M33&lt;&gt;"",M33&lt;0.2),"변별력 낮음","양호")))))</f>
        <v/>
      </c>
      <c r="O33" s="39">
        <f>IF(G33=0,"",COUNTIF('공수2'!$G$7:$G$86,1))</f>
        <v/>
      </c>
      <c r="P33" s="39">
        <f>IF(G33=0,"",COUNTIF('공수2'!$G$7:$G$86,2))</f>
        <v/>
      </c>
      <c r="Q33" s="39">
        <f>IF(G33=0,"",COUNTIF('공수2'!$G$7:$G$86,3))</f>
        <v/>
      </c>
      <c r="R33" s="39">
        <f>IF(G33=0,"",COUNTIF('공수2'!$G$7:$G$86,4))</f>
        <v/>
      </c>
      <c r="S33" s="39">
        <f>IF(G33=0,"",COUNTIF('공수2'!$G$7:$G$86,5))</f>
        <v/>
      </c>
    </row>
    <row r="34">
      <c r="A34" s="8" t="n">
        <v>5</v>
      </c>
      <c r="B34" s="17" t="inlineStr">
        <is>
          <t>객관식</t>
        </is>
      </c>
      <c r="C34" s="39">
        <f>'공수2'!H4</f>
        <v/>
      </c>
      <c r="D34" s="10">
        <f>'공수2'!H5</f>
        <v/>
      </c>
      <c r="E34" s="10">
        <f>'공수2'!H3</f>
        <v/>
      </c>
      <c r="F34" s="40">
        <f>IF('공수2'!$H$2="","",'공수2'!$H$2)</f>
        <v/>
      </c>
      <c r="G34" s="10">
        <f>COUNT('공수2'!$Y$7:$Y$86)</f>
        <v/>
      </c>
      <c r="H34" s="10">
        <f>IF(F34="","",SUMPRODUCT(('공수2'!$H$7:$H$86='공수2'!$H$2)*('공수2'!$H$7:$H$86&lt;&gt;"")))</f>
        <v/>
      </c>
      <c r="I34" s="41">
        <f>IF(OR(F34="",G34=0),"",H34/G34)</f>
        <v/>
      </c>
      <c r="J34" s="42">
        <f>IF(F34="","",IFERROR(SUMPRODUCT(('공수2'!$H$7:$H$86='공수2'!$H$2)*('공수2'!$H$7:$H$86&lt;&gt;"")*('반배정'!$K$7:$K$86='설정'!$B$6))/COUNTIFS('반배정'!$K$7:$K$86,'설정'!$B$6,'공수2'!$Y$7:$Y$86,"&gt;=0"),""))</f>
        <v/>
      </c>
      <c r="K34" s="42">
        <f>IF(F34="","",IFERROR(SUMPRODUCT(('공수2'!$H$7:$H$86='공수2'!$H$2)*('공수2'!$H$7:$H$86&lt;&gt;"")*('반배정'!$K$7:$K$86='설정'!$B$7))/COUNTIFS('반배정'!$K$7:$K$86,'설정'!$B$7,'공수2'!$Y$7:$Y$86,"&gt;=0"),""))</f>
        <v/>
      </c>
      <c r="L34" s="42">
        <f>IF(F34="","",IFERROR(SUMPRODUCT(('공수2'!$H$7:$H$86='공수2'!$H$2)*('공수2'!$H$7:$H$86&lt;&gt;"")*('반배정'!$K$7:$K$86='설정'!$B$8))/COUNTIFS('반배정'!$K$7:$K$86,'설정'!$B$8,'공수2'!$Y$7:$Y$86,"&gt;=0"),""))</f>
        <v/>
      </c>
      <c r="M34" s="43">
        <f>IF(OR(J34="",L34=""),"",J34-L34)</f>
        <v/>
      </c>
      <c r="N34" s="39">
        <f>IF(I34="","",IF(AND(M34&lt;&gt;"",M34&lt;0),"역변별·문항검토",IF(I34&gt;=0.9,"매우 쉬움",IF(I34&lt;=0.15,"매우 어려움",IF(AND(M34&lt;&gt;"",M34&lt;0.2),"변별력 낮음","양호")))))</f>
        <v/>
      </c>
      <c r="O34" s="39">
        <f>IF(G34=0,"",COUNTIF('공수2'!$H$7:$H$86,1))</f>
        <v/>
      </c>
      <c r="P34" s="39">
        <f>IF(G34=0,"",COUNTIF('공수2'!$H$7:$H$86,2))</f>
        <v/>
      </c>
      <c r="Q34" s="39">
        <f>IF(G34=0,"",COUNTIF('공수2'!$H$7:$H$86,3))</f>
        <v/>
      </c>
      <c r="R34" s="39">
        <f>IF(G34=0,"",COUNTIF('공수2'!$H$7:$H$86,4))</f>
        <v/>
      </c>
      <c r="S34" s="39">
        <f>IF(G34=0,"",COUNTIF('공수2'!$H$7:$H$86,5))</f>
        <v/>
      </c>
    </row>
    <row r="35">
      <c r="A35" s="8" t="n">
        <v>6</v>
      </c>
      <c r="B35" s="17" t="inlineStr">
        <is>
          <t>객관식</t>
        </is>
      </c>
      <c r="C35" s="39">
        <f>'공수2'!I4</f>
        <v/>
      </c>
      <c r="D35" s="10">
        <f>'공수2'!I5</f>
        <v/>
      </c>
      <c r="E35" s="10">
        <f>'공수2'!I3</f>
        <v/>
      </c>
      <c r="F35" s="40">
        <f>IF('공수2'!$I$2="","",'공수2'!$I$2)</f>
        <v/>
      </c>
      <c r="G35" s="10">
        <f>COUNT('공수2'!$Y$7:$Y$86)</f>
        <v/>
      </c>
      <c r="H35" s="10">
        <f>IF(F35="","",SUMPRODUCT(('공수2'!$I$7:$I$86='공수2'!$I$2)*('공수2'!$I$7:$I$86&lt;&gt;"")))</f>
        <v/>
      </c>
      <c r="I35" s="41">
        <f>IF(OR(F35="",G35=0),"",H35/G35)</f>
        <v/>
      </c>
      <c r="J35" s="42">
        <f>IF(F35="","",IFERROR(SUMPRODUCT(('공수2'!$I$7:$I$86='공수2'!$I$2)*('공수2'!$I$7:$I$86&lt;&gt;"")*('반배정'!$K$7:$K$86='설정'!$B$6))/COUNTIFS('반배정'!$K$7:$K$86,'설정'!$B$6,'공수2'!$Y$7:$Y$86,"&gt;=0"),""))</f>
        <v/>
      </c>
      <c r="K35" s="42">
        <f>IF(F35="","",IFERROR(SUMPRODUCT(('공수2'!$I$7:$I$86='공수2'!$I$2)*('공수2'!$I$7:$I$86&lt;&gt;"")*('반배정'!$K$7:$K$86='설정'!$B$7))/COUNTIFS('반배정'!$K$7:$K$86,'설정'!$B$7,'공수2'!$Y$7:$Y$86,"&gt;=0"),""))</f>
        <v/>
      </c>
      <c r="L35" s="42">
        <f>IF(F35="","",IFERROR(SUMPRODUCT(('공수2'!$I$7:$I$86='공수2'!$I$2)*('공수2'!$I$7:$I$86&lt;&gt;"")*('반배정'!$K$7:$K$86='설정'!$B$8))/COUNTIFS('반배정'!$K$7:$K$86,'설정'!$B$8,'공수2'!$Y$7:$Y$86,"&gt;=0"),""))</f>
        <v/>
      </c>
      <c r="M35" s="43">
        <f>IF(OR(J35="",L35=""),"",J35-L35)</f>
        <v/>
      </c>
      <c r="N35" s="39">
        <f>IF(I35="","",IF(AND(M35&lt;&gt;"",M35&lt;0),"역변별·문항검토",IF(I35&gt;=0.9,"매우 쉬움",IF(I35&lt;=0.15,"매우 어려움",IF(AND(M35&lt;&gt;"",M35&lt;0.2),"변별력 낮음","양호")))))</f>
        <v/>
      </c>
      <c r="O35" s="39">
        <f>IF(G35=0,"",COUNTIF('공수2'!$I$7:$I$86,1))</f>
        <v/>
      </c>
      <c r="P35" s="39">
        <f>IF(G35=0,"",COUNTIF('공수2'!$I$7:$I$86,2))</f>
        <v/>
      </c>
      <c r="Q35" s="39">
        <f>IF(G35=0,"",COUNTIF('공수2'!$I$7:$I$86,3))</f>
        <v/>
      </c>
      <c r="R35" s="39">
        <f>IF(G35=0,"",COUNTIF('공수2'!$I$7:$I$86,4))</f>
        <v/>
      </c>
      <c r="S35" s="39">
        <f>IF(G35=0,"",COUNTIF('공수2'!$I$7:$I$86,5))</f>
        <v/>
      </c>
    </row>
    <row r="36">
      <c r="A36" s="8" t="n">
        <v>7</v>
      </c>
      <c r="B36" s="17" t="inlineStr">
        <is>
          <t>객관식</t>
        </is>
      </c>
      <c r="C36" s="39">
        <f>'공수2'!J4</f>
        <v/>
      </c>
      <c r="D36" s="10">
        <f>'공수2'!J5</f>
        <v/>
      </c>
      <c r="E36" s="10">
        <f>'공수2'!J3</f>
        <v/>
      </c>
      <c r="F36" s="40">
        <f>IF('공수2'!$J$2="","",'공수2'!$J$2)</f>
        <v/>
      </c>
      <c r="G36" s="10">
        <f>COUNT('공수2'!$Y$7:$Y$86)</f>
        <v/>
      </c>
      <c r="H36" s="10">
        <f>IF(F36="","",SUMPRODUCT(('공수2'!$J$7:$J$86='공수2'!$J$2)*('공수2'!$J$7:$J$86&lt;&gt;"")))</f>
        <v/>
      </c>
      <c r="I36" s="41">
        <f>IF(OR(F36="",G36=0),"",H36/G36)</f>
        <v/>
      </c>
      <c r="J36" s="42">
        <f>IF(F36="","",IFERROR(SUMPRODUCT(('공수2'!$J$7:$J$86='공수2'!$J$2)*('공수2'!$J$7:$J$86&lt;&gt;"")*('반배정'!$K$7:$K$86='설정'!$B$6))/COUNTIFS('반배정'!$K$7:$K$86,'설정'!$B$6,'공수2'!$Y$7:$Y$86,"&gt;=0"),""))</f>
        <v/>
      </c>
      <c r="K36" s="42">
        <f>IF(F36="","",IFERROR(SUMPRODUCT(('공수2'!$J$7:$J$86='공수2'!$J$2)*('공수2'!$J$7:$J$86&lt;&gt;"")*('반배정'!$K$7:$K$86='설정'!$B$7))/COUNTIFS('반배정'!$K$7:$K$86,'설정'!$B$7,'공수2'!$Y$7:$Y$86,"&gt;=0"),""))</f>
        <v/>
      </c>
      <c r="L36" s="42">
        <f>IF(F36="","",IFERROR(SUMPRODUCT(('공수2'!$J$7:$J$86='공수2'!$J$2)*('공수2'!$J$7:$J$86&lt;&gt;"")*('반배정'!$K$7:$K$86='설정'!$B$8))/COUNTIFS('반배정'!$K$7:$K$86,'설정'!$B$8,'공수2'!$Y$7:$Y$86,"&gt;=0"),""))</f>
        <v/>
      </c>
      <c r="M36" s="43">
        <f>IF(OR(J36="",L36=""),"",J36-L36)</f>
        <v/>
      </c>
      <c r="N36" s="39">
        <f>IF(I36="","",IF(AND(M36&lt;&gt;"",M36&lt;0),"역변별·문항검토",IF(I36&gt;=0.9,"매우 쉬움",IF(I36&lt;=0.15,"매우 어려움",IF(AND(M36&lt;&gt;"",M36&lt;0.2),"변별력 낮음","양호")))))</f>
        <v/>
      </c>
      <c r="O36" s="39">
        <f>IF(G36=0,"",COUNTIF('공수2'!$J$7:$J$86,1))</f>
        <v/>
      </c>
      <c r="P36" s="39">
        <f>IF(G36=0,"",COUNTIF('공수2'!$J$7:$J$86,2))</f>
        <v/>
      </c>
      <c r="Q36" s="39">
        <f>IF(G36=0,"",COUNTIF('공수2'!$J$7:$J$86,3))</f>
        <v/>
      </c>
      <c r="R36" s="39">
        <f>IF(G36=0,"",COUNTIF('공수2'!$J$7:$J$86,4))</f>
        <v/>
      </c>
      <c r="S36" s="39">
        <f>IF(G36=0,"",COUNTIF('공수2'!$J$7:$J$86,5))</f>
        <v/>
      </c>
    </row>
    <row r="37">
      <c r="A37" s="8" t="n">
        <v>8</v>
      </c>
      <c r="B37" s="17" t="inlineStr">
        <is>
          <t>객관식</t>
        </is>
      </c>
      <c r="C37" s="39">
        <f>'공수2'!K4</f>
        <v/>
      </c>
      <c r="D37" s="10">
        <f>'공수2'!K5</f>
        <v/>
      </c>
      <c r="E37" s="10">
        <f>'공수2'!K3</f>
        <v/>
      </c>
      <c r="F37" s="40">
        <f>IF('공수2'!$K$2="","",'공수2'!$K$2)</f>
        <v/>
      </c>
      <c r="G37" s="10">
        <f>COUNT('공수2'!$Y$7:$Y$86)</f>
        <v/>
      </c>
      <c r="H37" s="10">
        <f>IF(F37="","",SUMPRODUCT(('공수2'!$K$7:$K$86='공수2'!$K$2)*('공수2'!$K$7:$K$86&lt;&gt;"")))</f>
        <v/>
      </c>
      <c r="I37" s="41">
        <f>IF(OR(F37="",G37=0),"",H37/G37)</f>
        <v/>
      </c>
      <c r="J37" s="42">
        <f>IF(F37="","",IFERROR(SUMPRODUCT(('공수2'!$K$7:$K$86='공수2'!$K$2)*('공수2'!$K$7:$K$86&lt;&gt;"")*('반배정'!$K$7:$K$86='설정'!$B$6))/COUNTIFS('반배정'!$K$7:$K$86,'설정'!$B$6,'공수2'!$Y$7:$Y$86,"&gt;=0"),""))</f>
        <v/>
      </c>
      <c r="K37" s="42">
        <f>IF(F37="","",IFERROR(SUMPRODUCT(('공수2'!$K$7:$K$86='공수2'!$K$2)*('공수2'!$K$7:$K$86&lt;&gt;"")*('반배정'!$K$7:$K$86='설정'!$B$7))/COUNTIFS('반배정'!$K$7:$K$86,'설정'!$B$7,'공수2'!$Y$7:$Y$86,"&gt;=0"),""))</f>
        <v/>
      </c>
      <c r="L37" s="42">
        <f>IF(F37="","",IFERROR(SUMPRODUCT(('공수2'!$K$7:$K$86='공수2'!$K$2)*('공수2'!$K$7:$K$86&lt;&gt;"")*('반배정'!$K$7:$K$86='설정'!$B$8))/COUNTIFS('반배정'!$K$7:$K$86,'설정'!$B$8,'공수2'!$Y$7:$Y$86,"&gt;=0"),""))</f>
        <v/>
      </c>
      <c r="M37" s="43">
        <f>IF(OR(J37="",L37=""),"",J37-L37)</f>
        <v/>
      </c>
      <c r="N37" s="39">
        <f>IF(I37="","",IF(AND(M37&lt;&gt;"",M37&lt;0),"역변별·문항검토",IF(I37&gt;=0.9,"매우 쉬움",IF(I37&lt;=0.15,"매우 어려움",IF(AND(M37&lt;&gt;"",M37&lt;0.2),"변별력 낮음","양호")))))</f>
        <v/>
      </c>
      <c r="O37" s="39">
        <f>IF(G37=0,"",COUNTIF('공수2'!$K$7:$K$86,1))</f>
        <v/>
      </c>
      <c r="P37" s="39">
        <f>IF(G37=0,"",COUNTIF('공수2'!$K$7:$K$86,2))</f>
        <v/>
      </c>
      <c r="Q37" s="39">
        <f>IF(G37=0,"",COUNTIF('공수2'!$K$7:$K$86,3))</f>
        <v/>
      </c>
      <c r="R37" s="39">
        <f>IF(G37=0,"",COUNTIF('공수2'!$K$7:$K$86,4))</f>
        <v/>
      </c>
      <c r="S37" s="39">
        <f>IF(G37=0,"",COUNTIF('공수2'!$K$7:$K$86,5))</f>
        <v/>
      </c>
    </row>
    <row r="38">
      <c r="A38" s="8" t="n">
        <v>9</v>
      </c>
      <c r="B38" s="17" t="inlineStr">
        <is>
          <t>객관식</t>
        </is>
      </c>
      <c r="C38" s="39">
        <f>'공수2'!L4</f>
        <v/>
      </c>
      <c r="D38" s="10">
        <f>'공수2'!L5</f>
        <v/>
      </c>
      <c r="E38" s="10">
        <f>'공수2'!L3</f>
        <v/>
      </c>
      <c r="F38" s="40">
        <f>IF('공수2'!$L$2="","",'공수2'!$L$2)</f>
        <v/>
      </c>
      <c r="G38" s="10">
        <f>COUNT('공수2'!$Y$7:$Y$86)</f>
        <v/>
      </c>
      <c r="H38" s="10">
        <f>IF(F38="","",SUMPRODUCT(('공수2'!$L$7:$L$86='공수2'!$L$2)*('공수2'!$L$7:$L$86&lt;&gt;"")))</f>
        <v/>
      </c>
      <c r="I38" s="41">
        <f>IF(OR(F38="",G38=0),"",H38/G38)</f>
        <v/>
      </c>
      <c r="J38" s="42">
        <f>IF(F38="","",IFERROR(SUMPRODUCT(('공수2'!$L$7:$L$86='공수2'!$L$2)*('공수2'!$L$7:$L$86&lt;&gt;"")*('반배정'!$K$7:$K$86='설정'!$B$6))/COUNTIFS('반배정'!$K$7:$K$86,'설정'!$B$6,'공수2'!$Y$7:$Y$86,"&gt;=0"),""))</f>
        <v/>
      </c>
      <c r="K38" s="42">
        <f>IF(F38="","",IFERROR(SUMPRODUCT(('공수2'!$L$7:$L$86='공수2'!$L$2)*('공수2'!$L$7:$L$86&lt;&gt;"")*('반배정'!$K$7:$K$86='설정'!$B$7))/COUNTIFS('반배정'!$K$7:$K$86,'설정'!$B$7,'공수2'!$Y$7:$Y$86,"&gt;=0"),""))</f>
        <v/>
      </c>
      <c r="L38" s="42">
        <f>IF(F38="","",IFERROR(SUMPRODUCT(('공수2'!$L$7:$L$86='공수2'!$L$2)*('공수2'!$L$7:$L$86&lt;&gt;"")*('반배정'!$K$7:$K$86='설정'!$B$8))/COUNTIFS('반배정'!$K$7:$K$86,'설정'!$B$8,'공수2'!$Y$7:$Y$86,"&gt;=0"),""))</f>
        <v/>
      </c>
      <c r="M38" s="43">
        <f>IF(OR(J38="",L38=""),"",J38-L38)</f>
        <v/>
      </c>
      <c r="N38" s="39">
        <f>IF(I38="","",IF(AND(M38&lt;&gt;"",M38&lt;0),"역변별·문항검토",IF(I38&gt;=0.9,"매우 쉬움",IF(I38&lt;=0.15,"매우 어려움",IF(AND(M38&lt;&gt;"",M38&lt;0.2),"변별력 낮음","양호")))))</f>
        <v/>
      </c>
      <c r="O38" s="39">
        <f>IF(G38=0,"",COUNTIF('공수2'!$L$7:$L$86,1))</f>
        <v/>
      </c>
      <c r="P38" s="39">
        <f>IF(G38=0,"",COUNTIF('공수2'!$L$7:$L$86,2))</f>
        <v/>
      </c>
      <c r="Q38" s="39">
        <f>IF(G38=0,"",COUNTIF('공수2'!$L$7:$L$86,3))</f>
        <v/>
      </c>
      <c r="R38" s="39">
        <f>IF(G38=0,"",COUNTIF('공수2'!$L$7:$L$86,4))</f>
        <v/>
      </c>
      <c r="S38" s="39">
        <f>IF(G38=0,"",COUNTIF('공수2'!$L$7:$L$86,5))</f>
        <v/>
      </c>
    </row>
    <row r="39">
      <c r="A39" s="8" t="n">
        <v>10</v>
      </c>
      <c r="B39" s="17" t="inlineStr">
        <is>
          <t>객관식</t>
        </is>
      </c>
      <c r="C39" s="39">
        <f>'공수2'!M4</f>
        <v/>
      </c>
      <c r="D39" s="10">
        <f>'공수2'!M5</f>
        <v/>
      </c>
      <c r="E39" s="10">
        <f>'공수2'!M3</f>
        <v/>
      </c>
      <c r="F39" s="40">
        <f>IF('공수2'!$M$2="","",'공수2'!$M$2)</f>
        <v/>
      </c>
      <c r="G39" s="10">
        <f>COUNT('공수2'!$Y$7:$Y$86)</f>
        <v/>
      </c>
      <c r="H39" s="10">
        <f>IF(F39="","",SUMPRODUCT(('공수2'!$M$7:$M$86='공수2'!$M$2)*('공수2'!$M$7:$M$86&lt;&gt;"")))</f>
        <v/>
      </c>
      <c r="I39" s="41">
        <f>IF(OR(F39="",G39=0),"",H39/G39)</f>
        <v/>
      </c>
      <c r="J39" s="42">
        <f>IF(F39="","",IFERROR(SUMPRODUCT(('공수2'!$M$7:$M$86='공수2'!$M$2)*('공수2'!$M$7:$M$86&lt;&gt;"")*('반배정'!$K$7:$K$86='설정'!$B$6))/COUNTIFS('반배정'!$K$7:$K$86,'설정'!$B$6,'공수2'!$Y$7:$Y$86,"&gt;=0"),""))</f>
        <v/>
      </c>
      <c r="K39" s="42">
        <f>IF(F39="","",IFERROR(SUMPRODUCT(('공수2'!$M$7:$M$86='공수2'!$M$2)*('공수2'!$M$7:$M$86&lt;&gt;"")*('반배정'!$K$7:$K$86='설정'!$B$7))/COUNTIFS('반배정'!$K$7:$K$86,'설정'!$B$7,'공수2'!$Y$7:$Y$86,"&gt;=0"),""))</f>
        <v/>
      </c>
      <c r="L39" s="42">
        <f>IF(F39="","",IFERROR(SUMPRODUCT(('공수2'!$M$7:$M$86='공수2'!$M$2)*('공수2'!$M$7:$M$86&lt;&gt;"")*('반배정'!$K$7:$K$86='설정'!$B$8))/COUNTIFS('반배정'!$K$7:$K$86,'설정'!$B$8,'공수2'!$Y$7:$Y$86,"&gt;=0"),""))</f>
        <v/>
      </c>
      <c r="M39" s="43">
        <f>IF(OR(J39="",L39=""),"",J39-L39)</f>
        <v/>
      </c>
      <c r="N39" s="39">
        <f>IF(I39="","",IF(AND(M39&lt;&gt;"",M39&lt;0),"역변별·문항검토",IF(I39&gt;=0.9,"매우 쉬움",IF(I39&lt;=0.15,"매우 어려움",IF(AND(M39&lt;&gt;"",M39&lt;0.2),"변별력 낮음","양호")))))</f>
        <v/>
      </c>
      <c r="O39" s="39">
        <f>IF(G39=0,"",COUNTIF('공수2'!$M$7:$M$86,1))</f>
        <v/>
      </c>
      <c r="P39" s="39">
        <f>IF(G39=0,"",COUNTIF('공수2'!$M$7:$M$86,2))</f>
        <v/>
      </c>
      <c r="Q39" s="39">
        <f>IF(G39=0,"",COUNTIF('공수2'!$M$7:$M$86,3))</f>
        <v/>
      </c>
      <c r="R39" s="39">
        <f>IF(G39=0,"",COUNTIF('공수2'!$M$7:$M$86,4))</f>
        <v/>
      </c>
      <c r="S39" s="39">
        <f>IF(G39=0,"",COUNTIF('공수2'!$M$7:$M$86,5))</f>
        <v/>
      </c>
    </row>
    <row r="40">
      <c r="A40" s="8" t="n">
        <v>11</v>
      </c>
      <c r="B40" s="17" t="inlineStr">
        <is>
          <t>객관식</t>
        </is>
      </c>
      <c r="C40" s="39">
        <f>'공수2'!N4</f>
        <v/>
      </c>
      <c r="D40" s="10">
        <f>'공수2'!N5</f>
        <v/>
      </c>
      <c r="E40" s="10">
        <f>'공수2'!N3</f>
        <v/>
      </c>
      <c r="F40" s="40">
        <f>IF('공수2'!$N$2="","",'공수2'!$N$2)</f>
        <v/>
      </c>
      <c r="G40" s="10">
        <f>COUNT('공수2'!$Y$7:$Y$86)</f>
        <v/>
      </c>
      <c r="H40" s="10">
        <f>IF(F40="","",SUMPRODUCT(('공수2'!$N$7:$N$86='공수2'!$N$2)*('공수2'!$N$7:$N$86&lt;&gt;"")))</f>
        <v/>
      </c>
      <c r="I40" s="41">
        <f>IF(OR(F40="",G40=0),"",H40/G40)</f>
        <v/>
      </c>
      <c r="J40" s="42">
        <f>IF(F40="","",IFERROR(SUMPRODUCT(('공수2'!$N$7:$N$86='공수2'!$N$2)*('공수2'!$N$7:$N$86&lt;&gt;"")*('반배정'!$K$7:$K$86='설정'!$B$6))/COUNTIFS('반배정'!$K$7:$K$86,'설정'!$B$6,'공수2'!$Y$7:$Y$86,"&gt;=0"),""))</f>
        <v/>
      </c>
      <c r="K40" s="42">
        <f>IF(F40="","",IFERROR(SUMPRODUCT(('공수2'!$N$7:$N$86='공수2'!$N$2)*('공수2'!$N$7:$N$86&lt;&gt;"")*('반배정'!$K$7:$K$86='설정'!$B$7))/COUNTIFS('반배정'!$K$7:$K$86,'설정'!$B$7,'공수2'!$Y$7:$Y$86,"&gt;=0"),""))</f>
        <v/>
      </c>
      <c r="L40" s="42">
        <f>IF(F40="","",IFERROR(SUMPRODUCT(('공수2'!$N$7:$N$86='공수2'!$N$2)*('공수2'!$N$7:$N$86&lt;&gt;"")*('반배정'!$K$7:$K$86='설정'!$B$8))/COUNTIFS('반배정'!$K$7:$K$86,'설정'!$B$8,'공수2'!$Y$7:$Y$86,"&gt;=0"),""))</f>
        <v/>
      </c>
      <c r="M40" s="43">
        <f>IF(OR(J40="",L40=""),"",J40-L40)</f>
        <v/>
      </c>
      <c r="N40" s="39">
        <f>IF(I40="","",IF(AND(M40&lt;&gt;"",M40&lt;0),"역변별·문항검토",IF(I40&gt;=0.9,"매우 쉬움",IF(I40&lt;=0.15,"매우 어려움",IF(AND(M40&lt;&gt;"",M40&lt;0.2),"변별력 낮음","양호")))))</f>
        <v/>
      </c>
      <c r="O40" s="39">
        <f>IF(G40=0,"",COUNTIF('공수2'!$N$7:$N$86,1))</f>
        <v/>
      </c>
      <c r="P40" s="39">
        <f>IF(G40=0,"",COUNTIF('공수2'!$N$7:$N$86,2))</f>
        <v/>
      </c>
      <c r="Q40" s="39">
        <f>IF(G40=0,"",COUNTIF('공수2'!$N$7:$N$86,3))</f>
        <v/>
      </c>
      <c r="R40" s="39">
        <f>IF(G40=0,"",COUNTIF('공수2'!$N$7:$N$86,4))</f>
        <v/>
      </c>
      <c r="S40" s="39">
        <f>IF(G40=0,"",COUNTIF('공수2'!$N$7:$N$86,5))</f>
        <v/>
      </c>
    </row>
    <row r="41">
      <c r="A41" s="8" t="n">
        <v>12</v>
      </c>
      <c r="B41" s="17" t="inlineStr">
        <is>
          <t>객관식</t>
        </is>
      </c>
      <c r="C41" s="39">
        <f>'공수2'!O4</f>
        <v/>
      </c>
      <c r="D41" s="10">
        <f>'공수2'!O5</f>
        <v/>
      </c>
      <c r="E41" s="10">
        <f>'공수2'!O3</f>
        <v/>
      </c>
      <c r="F41" s="40">
        <f>IF('공수2'!$O$2="","",'공수2'!$O$2)</f>
        <v/>
      </c>
      <c r="G41" s="10">
        <f>COUNT('공수2'!$Y$7:$Y$86)</f>
        <v/>
      </c>
      <c r="H41" s="10">
        <f>IF(F41="","",SUMPRODUCT(('공수2'!$O$7:$O$86='공수2'!$O$2)*('공수2'!$O$7:$O$86&lt;&gt;"")))</f>
        <v/>
      </c>
      <c r="I41" s="41">
        <f>IF(OR(F41="",G41=0),"",H41/G41)</f>
        <v/>
      </c>
      <c r="J41" s="42">
        <f>IF(F41="","",IFERROR(SUMPRODUCT(('공수2'!$O$7:$O$86='공수2'!$O$2)*('공수2'!$O$7:$O$86&lt;&gt;"")*('반배정'!$K$7:$K$86='설정'!$B$6))/COUNTIFS('반배정'!$K$7:$K$86,'설정'!$B$6,'공수2'!$Y$7:$Y$86,"&gt;=0"),""))</f>
        <v/>
      </c>
      <c r="K41" s="42">
        <f>IF(F41="","",IFERROR(SUMPRODUCT(('공수2'!$O$7:$O$86='공수2'!$O$2)*('공수2'!$O$7:$O$86&lt;&gt;"")*('반배정'!$K$7:$K$86='설정'!$B$7))/COUNTIFS('반배정'!$K$7:$K$86,'설정'!$B$7,'공수2'!$Y$7:$Y$86,"&gt;=0"),""))</f>
        <v/>
      </c>
      <c r="L41" s="42">
        <f>IF(F41="","",IFERROR(SUMPRODUCT(('공수2'!$O$7:$O$86='공수2'!$O$2)*('공수2'!$O$7:$O$86&lt;&gt;"")*('반배정'!$K$7:$K$86='설정'!$B$8))/COUNTIFS('반배정'!$K$7:$K$86,'설정'!$B$8,'공수2'!$Y$7:$Y$86,"&gt;=0"),""))</f>
        <v/>
      </c>
      <c r="M41" s="43">
        <f>IF(OR(J41="",L41=""),"",J41-L41)</f>
        <v/>
      </c>
      <c r="N41" s="39">
        <f>IF(I41="","",IF(AND(M41&lt;&gt;"",M41&lt;0),"역변별·문항검토",IF(I41&gt;=0.9,"매우 쉬움",IF(I41&lt;=0.15,"매우 어려움",IF(AND(M41&lt;&gt;"",M41&lt;0.2),"변별력 낮음","양호")))))</f>
        <v/>
      </c>
      <c r="O41" s="39">
        <f>IF(G41=0,"",COUNTIF('공수2'!$O$7:$O$86,1))</f>
        <v/>
      </c>
      <c r="P41" s="39">
        <f>IF(G41=0,"",COUNTIF('공수2'!$O$7:$O$86,2))</f>
        <v/>
      </c>
      <c r="Q41" s="39">
        <f>IF(G41=0,"",COUNTIF('공수2'!$O$7:$O$86,3))</f>
        <v/>
      </c>
      <c r="R41" s="39">
        <f>IF(G41=0,"",COUNTIF('공수2'!$O$7:$O$86,4))</f>
        <v/>
      </c>
      <c r="S41" s="39">
        <f>IF(G41=0,"",COUNTIF('공수2'!$O$7:$O$86,5))</f>
        <v/>
      </c>
    </row>
    <row r="42">
      <c r="A42" s="8" t="n">
        <v>13</v>
      </c>
      <c r="B42" s="17" t="inlineStr">
        <is>
          <t>객관식</t>
        </is>
      </c>
      <c r="C42" s="39">
        <f>'공수2'!P4</f>
        <v/>
      </c>
      <c r="D42" s="10">
        <f>'공수2'!P5</f>
        <v/>
      </c>
      <c r="E42" s="10">
        <f>'공수2'!P3</f>
        <v/>
      </c>
      <c r="F42" s="40">
        <f>IF('공수2'!$P$2="","",'공수2'!$P$2)</f>
        <v/>
      </c>
      <c r="G42" s="10">
        <f>COUNT('공수2'!$Y$7:$Y$86)</f>
        <v/>
      </c>
      <c r="H42" s="10">
        <f>IF(F42="","",SUMPRODUCT(('공수2'!$P$7:$P$86='공수2'!$P$2)*('공수2'!$P$7:$P$86&lt;&gt;"")))</f>
        <v/>
      </c>
      <c r="I42" s="41">
        <f>IF(OR(F42="",G42=0),"",H42/G42)</f>
        <v/>
      </c>
      <c r="J42" s="42">
        <f>IF(F42="","",IFERROR(SUMPRODUCT(('공수2'!$P$7:$P$86='공수2'!$P$2)*('공수2'!$P$7:$P$86&lt;&gt;"")*('반배정'!$K$7:$K$86='설정'!$B$6))/COUNTIFS('반배정'!$K$7:$K$86,'설정'!$B$6,'공수2'!$Y$7:$Y$86,"&gt;=0"),""))</f>
        <v/>
      </c>
      <c r="K42" s="42">
        <f>IF(F42="","",IFERROR(SUMPRODUCT(('공수2'!$P$7:$P$86='공수2'!$P$2)*('공수2'!$P$7:$P$86&lt;&gt;"")*('반배정'!$K$7:$K$86='설정'!$B$7))/COUNTIFS('반배정'!$K$7:$K$86,'설정'!$B$7,'공수2'!$Y$7:$Y$86,"&gt;=0"),""))</f>
        <v/>
      </c>
      <c r="L42" s="42">
        <f>IF(F42="","",IFERROR(SUMPRODUCT(('공수2'!$P$7:$P$86='공수2'!$P$2)*('공수2'!$P$7:$P$86&lt;&gt;"")*('반배정'!$K$7:$K$86='설정'!$B$8))/COUNTIFS('반배정'!$K$7:$K$86,'설정'!$B$8,'공수2'!$Y$7:$Y$86,"&gt;=0"),""))</f>
        <v/>
      </c>
      <c r="M42" s="43">
        <f>IF(OR(J42="",L42=""),"",J42-L42)</f>
        <v/>
      </c>
      <c r="N42" s="39">
        <f>IF(I42="","",IF(AND(M42&lt;&gt;"",M42&lt;0),"역변별·문항검토",IF(I42&gt;=0.9,"매우 쉬움",IF(I42&lt;=0.15,"매우 어려움",IF(AND(M42&lt;&gt;"",M42&lt;0.2),"변별력 낮음","양호")))))</f>
        <v/>
      </c>
      <c r="O42" s="39">
        <f>IF(G42=0,"",COUNTIF('공수2'!$P$7:$P$86,1))</f>
        <v/>
      </c>
      <c r="P42" s="39">
        <f>IF(G42=0,"",COUNTIF('공수2'!$P$7:$P$86,2))</f>
        <v/>
      </c>
      <c r="Q42" s="39">
        <f>IF(G42=0,"",COUNTIF('공수2'!$P$7:$P$86,3))</f>
        <v/>
      </c>
      <c r="R42" s="39">
        <f>IF(G42=0,"",COUNTIF('공수2'!$P$7:$P$86,4))</f>
        <v/>
      </c>
      <c r="S42" s="39">
        <f>IF(G42=0,"",COUNTIF('공수2'!$P$7:$P$86,5))</f>
        <v/>
      </c>
    </row>
    <row r="43">
      <c r="A43" s="8" t="n">
        <v>14</v>
      </c>
      <c r="B43" s="17" t="inlineStr">
        <is>
          <t>객관식</t>
        </is>
      </c>
      <c r="C43" s="39">
        <f>'공수2'!Q4</f>
        <v/>
      </c>
      <c r="D43" s="10">
        <f>'공수2'!Q5</f>
        <v/>
      </c>
      <c r="E43" s="10">
        <f>'공수2'!Q3</f>
        <v/>
      </c>
      <c r="F43" s="40">
        <f>IF('공수2'!$Q$2="","",'공수2'!$Q$2)</f>
        <v/>
      </c>
      <c r="G43" s="10">
        <f>COUNT('공수2'!$Y$7:$Y$86)</f>
        <v/>
      </c>
      <c r="H43" s="10">
        <f>IF(F43="","",SUMPRODUCT(('공수2'!$Q$7:$Q$86='공수2'!$Q$2)*('공수2'!$Q$7:$Q$86&lt;&gt;"")))</f>
        <v/>
      </c>
      <c r="I43" s="41">
        <f>IF(OR(F43="",G43=0),"",H43/G43)</f>
        <v/>
      </c>
      <c r="J43" s="42">
        <f>IF(F43="","",IFERROR(SUMPRODUCT(('공수2'!$Q$7:$Q$86='공수2'!$Q$2)*('공수2'!$Q$7:$Q$86&lt;&gt;"")*('반배정'!$K$7:$K$86='설정'!$B$6))/COUNTIFS('반배정'!$K$7:$K$86,'설정'!$B$6,'공수2'!$Y$7:$Y$86,"&gt;=0"),""))</f>
        <v/>
      </c>
      <c r="K43" s="42">
        <f>IF(F43="","",IFERROR(SUMPRODUCT(('공수2'!$Q$7:$Q$86='공수2'!$Q$2)*('공수2'!$Q$7:$Q$86&lt;&gt;"")*('반배정'!$K$7:$K$86='설정'!$B$7))/COUNTIFS('반배정'!$K$7:$K$86,'설정'!$B$7,'공수2'!$Y$7:$Y$86,"&gt;=0"),""))</f>
        <v/>
      </c>
      <c r="L43" s="42">
        <f>IF(F43="","",IFERROR(SUMPRODUCT(('공수2'!$Q$7:$Q$86='공수2'!$Q$2)*('공수2'!$Q$7:$Q$86&lt;&gt;"")*('반배정'!$K$7:$K$86='설정'!$B$8))/COUNTIFS('반배정'!$K$7:$K$86,'설정'!$B$8,'공수2'!$Y$7:$Y$86,"&gt;=0"),""))</f>
        <v/>
      </c>
      <c r="M43" s="43">
        <f>IF(OR(J43="",L43=""),"",J43-L43)</f>
        <v/>
      </c>
      <c r="N43" s="39">
        <f>IF(I43="","",IF(AND(M43&lt;&gt;"",M43&lt;0),"역변별·문항검토",IF(I43&gt;=0.9,"매우 쉬움",IF(I43&lt;=0.15,"매우 어려움",IF(AND(M43&lt;&gt;"",M43&lt;0.2),"변별력 낮음","양호")))))</f>
        <v/>
      </c>
      <c r="O43" s="39">
        <f>IF(G43=0,"",COUNTIF('공수2'!$Q$7:$Q$86,1))</f>
        <v/>
      </c>
      <c r="P43" s="39">
        <f>IF(G43=0,"",COUNTIF('공수2'!$Q$7:$Q$86,2))</f>
        <v/>
      </c>
      <c r="Q43" s="39">
        <f>IF(G43=0,"",COUNTIF('공수2'!$Q$7:$Q$86,3))</f>
        <v/>
      </c>
      <c r="R43" s="39">
        <f>IF(G43=0,"",COUNTIF('공수2'!$Q$7:$Q$86,4))</f>
        <v/>
      </c>
      <c r="S43" s="39">
        <f>IF(G43=0,"",COUNTIF('공수2'!$Q$7:$Q$86,5))</f>
        <v/>
      </c>
    </row>
    <row r="44">
      <c r="A44" s="8" t="n">
        <v>15</v>
      </c>
      <c r="B44" s="17" t="inlineStr">
        <is>
          <t>단답형</t>
        </is>
      </c>
      <c r="C44" s="39">
        <f>'공수2'!R4</f>
        <v/>
      </c>
      <c r="D44" s="10">
        <f>'공수2'!R5</f>
        <v/>
      </c>
      <c r="E44" s="10">
        <f>'공수2'!R3</f>
        <v/>
      </c>
      <c r="F44" s="40">
        <f>IF('공수2'!$R$2="","","9")</f>
        <v/>
      </c>
      <c r="G44" s="10">
        <f>COUNT('공수2'!$Y$7:$Y$86)</f>
        <v/>
      </c>
      <c r="H44" s="10">
        <f>IF(F44="","",SUMPRODUCT(('공수2'!$R$7:$R$86='공수2'!$R$2)*('공수2'!$R$7:$R$86&lt;&gt;"")))</f>
        <v/>
      </c>
      <c r="I44" s="41">
        <f>IF(OR(F44="",G44=0),"",H44/G44)</f>
        <v/>
      </c>
      <c r="J44" s="42">
        <f>IF(F44="","",IFERROR(SUMPRODUCT(('공수2'!$R$7:$R$86='공수2'!$R$2)*('공수2'!$R$7:$R$86&lt;&gt;"")*('반배정'!$K$7:$K$86='설정'!$B$6))/COUNTIFS('반배정'!$K$7:$K$86,'설정'!$B$6,'공수2'!$Y$7:$Y$86,"&gt;=0"),""))</f>
        <v/>
      </c>
      <c r="K44" s="42">
        <f>IF(F44="","",IFERROR(SUMPRODUCT(('공수2'!$R$7:$R$86='공수2'!$R$2)*('공수2'!$R$7:$R$86&lt;&gt;"")*('반배정'!$K$7:$K$86='설정'!$B$7))/COUNTIFS('반배정'!$K$7:$K$86,'설정'!$B$7,'공수2'!$Y$7:$Y$86,"&gt;=0"),""))</f>
        <v/>
      </c>
      <c r="L44" s="42">
        <f>IF(F44="","",IFERROR(SUMPRODUCT(('공수2'!$R$7:$R$86='공수2'!$R$2)*('공수2'!$R$7:$R$86&lt;&gt;"")*('반배정'!$K$7:$K$86='설정'!$B$8))/COUNTIFS('반배정'!$K$7:$K$86,'설정'!$B$8,'공수2'!$Y$7:$Y$86,"&gt;=0"),""))</f>
        <v/>
      </c>
      <c r="M44" s="43">
        <f>IF(OR(J44="",L44=""),"",J44-L44)</f>
        <v/>
      </c>
      <c r="N44" s="39">
        <f>IF(I44="","",IF(AND(M44&lt;&gt;"",M44&lt;0),"역변별·문항검토",IF(I44&gt;=0.9,"매우 쉬움",IF(I44&lt;=0.15,"매우 어려움",IF(AND(M44&lt;&gt;"",M44&lt;0.2),"변별력 낮음","양호")))))</f>
        <v/>
      </c>
      <c r="O44" s="44" t="inlineStr">
        <is>
          <t>-</t>
        </is>
      </c>
      <c r="P44" s="44" t="inlineStr">
        <is>
          <t>-</t>
        </is>
      </c>
      <c r="Q44" s="44" t="inlineStr">
        <is>
          <t>-</t>
        </is>
      </c>
      <c r="R44" s="44" t="inlineStr">
        <is>
          <t>-</t>
        </is>
      </c>
      <c r="S44" s="44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9">
        <f>'공수2'!S4</f>
        <v/>
      </c>
      <c r="D45" s="10">
        <f>'공수2'!S5</f>
        <v/>
      </c>
      <c r="E45" s="10">
        <f>'공수2'!S3</f>
        <v/>
      </c>
      <c r="F45" s="40">
        <f>IF('공수2'!$S$2="","","160")</f>
        <v/>
      </c>
      <c r="G45" s="10">
        <f>COUNT('공수2'!$Y$7:$Y$86)</f>
        <v/>
      </c>
      <c r="H45" s="10">
        <f>IF(F45="","",SUMPRODUCT(('공수2'!$S$7:$S$86='공수2'!$S$2)*('공수2'!$S$7:$S$86&lt;&gt;"")))</f>
        <v/>
      </c>
      <c r="I45" s="41">
        <f>IF(OR(F45="",G45=0),"",H45/G45)</f>
        <v/>
      </c>
      <c r="J45" s="42">
        <f>IF(F45="","",IFERROR(SUMPRODUCT(('공수2'!$S$7:$S$86='공수2'!$S$2)*('공수2'!$S$7:$S$86&lt;&gt;"")*('반배정'!$K$7:$K$86='설정'!$B$6))/COUNTIFS('반배정'!$K$7:$K$86,'설정'!$B$6,'공수2'!$Y$7:$Y$86,"&gt;=0"),""))</f>
        <v/>
      </c>
      <c r="K45" s="42">
        <f>IF(F45="","",IFERROR(SUMPRODUCT(('공수2'!$S$7:$S$86='공수2'!$S$2)*('공수2'!$S$7:$S$86&lt;&gt;"")*('반배정'!$K$7:$K$86='설정'!$B$7))/COUNTIFS('반배정'!$K$7:$K$86,'설정'!$B$7,'공수2'!$Y$7:$Y$86,"&gt;=0"),""))</f>
        <v/>
      </c>
      <c r="L45" s="42">
        <f>IF(F45="","",IFERROR(SUMPRODUCT(('공수2'!$S$7:$S$86='공수2'!$S$2)*('공수2'!$S$7:$S$86&lt;&gt;"")*('반배정'!$K$7:$K$86='설정'!$B$8))/COUNTIFS('반배정'!$K$7:$K$86,'설정'!$B$8,'공수2'!$Y$7:$Y$86,"&gt;=0"),""))</f>
        <v/>
      </c>
      <c r="M45" s="43">
        <f>IF(OR(J45="",L45=""),"",J45-L45)</f>
        <v/>
      </c>
      <c r="N45" s="39">
        <f>IF(I45="","",IF(AND(M45&lt;&gt;"",M45&lt;0),"역변별·문항검토",IF(I45&gt;=0.9,"매우 쉬움",IF(I45&lt;=0.15,"매우 어려움",IF(AND(M45&lt;&gt;"",M45&lt;0.2),"변별력 낮음","양호")))))</f>
        <v/>
      </c>
      <c r="O45" s="44" t="inlineStr">
        <is>
          <t>-</t>
        </is>
      </c>
      <c r="P45" s="44" t="inlineStr">
        <is>
          <t>-</t>
        </is>
      </c>
      <c r="Q45" s="44" t="inlineStr">
        <is>
          <t>-</t>
        </is>
      </c>
      <c r="R45" s="44" t="inlineStr">
        <is>
          <t>-</t>
        </is>
      </c>
      <c r="S45" s="44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9">
        <f>'공수2'!T4</f>
        <v/>
      </c>
      <c r="D46" s="10">
        <f>'공수2'!T5</f>
        <v/>
      </c>
      <c r="E46" s="10">
        <f>'공수2'!T3</f>
        <v/>
      </c>
      <c r="F46" s="40">
        <f>IF('공수2'!$T$2="","","12")</f>
        <v/>
      </c>
      <c r="G46" s="10">
        <f>COUNT('공수2'!$Y$7:$Y$86)</f>
        <v/>
      </c>
      <c r="H46" s="10">
        <f>IF(F46="","",SUMPRODUCT(('공수2'!$T$7:$T$86='공수2'!$T$2)*('공수2'!$T$7:$T$86&lt;&gt;"")))</f>
        <v/>
      </c>
      <c r="I46" s="41">
        <f>IF(OR(F46="",G46=0),"",H46/G46)</f>
        <v/>
      </c>
      <c r="J46" s="42">
        <f>IF(F46="","",IFERROR(SUMPRODUCT(('공수2'!$T$7:$T$86='공수2'!$T$2)*('공수2'!$T$7:$T$86&lt;&gt;"")*('반배정'!$K$7:$K$86='설정'!$B$6))/COUNTIFS('반배정'!$K$7:$K$86,'설정'!$B$6,'공수2'!$Y$7:$Y$86,"&gt;=0"),""))</f>
        <v/>
      </c>
      <c r="K46" s="42">
        <f>IF(F46="","",IFERROR(SUMPRODUCT(('공수2'!$T$7:$T$86='공수2'!$T$2)*('공수2'!$T$7:$T$86&lt;&gt;"")*('반배정'!$K$7:$K$86='설정'!$B$7))/COUNTIFS('반배정'!$K$7:$K$86,'설정'!$B$7,'공수2'!$Y$7:$Y$86,"&gt;=0"),""))</f>
        <v/>
      </c>
      <c r="L46" s="42">
        <f>IF(F46="","",IFERROR(SUMPRODUCT(('공수2'!$T$7:$T$86='공수2'!$T$2)*('공수2'!$T$7:$T$86&lt;&gt;"")*('반배정'!$K$7:$K$86='설정'!$B$8))/COUNTIFS('반배정'!$K$7:$K$86,'설정'!$B$8,'공수2'!$Y$7:$Y$86,"&gt;=0"),""))</f>
        <v/>
      </c>
      <c r="M46" s="43">
        <f>IF(OR(J46="",L46=""),"",J46-L46)</f>
        <v/>
      </c>
      <c r="N46" s="39">
        <f>IF(I46="","",IF(AND(M46&lt;&gt;"",M46&lt;0),"역변별·문항검토",IF(I46&gt;=0.9,"매우 쉬움",IF(I46&lt;=0.15,"매우 어려움",IF(AND(M46&lt;&gt;"",M46&lt;0.2),"변별력 낮음","양호")))))</f>
        <v/>
      </c>
      <c r="O46" s="44" t="inlineStr">
        <is>
          <t>-</t>
        </is>
      </c>
      <c r="P46" s="44" t="inlineStr">
        <is>
          <t>-</t>
        </is>
      </c>
      <c r="Q46" s="44" t="inlineStr">
        <is>
          <t>-</t>
        </is>
      </c>
      <c r="R46" s="44" t="inlineStr">
        <is>
          <t>-</t>
        </is>
      </c>
      <c r="S46" s="44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9">
        <f>'공수2'!U4</f>
        <v/>
      </c>
      <c r="D47" s="10">
        <f>'공수2'!U5</f>
        <v/>
      </c>
      <c r="E47" s="10">
        <f>'공수2'!U3</f>
        <v/>
      </c>
      <c r="F47" s="40">
        <f>IF('공수2'!$U$2="","","14")</f>
        <v/>
      </c>
      <c r="G47" s="10">
        <f>COUNT('공수2'!$Y$7:$Y$86)</f>
        <v/>
      </c>
      <c r="H47" s="10">
        <f>IF(F47="","",SUMPRODUCT(('공수2'!$U$7:$U$86='공수2'!$U$2)*('공수2'!$U$7:$U$86&lt;&gt;"")))</f>
        <v/>
      </c>
      <c r="I47" s="41">
        <f>IF(OR(F47="",G47=0),"",H47/G47)</f>
        <v/>
      </c>
      <c r="J47" s="42">
        <f>IF(F47="","",IFERROR(SUMPRODUCT(('공수2'!$U$7:$U$86='공수2'!$U$2)*('공수2'!$U$7:$U$86&lt;&gt;"")*('반배정'!$K$7:$K$86='설정'!$B$6))/COUNTIFS('반배정'!$K$7:$K$86,'설정'!$B$6,'공수2'!$Y$7:$Y$86,"&gt;=0"),""))</f>
        <v/>
      </c>
      <c r="K47" s="42">
        <f>IF(F47="","",IFERROR(SUMPRODUCT(('공수2'!$U$7:$U$86='공수2'!$U$2)*('공수2'!$U$7:$U$86&lt;&gt;"")*('반배정'!$K$7:$K$86='설정'!$B$7))/COUNTIFS('반배정'!$K$7:$K$86,'설정'!$B$7,'공수2'!$Y$7:$Y$86,"&gt;=0"),""))</f>
        <v/>
      </c>
      <c r="L47" s="42">
        <f>IF(F47="","",IFERROR(SUMPRODUCT(('공수2'!$U$7:$U$86='공수2'!$U$2)*('공수2'!$U$7:$U$86&lt;&gt;"")*('반배정'!$K$7:$K$86='설정'!$B$8))/COUNTIFS('반배정'!$K$7:$K$86,'설정'!$B$8,'공수2'!$Y$7:$Y$86,"&gt;=0"),""))</f>
        <v/>
      </c>
      <c r="M47" s="43">
        <f>IF(OR(J47="",L47=""),"",J47-L47)</f>
        <v/>
      </c>
      <c r="N47" s="39">
        <f>IF(I47="","",IF(AND(M47&lt;&gt;"",M47&lt;0),"역변별·문항검토",IF(I47&gt;=0.9,"매우 쉬움",IF(I47&lt;=0.15,"매우 어려움",IF(AND(M47&lt;&gt;"",M47&lt;0.2),"변별력 낮음","양호")))))</f>
        <v/>
      </c>
      <c r="O47" s="44" t="inlineStr">
        <is>
          <t>-</t>
        </is>
      </c>
      <c r="P47" s="44" t="inlineStr">
        <is>
          <t>-</t>
        </is>
      </c>
      <c r="Q47" s="44" t="inlineStr">
        <is>
          <t>-</t>
        </is>
      </c>
      <c r="R47" s="44" t="inlineStr">
        <is>
          <t>-</t>
        </is>
      </c>
      <c r="S47" s="44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9">
        <f>'공수2'!V4</f>
        <v/>
      </c>
      <c r="D48" s="10">
        <f>'공수2'!V5</f>
        <v/>
      </c>
      <c r="E48" s="10">
        <f>'공수2'!V3</f>
        <v/>
      </c>
      <c r="F48" s="40">
        <f>IF('공수2'!$V$2="","","15")</f>
        <v/>
      </c>
      <c r="G48" s="10">
        <f>COUNT('공수2'!$Y$7:$Y$86)</f>
        <v/>
      </c>
      <c r="H48" s="10">
        <f>IF(F48="","",SUMPRODUCT(('공수2'!$V$7:$V$86='공수2'!$V$2)*('공수2'!$V$7:$V$86&lt;&gt;"")))</f>
        <v/>
      </c>
      <c r="I48" s="41">
        <f>IF(OR(F48="",G48=0),"",H48/G48)</f>
        <v/>
      </c>
      <c r="J48" s="42">
        <f>IF(F48="","",IFERROR(SUMPRODUCT(('공수2'!$V$7:$V$86='공수2'!$V$2)*('공수2'!$V$7:$V$86&lt;&gt;"")*('반배정'!$K$7:$K$86='설정'!$B$6))/COUNTIFS('반배정'!$K$7:$K$86,'설정'!$B$6,'공수2'!$Y$7:$Y$86,"&gt;=0"),""))</f>
        <v/>
      </c>
      <c r="K48" s="42">
        <f>IF(F48="","",IFERROR(SUMPRODUCT(('공수2'!$V$7:$V$86='공수2'!$V$2)*('공수2'!$V$7:$V$86&lt;&gt;"")*('반배정'!$K$7:$K$86='설정'!$B$7))/COUNTIFS('반배정'!$K$7:$K$86,'설정'!$B$7,'공수2'!$Y$7:$Y$86,"&gt;=0"),""))</f>
        <v/>
      </c>
      <c r="L48" s="42">
        <f>IF(F48="","",IFERROR(SUMPRODUCT(('공수2'!$V$7:$V$86='공수2'!$V$2)*('공수2'!$V$7:$V$86&lt;&gt;"")*('반배정'!$K$7:$K$86='설정'!$B$8))/COUNTIFS('반배정'!$K$7:$K$86,'설정'!$B$8,'공수2'!$Y$7:$Y$86,"&gt;=0"),""))</f>
        <v/>
      </c>
      <c r="M48" s="43">
        <f>IF(OR(J48="",L48=""),"",J48-L48)</f>
        <v/>
      </c>
      <c r="N48" s="39">
        <f>IF(I48="","",IF(AND(M48&lt;&gt;"",M48&lt;0),"역변별·문항검토",IF(I48&gt;=0.9,"매우 쉬움",IF(I48&lt;=0.15,"매우 어려움",IF(AND(M48&lt;&gt;"",M48&lt;0.2),"변별력 낮음","양호")))))</f>
        <v/>
      </c>
      <c r="O48" s="44" t="inlineStr">
        <is>
          <t>-</t>
        </is>
      </c>
      <c r="P48" s="44" t="inlineStr">
        <is>
          <t>-</t>
        </is>
      </c>
      <c r="Q48" s="44" t="inlineStr">
        <is>
          <t>-</t>
        </is>
      </c>
      <c r="R48" s="44" t="inlineStr">
        <is>
          <t>-</t>
        </is>
      </c>
      <c r="S48" s="44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9">
        <f>'공수2'!W4</f>
        <v/>
      </c>
      <c r="D49" s="10">
        <f>'공수2'!W5</f>
        <v/>
      </c>
      <c r="E49" s="10">
        <f>'공수2'!W3</f>
        <v/>
      </c>
      <c r="F49" s="40">
        <f>IF('공수2'!$W$2="","","13")</f>
        <v/>
      </c>
      <c r="G49" s="10">
        <f>COUNT('공수2'!$Y$7:$Y$86)</f>
        <v/>
      </c>
      <c r="H49" s="10">
        <f>IF(F49="","",SUMPRODUCT(('공수2'!$W$7:$W$86='공수2'!$W$2)*('공수2'!$W$7:$W$86&lt;&gt;"")))</f>
        <v/>
      </c>
      <c r="I49" s="41">
        <f>IF(OR(F49="",G49=0),"",H49/G49)</f>
        <v/>
      </c>
      <c r="J49" s="42">
        <f>IF(F49="","",IFERROR(SUMPRODUCT(('공수2'!$W$7:$W$86='공수2'!$W$2)*('공수2'!$W$7:$W$86&lt;&gt;"")*('반배정'!$K$7:$K$86='설정'!$B$6))/COUNTIFS('반배정'!$K$7:$K$86,'설정'!$B$6,'공수2'!$Y$7:$Y$86,"&gt;=0"),""))</f>
        <v/>
      </c>
      <c r="K49" s="42">
        <f>IF(F49="","",IFERROR(SUMPRODUCT(('공수2'!$W$7:$W$86='공수2'!$W$2)*('공수2'!$W$7:$W$86&lt;&gt;"")*('반배정'!$K$7:$K$86='설정'!$B$7))/COUNTIFS('반배정'!$K$7:$K$86,'설정'!$B$7,'공수2'!$Y$7:$Y$86,"&gt;=0"),""))</f>
        <v/>
      </c>
      <c r="L49" s="42">
        <f>IF(F49="","",IFERROR(SUMPRODUCT(('공수2'!$W$7:$W$86='공수2'!$W$2)*('공수2'!$W$7:$W$86&lt;&gt;"")*('반배정'!$K$7:$K$86='설정'!$B$8))/COUNTIFS('반배정'!$K$7:$K$86,'설정'!$B$8,'공수2'!$Y$7:$Y$86,"&gt;=0"),""))</f>
        <v/>
      </c>
      <c r="M49" s="43">
        <f>IF(OR(J49="",L49=""),"",J49-L49)</f>
        <v/>
      </c>
      <c r="N49" s="39">
        <f>IF(I49="","",IF(AND(M49&lt;&gt;"",M49&lt;0),"역변별·문항검토",IF(I49&gt;=0.9,"매우 쉬움",IF(I49&lt;=0.15,"매우 어려움",IF(AND(M49&lt;&gt;"",M49&lt;0.2),"변별력 낮음","양호")))))</f>
        <v/>
      </c>
      <c r="O49" s="44" t="inlineStr">
        <is>
          <t>-</t>
        </is>
      </c>
      <c r="P49" s="44" t="inlineStr">
        <is>
          <t>-</t>
        </is>
      </c>
      <c r="Q49" s="44" t="inlineStr">
        <is>
          <t>-</t>
        </is>
      </c>
      <c r="R49" s="44" t="inlineStr">
        <is>
          <t>-</t>
        </is>
      </c>
      <c r="S49" s="44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2026-10-13T13:27:40Z</dcterms:created>
  <dcterms:modified xmlns:dcterms="http://purl.org/dc/terms/" xmlns:xsi="http://www.w3.org/2001/XMLSchema-instance" xsi:type="dcterms:W3CDTF">2026-10-13T13:27:41Z</dcterms:modified>
</cp:coreProperties>
</file>