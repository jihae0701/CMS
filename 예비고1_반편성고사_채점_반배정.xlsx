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" sheetId="1" state="visible" r:id="rId3"/>
    <sheet name="학생명단" sheetId="2" state="visible" r:id="rId4"/>
    <sheet name="공수1" sheetId="3" state="visible" r:id="rId5"/>
    <sheet name="공수2" sheetId="4" state="visible" r:id="rId6"/>
    <sheet name="반배정" sheetId="5" state="visible" r:id="rId7"/>
    <sheet name="석차순" sheetId="6" state="visible" r:id="rId8"/>
    <sheet name="문항분석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<sst xmlns="http://schemas.openxmlformats.org/spreadsheetml/2006/main" count="397" uniqueCount="139">
  <si>
    <r>
      <rPr>
        <b val="true"/>
        <sz val="14"/>
        <color rgb="FF1F3864"/>
        <rFont val="WenQuanYi Zen Hei"/>
        <family val="2"/>
      </rPr>
      <t xml:space="preserve">예비고</t>
    </r>
    <r>
      <rPr>
        <b val="true"/>
        <sz val="14"/>
        <color rgb="FF1F3864"/>
        <rFont val="맑은 고딕"/>
        <family val="0"/>
        <charset val="1"/>
      </rPr>
      <t xml:space="preserve">1 </t>
    </r>
    <r>
      <rPr>
        <b val="true"/>
        <sz val="14"/>
        <color rgb="FF1F3864"/>
        <rFont val="WenQuanYi Zen Hei"/>
        <family val="2"/>
      </rPr>
      <t xml:space="preserve">반편성고사 — 설정</t>
    </r>
  </si>
  <si>
    <r>
      <rPr>
        <sz val="9"/>
        <color rgb="FF595959"/>
        <rFont val="WenQuanYi Zen Hei"/>
        <family val="2"/>
      </rPr>
      <t xml:space="preserve">노란 칸만 입력하세요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반 이름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정원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반영비율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단원명을 바꾸면 모든 시트에 자동 반영됩니다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정답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배점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단원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난이도는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공수</t>
    </r>
    <r>
      <rPr>
        <sz val="9"/>
        <color rgb="FF595959"/>
        <rFont val="맑은 고딕"/>
        <family val="0"/>
        <charset val="1"/>
      </rPr>
      <t xml:space="preserve">1', '</t>
    </r>
    <r>
      <rPr>
        <sz val="9"/>
        <color rgb="FF595959"/>
        <rFont val="WenQuanYi Zen Hei"/>
        <family val="2"/>
      </rPr>
      <t xml:space="preserve">공수</t>
    </r>
    <r>
      <rPr>
        <sz val="9"/>
        <color rgb="FF595959"/>
        <rFont val="맑은 고딕"/>
        <family val="0"/>
        <charset val="1"/>
      </rPr>
      <t xml:space="preserve">2' </t>
    </r>
    <r>
      <rPr>
        <sz val="9"/>
        <color rgb="FF595959"/>
        <rFont val="WenQuanYi Zen Hei"/>
        <family val="2"/>
      </rPr>
      <t xml:space="preserve">시트 위쪽</t>
    </r>
    <r>
      <rPr>
        <sz val="9"/>
        <color rgb="FF595959"/>
        <rFont val="맑은 고딕"/>
        <family val="0"/>
        <charset val="1"/>
      </rPr>
      <t xml:space="preserve">(2~5</t>
    </r>
    <r>
      <rPr>
        <sz val="9"/>
        <color rgb="FF595959"/>
        <rFont val="WenQuanYi Zen Hei"/>
        <family val="2"/>
      </rPr>
      <t xml:space="preserve">행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에서 입력합니다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</si>
  <si>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① 반 설정</t>
  </si>
  <si>
    <t xml:space="preserve">반</t>
  </si>
  <si>
    <t xml:space="preserve">반 이름</t>
  </si>
  <si>
    <r>
      <rPr>
        <b val="true"/>
        <sz val="10"/>
        <color rgb="FFFFFFFF"/>
        <rFont val="WenQuanYi Zen Hei"/>
        <family val="2"/>
      </rPr>
      <t xml:space="preserve">정원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</si>
  <si>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성적순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</si>
  <si>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심화반</t>
  </si>
  <si>
    <r>
      <rPr>
        <sz val="9"/>
        <color rgb="FF595959"/>
        <rFont val="WenQuanYi Zen Hei"/>
        <family val="2"/>
      </rPr>
      <t xml:space="preserve">총점 석차 순으로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반 정원만큼 → 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반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다음 정원만큼 → </t>
    </r>
    <r>
      <rPr>
        <sz val="9"/>
        <color rgb="FF595959"/>
        <rFont val="맑은 고딕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반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나머지 → </t>
    </r>
    <r>
      <rPr>
        <sz val="9"/>
        <color rgb="FF595959"/>
        <rFont val="맑은 고딕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반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동점자가 경계에 걸리면 모두 위 반으로 들어갑니다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</si>
  <si>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성적순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</si>
  <si>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정규반</t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</si>
  <si>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반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성적순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</si>
  <si>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기본반</t>
  </si>
  <si>
    <t xml:space="preserve">합계</t>
  </si>
  <si>
    <t xml:space="preserve">② 점수 반영</t>
  </si>
  <si>
    <t xml:space="preserve">항목</t>
  </si>
  <si>
    <t xml:space="preserve">값</t>
  </si>
  <si>
    <r>
      <rPr>
        <sz val="10"/>
        <color rgb="FF000000"/>
        <rFont val="WenQuanYi Zen Hei"/>
        <family val="2"/>
      </rPr>
      <t xml:space="preserve">공통수학</t>
    </r>
    <r>
      <rPr>
        <sz val="10"/>
        <color rgb="FF000000"/>
        <rFont val="맑은 고딕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반영비율</t>
    </r>
  </si>
  <si>
    <r>
      <rPr>
        <sz val="9"/>
        <color rgb="FF595959"/>
        <rFont val="WenQuanYi Zen Hei"/>
        <family val="2"/>
      </rPr>
      <t xml:space="preserve">환산총점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공수</t>
    </r>
    <r>
      <rPr>
        <sz val="9"/>
        <color rgb="FF595959"/>
        <rFont val="맑은 고딕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점수</t>
    </r>
    <r>
      <rPr>
        <sz val="9"/>
        <color rgb="FF595959"/>
        <rFont val="맑은 고딕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비율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공수</t>
    </r>
    <r>
      <rPr>
        <sz val="9"/>
        <color rgb="FF595959"/>
        <rFont val="맑은 고딕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점수</t>
    </r>
    <r>
      <rPr>
        <sz val="9"/>
        <color rgb="FF595959"/>
        <rFont val="맑은 고딕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비율</t>
    </r>
  </si>
  <si>
    <r>
      <rPr>
        <sz val="10"/>
        <color rgb="FF000000"/>
        <rFont val="WenQuanYi Zen Hei"/>
        <family val="2"/>
      </rPr>
      <t xml:space="preserve">공통수학</t>
    </r>
    <r>
      <rPr>
        <sz val="10"/>
        <color rgb="FF000000"/>
        <rFont val="맑은 고딕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반영비율</t>
    </r>
  </si>
  <si>
    <r>
      <rPr>
        <sz val="9"/>
        <color rgb="FF595959"/>
        <rFont val="WenQuanYi Zen Hei"/>
        <family val="2"/>
      </rPr>
      <t xml:space="preserve">예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공수</t>
    </r>
    <r>
      <rPr>
        <sz val="9"/>
        <color rgb="FF595959"/>
        <rFont val="맑은 고딕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을 더 중시하려면 </t>
    </r>
    <r>
      <rPr>
        <sz val="9"/>
        <color rgb="FF595959"/>
        <rFont val="맑은 고딕"/>
        <family val="0"/>
        <charset val="1"/>
      </rPr>
      <t xml:space="preserve">1.5 / 1 </t>
    </r>
    <r>
      <rPr>
        <sz val="9"/>
        <color rgb="FF595959"/>
        <rFont val="WenQuanYi Zen Hei"/>
        <family val="2"/>
      </rPr>
      <t xml:space="preserve">처럼 입력</t>
    </r>
  </si>
  <si>
    <r>
      <rPr>
        <sz val="10"/>
        <color rgb="FF000000"/>
        <rFont val="WenQuanYi Zen Hei"/>
        <family val="2"/>
      </rPr>
      <t xml:space="preserve">경계 범위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</si>
  <si>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반 컷 점수와의 차이가 이 값 이내면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경계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로 표시 → 상담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재검토 대상</t>
    </r>
  </si>
  <si>
    <r>
      <rPr>
        <b val="true"/>
        <sz val="11"/>
        <color rgb="FF1F3864"/>
        <rFont val="WenQuanYi Zen Hei"/>
        <family val="2"/>
      </rPr>
      <t xml:space="preserve">③ 단원 목록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WenQuanYi Zen Hei"/>
        <family val="2"/>
      </rPr>
      <t xml:space="preserve">출제 설계 확인</t>
    </r>
  </si>
  <si>
    <t xml:space="preserve">과목</t>
  </si>
  <si>
    <t xml:space="preserve">단원</t>
  </si>
  <si>
    <t xml:space="preserve">문항 수</t>
  </si>
  <si>
    <t xml:space="preserve">배점 합</t>
  </si>
  <si>
    <r>
      <rPr>
        <b val="true"/>
        <sz val="10"/>
        <color rgb="FFFFFFFF"/>
        <rFont val="WenQuanYi Zen Hei"/>
        <family val="2"/>
      </rPr>
      <t xml:space="preserve">포함 내용</t>
    </r>
    <r>
      <rPr>
        <b val="true"/>
        <sz val="10"/>
        <color rgb="FFFFFFFF"/>
        <rFont val="맑은 고딕"/>
        <family val="0"/>
        <charset val="1"/>
      </rPr>
      <t xml:space="preserve">(2022 </t>
    </r>
    <r>
      <rPr>
        <b val="true"/>
        <sz val="10"/>
        <color rgb="FFFFFFFF"/>
        <rFont val="WenQuanYi Zen Hei"/>
        <family val="2"/>
      </rPr>
      <t xml:space="preserve">개정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</si>
  <si>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공통수학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</si>
  <si>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다항식</t>
  </si>
  <si>
    <r>
      <rPr>
        <sz val="9"/>
        <color rgb="FF000000"/>
        <rFont val="WenQuanYi Zen Hei"/>
        <family val="2"/>
      </rPr>
      <t xml:space="preserve">다항식의 연산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나머지정리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인수분해</t>
    </r>
  </si>
  <si>
    <t xml:space="preserve">방정식과 부등식</t>
  </si>
  <si>
    <r>
      <rPr>
        <sz val="9"/>
        <color rgb="FF000000"/>
        <rFont val="WenQuanYi Zen Hei"/>
        <family val="2"/>
      </rPr>
      <t xml:space="preserve">복소수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이차방정식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이차함수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여러 가지 방정식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부등식</t>
    </r>
  </si>
  <si>
    <t xml:space="preserve">경우의 수</t>
  </si>
  <si>
    <r>
      <rPr>
        <sz val="9"/>
        <color rgb="FF000000"/>
        <rFont val="WenQuanYi Zen Hei"/>
        <family val="2"/>
      </rPr>
      <t xml:space="preserve">합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곱의 법칙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순열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조합</t>
    </r>
  </si>
  <si>
    <t xml:space="preserve">행렬</t>
  </si>
  <si>
    <t xml:space="preserve">행렬과 그 연산</t>
  </si>
  <si>
    <r>
      <rPr>
        <b val="true"/>
        <sz val="10"/>
        <color rgb="FF000000"/>
        <rFont val="WenQuanYi Zen Hei"/>
        <family val="2"/>
      </rPr>
      <t xml:space="preserve">공통수학</t>
    </r>
    <r>
      <rPr>
        <b val="true"/>
        <sz val="10"/>
        <color rgb="FF000000"/>
        <rFont val="맑은 고딕"/>
        <family val="0"/>
        <charset val="1"/>
      </rPr>
      <t xml:space="preserve">1</t>
    </r>
  </si>
  <si>
    <r>
      <rPr>
        <sz val="9"/>
        <color rgb="FFC00000"/>
        <rFont val="WenQuanYi Zen Hei"/>
        <family val="2"/>
      </rPr>
      <t xml:space="preserve">← 문항 수 </t>
    </r>
    <r>
      <rPr>
        <sz val="9"/>
        <color rgb="FFC00000"/>
        <rFont val="맑은 고딕"/>
        <family val="0"/>
        <charset val="1"/>
      </rPr>
      <t xml:space="preserve">20, </t>
    </r>
    <r>
      <rPr>
        <sz val="9"/>
        <color rgb="FFC00000"/>
        <rFont val="WenQuanYi Zen Hei"/>
        <family val="2"/>
      </rPr>
      <t xml:space="preserve">배점 합 </t>
    </r>
    <r>
      <rPr>
        <sz val="9"/>
        <color rgb="FFC00000"/>
        <rFont val="맑은 고딕"/>
        <family val="0"/>
        <charset val="1"/>
      </rPr>
      <t xml:space="preserve">100</t>
    </r>
    <r>
      <rPr>
        <sz val="9"/>
        <color rgb="FFC00000"/>
        <rFont val="WenQuanYi Zen Hei"/>
        <family val="2"/>
      </rPr>
      <t xml:space="preserve">인지 확인</t>
    </r>
  </si>
  <si>
    <r>
      <rPr>
        <sz val="10"/>
        <color rgb="FF000000"/>
        <rFont val="WenQuanYi Zen Hei"/>
        <family val="2"/>
      </rPr>
      <t xml:space="preserve">공통수학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</si>
  <si>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도형의 방정식</t>
  </si>
  <si>
    <r>
      <rPr>
        <sz val="9"/>
        <color rgb="FF000000"/>
        <rFont val="WenQuanYi Zen Hei"/>
        <family val="2"/>
      </rPr>
      <t xml:space="preserve">평면좌표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직선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원의 방정식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도형의 이동</t>
    </r>
  </si>
  <si>
    <t xml:space="preserve">집합과 명제</t>
  </si>
  <si>
    <r>
      <rPr>
        <sz val="9"/>
        <color rgb="FF000000"/>
        <rFont val="WenQuanYi Zen Hei"/>
        <family val="2"/>
      </rPr>
      <t xml:space="preserve">집합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명제</t>
    </r>
  </si>
  <si>
    <t xml:space="preserve">함수와 그래프</t>
  </si>
  <si>
    <r>
      <rPr>
        <sz val="9"/>
        <color rgb="FF000000"/>
        <rFont val="WenQuanYi Zen Hei"/>
        <family val="2"/>
      </rPr>
      <t xml:space="preserve">함수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합성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역함수</t>
    </r>
    <r>
      <rPr>
        <sz val="9"/>
        <color rgb="FF000000"/>
        <rFont val="맑은 고딕"/>
        <family val="0"/>
        <charset val="1"/>
      </rPr>
      <t xml:space="preserve">, </t>
    </r>
    <r>
      <rPr>
        <sz val="9"/>
        <color rgb="FF000000"/>
        <rFont val="WenQuanYi Zen Hei"/>
        <family val="2"/>
      </rPr>
      <t xml:space="preserve">유리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무리함수</t>
    </r>
  </si>
  <si>
    <r>
      <rPr>
        <b val="true"/>
        <sz val="10"/>
        <color rgb="FF000000"/>
        <rFont val="WenQuanYi Zen Hei"/>
        <family val="2"/>
      </rPr>
      <t xml:space="preserve">공통수학</t>
    </r>
    <r>
      <rPr>
        <b val="true"/>
        <sz val="10"/>
        <color rgb="FF000000"/>
        <rFont val="맑은 고딕"/>
        <family val="0"/>
        <charset val="1"/>
      </rPr>
      <t xml:space="preserve">2</t>
    </r>
  </si>
  <si>
    <t xml:space="preserve">학생 명단</t>
  </si>
  <si>
    <r>
      <rPr>
        <sz val="9"/>
        <color rgb="FF595959"/>
        <rFont val="WenQuanYi Zen Hei"/>
        <family val="2"/>
      </rPr>
      <t xml:space="preserve">노란 칸에 학생 정보를 입력하세요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여기 입력한 순서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행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가 공수</t>
    </r>
    <r>
      <rPr>
        <sz val="9"/>
        <color rgb="FF595959"/>
        <rFont val="맑은 고딕"/>
        <family val="0"/>
        <charset val="1"/>
      </rPr>
      <t xml:space="preserve">1·</t>
    </r>
    <r>
      <rPr>
        <sz val="9"/>
        <color rgb="FF595959"/>
        <rFont val="WenQuanYi Zen Hei"/>
        <family val="2"/>
      </rPr>
      <t xml:space="preserve">공수</t>
    </r>
    <r>
      <rPr>
        <sz val="9"/>
        <color rgb="FF595959"/>
        <rFont val="맑은 고딕"/>
        <family val="0"/>
        <charset val="1"/>
      </rPr>
      <t xml:space="preserve">2·</t>
    </r>
    <r>
      <rPr>
        <sz val="9"/>
        <color rgb="FF595959"/>
        <rFont val="WenQuanYi Zen Hei"/>
        <family val="2"/>
      </rPr>
      <t xml:space="preserve">반배정 시트의 행과 그대로 연결됩니다</t>
    </r>
    <r>
      <rPr>
        <sz val="9"/>
        <color rgb="FF595959"/>
        <rFont val="맑은 고딕"/>
        <family val="0"/>
        <charset val="1"/>
      </rPr>
      <t xml:space="preserve">. 7</t>
    </r>
    <r>
      <rPr>
        <sz val="9"/>
        <color rgb="FF595959"/>
        <rFont val="WenQuanYi Zen Hei"/>
        <family val="2"/>
      </rPr>
      <t xml:space="preserve">행은 예시이니 지우고 사용하세요</t>
    </r>
    <r>
      <rPr>
        <sz val="9"/>
        <color rgb="FF595959"/>
        <rFont val="맑은 고딕"/>
        <family val="0"/>
        <charset val="1"/>
      </rPr>
      <t xml:space="preserve">.</t>
    </r>
  </si>
  <si>
    <t xml:space="preserve">No</t>
  </si>
  <si>
    <t xml:space="preserve">이름</t>
  </si>
  <si>
    <t xml:space="preserve">학교</t>
  </si>
  <si>
    <t xml:space="preserve">구분</t>
  </si>
  <si>
    <t xml:space="preserve">연락처</t>
  </si>
  <si>
    <t xml:space="preserve">비고</t>
  </si>
  <si>
    <r>
      <rPr>
        <sz val="10"/>
        <color rgb="FF000000"/>
        <rFont val="WenQuanYi Zen Hei"/>
        <family val="2"/>
      </rPr>
      <t xml:space="preserve">홍길동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예시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</si>
  <si>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OO</t>
    </r>
    <r>
      <rPr>
        <sz val="10"/>
        <color rgb="FF000000"/>
        <rFont val="WenQuanYi Zen Hei"/>
        <family val="2"/>
      </rPr>
      <t xml:space="preserve">중</t>
    </r>
  </si>
  <si>
    <t xml:space="preserve">외부</t>
  </si>
  <si>
    <t xml:space="preserve">010-0000-0000</t>
  </si>
  <si>
    <t xml:space="preserve">예시 행 — 삭제 후 사용</t>
  </si>
  <si>
    <r>
      <rPr>
        <b val="true"/>
        <sz val="14"/>
        <color rgb="FF1F3864"/>
        <rFont val="WenQuanYi Zen Hei"/>
        <family val="2"/>
      </rPr>
      <t xml:space="preserve">공통수학</t>
    </r>
    <r>
      <rPr>
        <b val="true"/>
        <sz val="14"/>
        <color rgb="FF1F3864"/>
        <rFont val="맑은 고딕"/>
        <family val="0"/>
        <charset val="1"/>
      </rPr>
      <t xml:space="preserve">1 </t>
    </r>
    <r>
      <rPr>
        <b val="true"/>
        <sz val="14"/>
        <color rgb="FF1F3864"/>
        <rFont val="WenQuanYi Zen Hei"/>
        <family val="2"/>
      </rPr>
      <t xml:space="preserve">채점표</t>
    </r>
  </si>
  <si>
    <r>
      <rPr>
        <sz val="9"/>
        <color rgb="FF595959"/>
        <rFont val="맑은 고딕"/>
        <family val="0"/>
        <charset val="1"/>
      </rPr>
      <t xml:space="preserve">① 2~5</t>
    </r>
    <r>
      <rPr>
        <sz val="9"/>
        <color rgb="FF595959"/>
        <rFont val="WenQuanYi Zen Hei"/>
        <family val="2"/>
      </rPr>
      <t xml:space="preserve">행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노란 칸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에 정답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배점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단원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난이도 입력  ② 학생 행에 학생이 쓴 답을 그대로 입력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객관식 </t>
    </r>
    <r>
      <rPr>
        <sz val="9"/>
        <color rgb="FF595959"/>
        <rFont val="맑은 고딕"/>
        <family val="0"/>
        <charset val="1"/>
      </rPr>
      <t xml:space="preserve">1~5, </t>
    </r>
    <r>
      <rPr>
        <sz val="9"/>
        <color rgb="FF595959"/>
        <rFont val="WenQuanYi Zen Hei"/>
        <family val="2"/>
      </rPr>
      <t xml:space="preserve">단답형 </t>
    </r>
    <r>
      <rPr>
        <sz val="9"/>
        <color rgb="FF595959"/>
        <rFont val="맑은 고딕"/>
        <family val="0"/>
        <charset val="1"/>
      </rPr>
      <t xml:space="preserve">0~999) → </t>
    </r>
    <r>
      <rPr>
        <sz val="9"/>
        <color rgb="FF595959"/>
        <rFont val="WenQuanYi Zen Hei"/>
        <family val="2"/>
      </rPr>
      <t xml:space="preserve">틀린 답은 빨간 칸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점수 자동 계산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결시생은 비워두면 미응시 처리</t>
    </r>
    <r>
      <rPr>
        <sz val="9"/>
        <color rgb="FF595959"/>
        <rFont val="맑은 고딕"/>
        <family val="0"/>
        <charset val="1"/>
      </rPr>
      <t xml:space="preserve">.</t>
    </r>
  </si>
  <si>
    <t xml:space="preserve">정답 ▶</t>
  </si>
  <si>
    <t xml:space="preserve">배점 ▶</t>
  </si>
  <si>
    <t xml:space="preserve">단원 ▶</t>
  </si>
  <si>
    <t xml:space="preserve">난이도 ▶</t>
  </si>
  <si>
    <t xml:space="preserve">하</t>
  </si>
  <si>
    <t xml:space="preserve">중</t>
  </si>
  <si>
    <t xml:space="preserve">상</t>
  </si>
  <si>
    <t xml:space="preserve">최상</t>
  </si>
  <si>
    <t xml:space="preserve">정답입력수▲</t>
  </si>
  <si>
    <t xml:space="preserve">만점 ▲</t>
  </si>
  <si>
    <r>
      <rPr>
        <b val="true"/>
        <sz val="9"/>
        <color rgb="FFFFFFFF"/>
        <rFont val="맑은 고딕"/>
        <family val="0"/>
        <charset val="1"/>
      </rPr>
      <t xml:space="preserve">1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</si>
  <si>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2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</si>
  <si>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3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</si>
  <si>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4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</si>
  <si>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5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</si>
  <si>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6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</si>
  <si>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7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</si>
  <si>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8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</si>
  <si>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9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</si>
  <si>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10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</si>
  <si>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11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</si>
  <si>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12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</si>
  <si>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13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</si>
  <si>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14
</t>
    </r>
    <r>
      <rPr>
        <b val="true"/>
        <sz val="9"/>
        <color rgb="FFFFFFFF"/>
        <rFont val="WenQuanYi Zen Hei"/>
        <family val="2"/>
      </rPr>
      <t xml:space="preserve">객관식</t>
    </r>
  </si>
  <si>
    <r>
      <rPr>
        <b val="true"/>
        <sz val="9"/>
        <color rgb="FFFFFFFF"/>
        <rFont val="맑은 고딕"/>
        <family val="0"/>
        <charset val="1"/>
      </rPr>
      <t xml:space="preserve">15
</t>
    </r>
    <r>
      <rPr>
        <b val="true"/>
        <sz val="9"/>
        <color rgb="FFFFFFFF"/>
        <rFont val="WenQuanYi Zen Hei"/>
        <family val="2"/>
      </rPr>
      <t xml:space="preserve">단답형</t>
    </r>
  </si>
  <si>
    <r>
      <rPr>
        <b val="true"/>
        <sz val="9"/>
        <color rgb="FFFFFFFF"/>
        <rFont val="맑은 고딕"/>
        <family val="0"/>
        <charset val="1"/>
      </rPr>
      <t xml:space="preserve">16
</t>
    </r>
    <r>
      <rPr>
        <b val="true"/>
        <sz val="9"/>
        <color rgb="FFFFFFFF"/>
        <rFont val="WenQuanYi Zen Hei"/>
        <family val="2"/>
      </rPr>
      <t xml:space="preserve">단답형</t>
    </r>
  </si>
  <si>
    <r>
      <rPr>
        <b val="true"/>
        <sz val="9"/>
        <color rgb="FFFFFFFF"/>
        <rFont val="맑은 고딕"/>
        <family val="0"/>
        <charset val="1"/>
      </rPr>
      <t xml:space="preserve">17
</t>
    </r>
    <r>
      <rPr>
        <b val="true"/>
        <sz val="9"/>
        <color rgb="FFFFFFFF"/>
        <rFont val="WenQuanYi Zen Hei"/>
        <family val="2"/>
      </rPr>
      <t xml:space="preserve">단답형</t>
    </r>
  </si>
  <si>
    <r>
      <rPr>
        <b val="true"/>
        <sz val="9"/>
        <color rgb="FFFFFFFF"/>
        <rFont val="맑은 고딕"/>
        <family val="0"/>
        <charset val="1"/>
      </rPr>
      <t xml:space="preserve">18
</t>
    </r>
    <r>
      <rPr>
        <b val="true"/>
        <sz val="9"/>
        <color rgb="FFFFFFFF"/>
        <rFont val="WenQuanYi Zen Hei"/>
        <family val="2"/>
      </rPr>
      <t xml:space="preserve">단답형</t>
    </r>
  </si>
  <si>
    <r>
      <rPr>
        <b val="true"/>
        <sz val="9"/>
        <color rgb="FFFFFFFF"/>
        <rFont val="맑은 고딕"/>
        <family val="0"/>
        <charset val="1"/>
      </rPr>
      <t xml:space="preserve">19
</t>
    </r>
    <r>
      <rPr>
        <b val="true"/>
        <sz val="9"/>
        <color rgb="FFFFFFFF"/>
        <rFont val="WenQuanYi Zen Hei"/>
        <family val="2"/>
      </rPr>
      <t xml:space="preserve">단답형</t>
    </r>
  </si>
  <si>
    <r>
      <rPr>
        <b val="true"/>
        <sz val="9"/>
        <color rgb="FFFFFFFF"/>
        <rFont val="맑은 고딕"/>
        <family val="0"/>
        <charset val="1"/>
      </rPr>
      <t xml:space="preserve">20
</t>
    </r>
    <r>
      <rPr>
        <b val="true"/>
        <sz val="9"/>
        <color rgb="FFFFFFFF"/>
        <rFont val="WenQuanYi Zen Hei"/>
        <family val="2"/>
      </rPr>
      <t xml:space="preserve">단답형</t>
    </r>
  </si>
  <si>
    <t xml:space="preserve">맞힌
개수</t>
  </si>
  <si>
    <t xml:space="preserve">총점</t>
  </si>
  <si>
    <r>
      <rPr>
        <b val="true"/>
        <sz val="14"/>
        <color rgb="FF1F3864"/>
        <rFont val="WenQuanYi Zen Hei"/>
        <family val="2"/>
      </rPr>
      <t xml:space="preserve">공통수학</t>
    </r>
    <r>
      <rPr>
        <b val="true"/>
        <sz val="14"/>
        <color rgb="FF1F3864"/>
        <rFont val="맑은 고딕"/>
        <family val="0"/>
        <charset val="1"/>
      </rPr>
      <t xml:space="preserve">2 </t>
    </r>
    <r>
      <rPr>
        <b val="true"/>
        <sz val="14"/>
        <color rgb="FF1F3864"/>
        <rFont val="WenQuanYi Zen Hei"/>
        <family val="2"/>
      </rPr>
      <t xml:space="preserve">채점표</t>
    </r>
  </si>
  <si>
    <t xml:space="preserve">반 배정</t>
  </si>
  <si>
    <r>
      <rPr>
        <sz val="9"/>
        <color rgb="FF595959"/>
        <rFont val="WenQuanYi Zen Hei"/>
        <family val="2"/>
      </rPr>
      <t xml:space="preserve">자동 계산 시트입니다</t>
    </r>
    <r>
      <rPr>
        <sz val="9"/>
        <color rgb="FF595959"/>
        <rFont val="맑은 고딕"/>
        <family val="0"/>
        <charset val="1"/>
      </rPr>
      <t xml:space="preserve">. 'K</t>
    </r>
    <r>
      <rPr>
        <sz val="9"/>
        <color rgb="FF595959"/>
        <rFont val="WenQuanYi Zen Hei"/>
        <family val="2"/>
      </rPr>
      <t xml:space="preserve">열 수동조정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에서만 반을 바꿀 수 있고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상담 결과 반영 등</t>
    </r>
    <r>
      <rPr>
        <sz val="9"/>
        <color rgb="FF595959"/>
        <rFont val="맑은 고딕"/>
        <family val="0"/>
        <charset val="1"/>
      </rPr>
      <t xml:space="preserve">), </t>
    </r>
    <r>
      <rPr>
        <sz val="9"/>
        <color rgb="FF595959"/>
        <rFont val="WenQuanYi Zen Hei"/>
        <family val="2"/>
      </rPr>
      <t xml:space="preserve">최종반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수동조정이 있으면 그 값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없으면 자동배정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주황색 행 </t>
    </r>
    <r>
      <rPr>
        <sz val="9"/>
        <color rgb="FF595959"/>
        <rFont val="맑은 고딕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반 경계 점수대 학생</t>
    </r>
    <r>
      <rPr>
        <sz val="9"/>
        <color rgb="FF595959"/>
        <rFont val="맑은 고딕"/>
        <family val="0"/>
        <charset val="1"/>
      </rPr>
      <t xml:space="preserve">.</t>
    </r>
  </si>
  <si>
    <t xml:space="preserve">반별 요약</t>
  </si>
  <si>
    <r>
      <rPr>
        <b val="true"/>
        <sz val="10"/>
        <color rgb="FFFFFFFF"/>
        <rFont val="WenQuanYi Zen Hei"/>
        <family val="2"/>
      </rPr>
      <t xml:space="preserve">공수</t>
    </r>
    <r>
      <rPr>
        <b val="true"/>
        <sz val="10"/>
        <color rgb="FFFFFFFF"/>
        <rFont val="맑은 고딕"/>
        <family val="0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</si>
  <si>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공수</t>
    </r>
    <r>
      <rPr>
        <b val="true"/>
        <sz val="10"/>
        <color rgb="FFFFFFFF"/>
        <rFont val="맑은 고딕"/>
        <family val="0"/>
        <charset val="1"/>
      </rPr>
      <t xml:space="preserve">2</t>
    </r>
  </si>
  <si>
    <t xml:space="preserve">환산총점</t>
  </si>
  <si>
    <t xml:space="preserve">석차</t>
  </si>
  <si>
    <t xml:space="preserve">자동배정</t>
  </si>
  <si>
    <t xml:space="preserve">경계</t>
  </si>
  <si>
    <t xml:space="preserve">수동조정</t>
  </si>
  <si>
    <t xml:space="preserve">최종반</t>
  </si>
  <si>
    <t xml:space="preserve">정렬키</t>
  </si>
  <si>
    <t xml:space="preserve">정원</t>
  </si>
  <si>
    <t xml:space="preserve">자동
인원</t>
  </si>
  <si>
    <t xml:space="preserve">최종
인원</t>
  </si>
  <si>
    <r>
      <rPr>
        <b val="true"/>
        <sz val="10"/>
        <color rgb="FFFFFFFF"/>
        <rFont val="WenQuanYi Zen Hei"/>
        <family val="2"/>
      </rPr>
      <t xml:space="preserve">자동컷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최저점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</si>
  <si>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최종
평균</t>
  </si>
  <si>
    <t xml:space="preserve">재원</t>
  </si>
  <si>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경계 </t>
    </r>
    <r>
      <rPr>
        <sz val="9"/>
        <color rgb="FF595959"/>
        <rFont val="맑은 고딕"/>
        <family val="0"/>
        <charset val="1"/>
      </rPr>
      <t xml:space="preserve">= 1·2</t>
    </r>
    <r>
      <rPr>
        <sz val="9"/>
        <color rgb="FF595959"/>
        <rFont val="WenQuanYi Zen Hei"/>
        <family val="2"/>
      </rPr>
      <t xml:space="preserve">반 자동컷 점수와 차이가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설정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경계 범위 이내인 학생
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WenQuanYi Zen Hei"/>
        <family val="2"/>
      </rPr>
      <t xml:space="preserve">수동조정한 학생은 최종 인원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평균에 반영됩니다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자동컷은 그대로</t>
    </r>
    <r>
      <rPr>
        <sz val="9"/>
        <color rgb="FF595959"/>
        <rFont val="맑은 고딕"/>
        <family val="0"/>
        <charset val="1"/>
      </rPr>
      <t xml:space="preserve">)</t>
    </r>
  </si>
  <si>
    <r>
      <rPr>
        <b val="true"/>
        <sz val="14"/>
        <color rgb="FF1F3864"/>
        <rFont val="WenQuanYi Zen Hei"/>
        <family val="2"/>
      </rPr>
      <t xml:space="preserve">석차순 명단 </t>
    </r>
    <r>
      <rPr>
        <b val="true"/>
        <sz val="14"/>
        <color rgb="FF1F3864"/>
        <rFont val="맑은 고딕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발표</t>
    </r>
    <r>
      <rPr>
        <b val="true"/>
        <sz val="14"/>
        <color rgb="FF1F3864"/>
        <rFont val="맑은 고딕"/>
        <family val="0"/>
        <charset val="1"/>
      </rPr>
      <t xml:space="preserve">·</t>
    </r>
    <r>
      <rPr>
        <b val="true"/>
        <sz val="14"/>
        <color rgb="FF1F3864"/>
        <rFont val="WenQuanYi Zen Hei"/>
        <family val="2"/>
      </rPr>
      <t xml:space="preserve">상담용</t>
    </r>
    <r>
      <rPr>
        <b val="true"/>
        <sz val="14"/>
        <color rgb="FF1F3864"/>
        <rFont val="맑은 고딕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</si>
  <si>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자동 정렬됩니다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인쇄 시 그대로 사용하세요</t>
    </r>
    <r>
      <rPr>
        <sz val="9"/>
        <color rgb="FF595959"/>
        <rFont val="맑은 고딕"/>
        <family val="0"/>
        <charset val="1"/>
      </rPr>
      <t xml:space="preserve">.</t>
    </r>
  </si>
  <si>
    <t xml:space="preserve">문항 분석</t>
  </si>
  <si>
    <r>
      <rPr>
        <sz val="9"/>
        <color rgb="FF595959"/>
        <rFont val="WenQuanYi Zen Hei"/>
        <family val="2"/>
      </rPr>
      <t xml:space="preserve">변별도 </t>
    </r>
    <r>
      <rPr>
        <sz val="9"/>
        <color rgb="FF595959"/>
        <rFont val="맑은 고딕"/>
        <family val="0"/>
        <charset val="1"/>
      </rPr>
      <t xml:space="preserve">= 1</t>
    </r>
    <r>
      <rPr>
        <sz val="9"/>
        <color rgb="FF595959"/>
        <rFont val="WenQuanYi Zen Hei"/>
        <family val="2"/>
      </rPr>
      <t xml:space="preserve">반 정답률 − </t>
    </r>
    <r>
      <rPr>
        <sz val="9"/>
        <color rgb="FF595959"/>
        <rFont val="맑은 고딕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반 정답률 </t>
    </r>
    <r>
      <rPr>
        <sz val="9"/>
        <color rgb="FF595959"/>
        <rFont val="맑은 고딕"/>
        <family val="0"/>
        <charset val="1"/>
      </rPr>
      <t xml:space="preserve">(0.3 </t>
    </r>
    <r>
      <rPr>
        <sz val="9"/>
        <color rgb="FF595959"/>
        <rFont val="WenQuanYi Zen Hei"/>
        <family val="2"/>
      </rPr>
      <t xml:space="preserve">이상이면 반을 잘 가르는 문항</t>
    </r>
    <r>
      <rPr>
        <sz val="9"/>
        <color rgb="FF595959"/>
        <rFont val="맑은 고딕"/>
        <family val="0"/>
        <charset val="1"/>
      </rPr>
      <t xml:space="preserve">). </t>
    </r>
    <r>
      <rPr>
        <sz val="9"/>
        <color rgb="FF595959"/>
        <rFont val="WenQuanYi Zen Hei"/>
        <family val="2"/>
      </rPr>
      <t xml:space="preserve">객관식은 선지별 선택 인원으로 매력적 오답을 확인하세요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</si>
  <si>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WenQuanYi Zen Hei"/>
        <family val="2"/>
      </rPr>
      <t xml:space="preserve">공통수학</t>
    </r>
    <r>
      <rPr>
        <b val="true"/>
        <sz val="11"/>
        <color rgb="FF1F3864"/>
        <rFont val="맑은 고딕"/>
        <family val="0"/>
        <charset val="1"/>
      </rPr>
      <t xml:space="preserve">1</t>
    </r>
  </si>
  <si>
    <t xml:space="preserve">문항</t>
  </si>
  <si>
    <t xml:space="preserve">유형</t>
  </si>
  <si>
    <t xml:space="preserve">난이도</t>
  </si>
  <si>
    <t xml:space="preserve">배점</t>
  </si>
  <si>
    <t xml:space="preserve">정답</t>
  </si>
  <si>
    <t xml:space="preserve">응시</t>
  </si>
  <si>
    <t xml:space="preserve">정답자</t>
  </si>
  <si>
    <t xml:space="preserve">정답률</t>
  </si>
  <si>
    <t xml:space="preserve">변별도</t>
  </si>
  <si>
    <t xml:space="preserve">진단</t>
  </si>
  <si>
    <t xml:space="preserve">①</t>
  </si>
  <si>
    <t xml:space="preserve">②</t>
  </si>
  <si>
    <t xml:space="preserve">③</t>
  </si>
  <si>
    <t xml:space="preserve">④</t>
  </si>
  <si>
    <t xml:space="preserve">⑤</t>
  </si>
  <si>
    <t xml:space="preserve">객관식</t>
  </si>
  <si>
    <t xml:space="preserve">단답형</t>
  </si>
  <si>
    <t xml:space="preserve">-</t>
  </si>
  <si>
    <r>
      <rPr>
        <b val="true"/>
        <sz val="11"/>
        <color rgb="FF1F3864"/>
        <rFont val="WenQuanYi Zen Hei"/>
        <family val="2"/>
      </rPr>
      <t xml:space="preserve">공통수학</t>
    </r>
    <r>
      <rPr>
        <b val="true"/>
        <sz val="11"/>
        <color rgb="FF1F3864"/>
        <rFont val="맑은 고딕"/>
        <family val="0"/>
        <charset val="1"/>
      </rPr>
      <t xml:space="preserve">2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</si>
</sst>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#"/>
    <numFmt numFmtId="167" formatCode="0.0"/>
    <numFmt numFmtId="168" formatCode="0%"/>
    <numFmt numFmtId="169" formatCode="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맑은 고딕"/>
      <family val="0"/>
      <charset val="1"/>
    </font>
    <font>
      <sz val="9"/>
      <color rgb="FF595959"/>
      <name val="WenQuanYi Zen Hei"/>
      <family val="2"/>
    </font>
    <font>
      <sz val="9"/>
      <color rgb="FF595959"/>
      <name val="맑은 고딕"/>
      <family val="0"/>
      <charset val="1"/>
    </font>
    <font>
      <b val="true"/>
      <sz val="11"/>
      <color rgb="FF1F3864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10"/>
      <color rgb="FF000000"/>
      <name val="WenQuanYi Zen Hei"/>
      <family val="2"/>
    </font>
    <font>
      <b val="true"/>
      <sz val="10"/>
      <color rgb="FF000000"/>
      <name val="WenQuanYi Zen Hei"/>
      <family val="2"/>
    </font>
    <font>
      <b val="true"/>
      <sz val="11"/>
      <color rgb="FF1F3864"/>
      <name val="맑은 고딕"/>
      <family val="0"/>
      <charset val="1"/>
    </font>
    <font>
      <sz val="9"/>
      <color rgb="FF000000"/>
      <name val="WenQuanYi Zen Hei"/>
      <family val="2"/>
    </font>
    <font>
      <sz val="9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sz val="9"/>
      <color rgb="FFC00000"/>
      <name val="WenQuanYi Zen Hei"/>
      <family val="2"/>
    </font>
    <font>
      <sz val="9"/>
      <color rgb="FFC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sz val="8"/>
      <color rgb="FF000000"/>
      <name val="WenQuanYi Zen Hei"/>
      <family val="2"/>
    </font>
    <font>
      <sz val="8"/>
      <color rgb="FF595959"/>
      <name val="WenQuanYi Zen Hei"/>
      <family val="2"/>
    </font>
    <font>
      <b val="true"/>
      <sz val="9"/>
      <color rgb="FFFFFFFF"/>
      <name val="맑은 고딕"/>
      <family val="0"/>
      <charset val="1"/>
    </font>
    <font>
      <b val="true"/>
      <sz val="9"/>
      <color rgb="FFFFFFFF"/>
      <name val="WenQuanYi Zen Hei"/>
      <family val="2"/>
    </font>
    <font>
      <b val="true"/>
      <sz val="10"/>
      <color rgb="FFC55A11"/>
      <name val="맑은 고딕"/>
      <family val="0"/>
      <charset val="1"/>
    </font>
    <font>
      <sz val="9"/>
      <color rgb="FFA6A6A6"/>
      <name val="맑은 고딕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BE5D6"/>
      </patternFill>
    </fill>
    <fill>
      <patternFill patternType="solid">
        <fgColor rgb="FFD9E1F2"/>
        <bgColor rgb="FFDDEBF7"/>
      </patternFill>
    </fill>
    <fill>
      <patternFill patternType="solid">
        <fgColor rgb="FF7030A0"/>
        <bgColor rgb="FF993366"/>
      </patternFill>
    </fill>
    <fill>
      <patternFill patternType="solid">
        <fgColor rgb="FF2F5597"/>
        <bgColor rgb="FF1F3864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BE5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00000"/>
      </font>
      <fill>
        <patternFill>
          <bgColor rgb="FFF8CBAD"/>
        </patternFill>
      </fill>
    </dxf>
    <dxf>
      <fill>
        <patternFill>
          <bgColor rgb="FFFF9999"/>
        </patternFill>
      </fill>
    </dxf>
    <dxf>
      <fill>
        <patternFill>
          <bgColor rgb="FFFBE5D6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BE5D6"/>
      <rgbColor rgb="FFC6E0B4"/>
      <rgbColor rgb="FFFF9999"/>
      <rgbColor rgb="FFFCE4D6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4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true" outlineLevel="0" collapsed="false">
      <c r="A6" s="5" t="s">
        <v>6</v>
      </c>
      <c r="B6" s="6" t="s">
        <v>7</v>
      </c>
      <c r="C6" s="6" t="n">
        <v>20</v>
      </c>
      <c r="E6" s="2" t="s">
        <v>8</v>
      </c>
      <c r="F6" s="2"/>
    </row>
    <row r="7" customFormat="false" ht="15" hidden="false" customHeight="false" outlineLevel="0" collapsed="false">
      <c r="A7" s="5" t="s">
        <v>9</v>
      </c>
      <c r="B7" s="6" t="s">
        <v>10</v>
      </c>
      <c r="C7" s="6" t="n">
        <v>20</v>
      </c>
      <c r="E7" s="2"/>
      <c r="F7" s="2"/>
    </row>
    <row r="8" customFormat="false" ht="15" hidden="false" customHeight="false" outlineLevel="0" collapsed="false">
      <c r="A8" s="5" t="s">
        <v>11</v>
      </c>
      <c r="B8" s="6" t="s">
        <v>12</v>
      </c>
      <c r="C8" s="6" t="n">
        <v>20</v>
      </c>
      <c r="E8" s="2"/>
      <c r="F8" s="2"/>
    </row>
    <row r="9" customFormat="false" ht="15" hidden="false" customHeight="false" outlineLevel="0" collapsed="false">
      <c r="A9" s="7" t="s">
        <v>13</v>
      </c>
      <c r="B9" s="5"/>
      <c r="C9" s="7" t="n">
        <f aca="false">SUM(C6:C8)</f>
        <v>60</v>
      </c>
    </row>
    <row r="11" customFormat="false" ht="15" hidden="false" customHeight="false" outlineLevel="0" collapsed="false">
      <c r="A11" s="3" t="s">
        <v>14</v>
      </c>
    </row>
    <row r="12" customFormat="false" ht="15" hidden="false" customHeight="false" outlineLevel="0" collapsed="false">
      <c r="B12" s="4" t="s">
        <v>15</v>
      </c>
      <c r="C12" s="4" t="s">
        <v>16</v>
      </c>
    </row>
    <row r="13" customFormat="false" ht="15" hidden="false" customHeight="false" outlineLevel="0" collapsed="false">
      <c r="B13" s="8" t="s">
        <v>17</v>
      </c>
      <c r="C13" s="6" t="n">
        <v>1</v>
      </c>
      <c r="E13" s="9" t="s">
        <v>18</v>
      </c>
    </row>
    <row r="14" customFormat="false" ht="15" hidden="false" customHeight="false" outlineLevel="0" collapsed="false">
      <c r="B14" s="8" t="s">
        <v>19</v>
      </c>
      <c r="C14" s="6" t="n">
        <v>1</v>
      </c>
      <c r="E14" s="9" t="s">
        <v>20</v>
      </c>
    </row>
    <row r="15" customFormat="false" ht="25.35" hidden="false" customHeight="false" outlineLevel="0" collapsed="false">
      <c r="B15" s="8" t="s">
        <v>21</v>
      </c>
      <c r="C15" s="6" t="n">
        <v>5</v>
      </c>
      <c r="E15" s="9" t="s">
        <v>22</v>
      </c>
    </row>
    <row r="17" customFormat="false" ht="42.5" hidden="false" customHeight="false" outlineLevel="0" collapsed="false">
      <c r="A17" s="3" t="s">
        <v>23</v>
      </c>
    </row>
    <row r="18" customFormat="false" ht="15" hidden="false" customHeight="false" outlineLevel="0" collapsed="false">
      <c r="A18" s="4" t="s">
        <v>24</v>
      </c>
      <c r="B18" s="4" t="s">
        <v>25</v>
      </c>
      <c r="C18" s="4" t="s">
        <v>26</v>
      </c>
      <c r="D18" s="4" t="s">
        <v>27</v>
      </c>
      <c r="E18" s="4" t="s">
        <v>28</v>
      </c>
    </row>
    <row r="19" customFormat="false" ht="15" hidden="false" customHeight="false" outlineLevel="0" collapsed="false">
      <c r="A19" s="8" t="s">
        <v>29</v>
      </c>
      <c r="B19" s="6" t="s">
        <v>30</v>
      </c>
      <c r="C19" s="10" t="n">
        <f aca="false">COUNTIF(공수1!$D$4:$W$4,B19)</f>
        <v>5</v>
      </c>
      <c r="D19" s="10" t="n">
        <f aca="false">SUMIF(공수1!$D$4:$W$4,B19,공수1!$D$3:$W$3)</f>
        <v>25</v>
      </c>
      <c r="E19" s="11" t="s">
        <v>31</v>
      </c>
    </row>
    <row r="20" customFormat="false" ht="15" hidden="false" customHeight="false" outlineLevel="0" collapsed="false">
      <c r="A20" s="8" t="s">
        <v>29</v>
      </c>
      <c r="B20" s="6" t="s">
        <v>32</v>
      </c>
      <c r="C20" s="10" t="n">
        <f aca="false">COUNTIF(공수1!$D$4:$W$4,B20)</f>
        <v>8</v>
      </c>
      <c r="D20" s="10" t="n">
        <f aca="false">SUMIF(공수1!$D$4:$W$4,B20,공수1!$D$3:$W$3)</f>
        <v>40</v>
      </c>
      <c r="E20" s="11" t="s">
        <v>33</v>
      </c>
    </row>
    <row r="21" customFormat="false" ht="15" hidden="false" customHeight="false" outlineLevel="0" collapsed="false">
      <c r="A21" s="8" t="s">
        <v>29</v>
      </c>
      <c r="B21" s="6" t="s">
        <v>34</v>
      </c>
      <c r="C21" s="10" t="n">
        <f aca="false">COUNTIF(공수1!$D$4:$W$4,B21)</f>
        <v>4</v>
      </c>
      <c r="D21" s="10" t="n">
        <f aca="false">SUMIF(공수1!$D$4:$W$4,B21,공수1!$D$3:$W$3)</f>
        <v>20</v>
      </c>
      <c r="E21" s="11" t="s">
        <v>35</v>
      </c>
    </row>
    <row r="22" customFormat="false" ht="15" hidden="false" customHeight="false" outlineLevel="0" collapsed="false">
      <c r="A22" s="8" t="s">
        <v>29</v>
      </c>
      <c r="B22" s="6" t="s">
        <v>36</v>
      </c>
      <c r="C22" s="10" t="n">
        <f aca="false">COUNTIF(공수1!$D$4:$W$4,B22)</f>
        <v>3</v>
      </c>
      <c r="D22" s="10" t="n">
        <f aca="false">SUMIF(공수1!$D$4:$W$4,B22,공수1!$D$3:$W$3)</f>
        <v>15</v>
      </c>
      <c r="E22" s="11" t="s">
        <v>37</v>
      </c>
    </row>
    <row r="23" customFormat="false" ht="15" hidden="false" customHeight="false" outlineLevel="0" collapsed="false">
      <c r="A23" s="7" t="s">
        <v>38</v>
      </c>
      <c r="B23" s="7" t="s">
        <v>13</v>
      </c>
      <c r="C23" s="7" t="n">
        <f aca="false">SUM(C19:C22)</f>
        <v>20</v>
      </c>
      <c r="D23" s="7" t="n">
        <f aca="false">SUM(D19:D22)</f>
        <v>100</v>
      </c>
      <c r="E23" s="12" t="s">
        <v>39</v>
      </c>
    </row>
    <row r="24" customFormat="false" ht="15" hidden="false" customHeight="false" outlineLevel="0" collapsed="false">
      <c r="A24" s="8" t="s">
        <v>40</v>
      </c>
      <c r="B24" s="6" t="s">
        <v>41</v>
      </c>
      <c r="C24" s="10" t="n">
        <f aca="false">COUNTIF(공수2!$D$4:$W$4,B24)</f>
        <v>8</v>
      </c>
      <c r="D24" s="10" t="n">
        <f aca="false">SUMIF(공수2!$D$4:$W$4,B24,공수2!$D$3:$W$3)</f>
        <v>40</v>
      </c>
      <c r="E24" s="11" t="s">
        <v>42</v>
      </c>
    </row>
    <row r="25" customFormat="false" ht="15" hidden="false" customHeight="false" outlineLevel="0" collapsed="false">
      <c r="A25" s="8" t="s">
        <v>40</v>
      </c>
      <c r="B25" s="6" t="s">
        <v>43</v>
      </c>
      <c r="C25" s="10" t="n">
        <f aca="false">COUNTIF(공수2!$D$4:$W$4,B25)</f>
        <v>6</v>
      </c>
      <c r="D25" s="10" t="n">
        <f aca="false">SUMIF(공수2!$D$4:$W$4,B25,공수2!$D$3:$W$3)</f>
        <v>30</v>
      </c>
      <c r="E25" s="11" t="s">
        <v>44</v>
      </c>
    </row>
    <row r="26" customFormat="false" ht="15" hidden="false" customHeight="false" outlineLevel="0" collapsed="false">
      <c r="A26" s="8" t="s">
        <v>40</v>
      </c>
      <c r="B26" s="6" t="s">
        <v>45</v>
      </c>
      <c r="C26" s="10" t="n">
        <f aca="false">COUNTIF(공수2!$D$4:$W$4,B26)</f>
        <v>6</v>
      </c>
      <c r="D26" s="10" t="n">
        <f aca="false">SUMIF(공수2!$D$4:$W$4,B26,공수2!$D$3:$W$3)</f>
        <v>30</v>
      </c>
      <c r="E26" s="11" t="s">
        <v>46</v>
      </c>
    </row>
    <row r="27" customFormat="false" ht="15" hidden="false" customHeight="false" outlineLevel="0" collapsed="false">
      <c r="A27" s="7" t="s">
        <v>47</v>
      </c>
      <c r="B27" s="7" t="s">
        <v>13</v>
      </c>
      <c r="C27" s="7" t="n">
        <f aca="false">SUM(C24:C26)</f>
        <v>20</v>
      </c>
      <c r="D27" s="7" t="n">
        <f aca="false">SUM(D24:D26)</f>
        <v>100</v>
      </c>
      <c r="E27" s="12" t="s">
        <v>39</v>
      </c>
    </row>
  </sheetData>
  <mergeCells count="3">
    <mergeCell ref="A1:F1"/>
    <mergeCell ref="A2:F2"/>
    <mergeCell ref="E6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25.5" hidden="false" customHeight="true" outlineLevel="0" collapsed="false">
      <c r="A1" s="1" t="s">
        <v>48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49</v>
      </c>
      <c r="B2" s="2"/>
      <c r="C2" s="2"/>
      <c r="D2" s="2"/>
      <c r="E2" s="2"/>
      <c r="F2" s="2"/>
    </row>
    <row r="6" customFormat="false" ht="15" hidden="false" customHeight="false" outlineLevel="0" collapsed="false">
      <c r="A6" s="13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</row>
    <row r="7" customFormat="false" ht="15" hidden="false" customHeight="false" outlineLevel="0" collapsed="false">
      <c r="A7" s="5" t="n">
        <v>1</v>
      </c>
      <c r="B7" s="6" t="s">
        <v>56</v>
      </c>
      <c r="C7" s="14" t="s">
        <v>57</v>
      </c>
      <c r="D7" s="6" t="s">
        <v>58</v>
      </c>
      <c r="E7" s="14" t="s">
        <v>59</v>
      </c>
      <c r="F7" s="15" t="s">
        <v>60</v>
      </c>
    </row>
    <row r="8" customFormat="false" ht="15" hidden="false" customHeight="false" outlineLevel="0" collapsed="false">
      <c r="A8" s="5" t="n">
        <v>2</v>
      </c>
      <c r="B8" s="14"/>
      <c r="C8" s="14"/>
      <c r="D8" s="6"/>
      <c r="E8" s="14"/>
      <c r="F8" s="15"/>
    </row>
    <row r="9" customFormat="false" ht="15" hidden="false" customHeight="false" outlineLevel="0" collapsed="false">
      <c r="A9" s="5" t="n">
        <v>3</v>
      </c>
      <c r="B9" s="14"/>
      <c r="C9" s="14"/>
      <c r="D9" s="6"/>
      <c r="E9" s="14"/>
      <c r="F9" s="15"/>
    </row>
    <row r="10" customFormat="false" ht="15" hidden="false" customHeight="false" outlineLevel="0" collapsed="false">
      <c r="A10" s="5" t="n">
        <v>4</v>
      </c>
      <c r="B10" s="14"/>
      <c r="C10" s="14"/>
      <c r="D10" s="6"/>
      <c r="E10" s="14"/>
      <c r="F10" s="15"/>
    </row>
    <row r="11" customFormat="false" ht="15" hidden="false" customHeight="false" outlineLevel="0" collapsed="false">
      <c r="A11" s="5" t="n">
        <v>5</v>
      </c>
      <c r="B11" s="14"/>
      <c r="C11" s="14"/>
      <c r="D11" s="6"/>
      <c r="E11" s="14"/>
      <c r="F11" s="15"/>
    </row>
    <row r="12" customFormat="false" ht="15" hidden="false" customHeight="false" outlineLevel="0" collapsed="false">
      <c r="A12" s="5" t="n">
        <v>6</v>
      </c>
      <c r="B12" s="14"/>
      <c r="C12" s="14"/>
      <c r="D12" s="6"/>
      <c r="E12" s="14"/>
      <c r="F12" s="15"/>
    </row>
    <row r="13" customFormat="false" ht="15" hidden="false" customHeight="false" outlineLevel="0" collapsed="false">
      <c r="A13" s="5" t="n">
        <v>7</v>
      </c>
      <c r="B13" s="14"/>
      <c r="C13" s="14"/>
      <c r="D13" s="6"/>
      <c r="E13" s="14"/>
      <c r="F13" s="15"/>
    </row>
    <row r="14" customFormat="false" ht="15" hidden="false" customHeight="false" outlineLevel="0" collapsed="false">
      <c r="A14" s="5" t="n">
        <v>8</v>
      </c>
      <c r="B14" s="14"/>
      <c r="C14" s="14"/>
      <c r="D14" s="6"/>
      <c r="E14" s="14"/>
      <c r="F14" s="15"/>
    </row>
    <row r="15" customFormat="false" ht="15" hidden="false" customHeight="false" outlineLevel="0" collapsed="false">
      <c r="A15" s="5" t="n">
        <v>9</v>
      </c>
      <c r="B15" s="14"/>
      <c r="C15" s="14"/>
      <c r="D15" s="6"/>
      <c r="E15" s="14"/>
      <c r="F15" s="15"/>
    </row>
    <row r="16" customFormat="false" ht="15" hidden="false" customHeight="false" outlineLevel="0" collapsed="false">
      <c r="A16" s="5" t="n">
        <v>10</v>
      </c>
      <c r="B16" s="14"/>
      <c r="C16" s="14"/>
      <c r="D16" s="6"/>
      <c r="E16" s="14"/>
      <c r="F16" s="15"/>
    </row>
    <row r="17" customFormat="false" ht="15" hidden="false" customHeight="false" outlineLevel="0" collapsed="false">
      <c r="A17" s="5" t="n">
        <v>11</v>
      </c>
      <c r="B17" s="14"/>
      <c r="C17" s="14"/>
      <c r="D17" s="6"/>
      <c r="E17" s="14"/>
      <c r="F17" s="15"/>
    </row>
    <row r="18" customFormat="false" ht="15" hidden="false" customHeight="false" outlineLevel="0" collapsed="false">
      <c r="A18" s="5" t="n">
        <v>12</v>
      </c>
      <c r="B18" s="14"/>
      <c r="C18" s="14"/>
      <c r="D18" s="6"/>
      <c r="E18" s="14"/>
      <c r="F18" s="15"/>
    </row>
    <row r="19" customFormat="false" ht="15" hidden="false" customHeight="false" outlineLevel="0" collapsed="false">
      <c r="A19" s="5" t="n">
        <v>13</v>
      </c>
      <c r="B19" s="14"/>
      <c r="C19" s="14"/>
      <c r="D19" s="6"/>
      <c r="E19" s="14"/>
      <c r="F19" s="15"/>
    </row>
    <row r="20" customFormat="false" ht="15" hidden="false" customHeight="false" outlineLevel="0" collapsed="false">
      <c r="A20" s="5" t="n">
        <v>14</v>
      </c>
      <c r="B20" s="14"/>
      <c r="C20" s="14"/>
      <c r="D20" s="6"/>
      <c r="E20" s="14"/>
      <c r="F20" s="15"/>
    </row>
    <row r="21" customFormat="false" ht="15" hidden="false" customHeight="false" outlineLevel="0" collapsed="false">
      <c r="A21" s="5" t="n">
        <v>15</v>
      </c>
      <c r="B21" s="14"/>
      <c r="C21" s="14"/>
      <c r="D21" s="6"/>
      <c r="E21" s="14"/>
      <c r="F21" s="15"/>
    </row>
    <row r="22" customFormat="false" ht="15" hidden="false" customHeight="false" outlineLevel="0" collapsed="false">
      <c r="A22" s="5" t="n">
        <v>16</v>
      </c>
      <c r="B22" s="14"/>
      <c r="C22" s="14"/>
      <c r="D22" s="6"/>
      <c r="E22" s="14"/>
      <c r="F22" s="15"/>
    </row>
    <row r="23" customFormat="false" ht="15" hidden="false" customHeight="false" outlineLevel="0" collapsed="false">
      <c r="A23" s="5" t="n">
        <v>17</v>
      </c>
      <c r="B23" s="14"/>
      <c r="C23" s="14"/>
      <c r="D23" s="6"/>
      <c r="E23" s="14"/>
      <c r="F23" s="15"/>
    </row>
    <row r="24" customFormat="false" ht="15" hidden="false" customHeight="false" outlineLevel="0" collapsed="false">
      <c r="A24" s="5" t="n">
        <v>18</v>
      </c>
      <c r="B24" s="14"/>
      <c r="C24" s="14"/>
      <c r="D24" s="6"/>
      <c r="E24" s="14"/>
      <c r="F24" s="15"/>
    </row>
    <row r="25" customFormat="false" ht="15" hidden="false" customHeight="false" outlineLevel="0" collapsed="false">
      <c r="A25" s="5" t="n">
        <v>19</v>
      </c>
      <c r="B25" s="14"/>
      <c r="C25" s="14"/>
      <c r="D25" s="6"/>
      <c r="E25" s="14"/>
      <c r="F25" s="15"/>
    </row>
    <row r="26" customFormat="false" ht="15" hidden="false" customHeight="false" outlineLevel="0" collapsed="false">
      <c r="A26" s="5" t="n">
        <v>20</v>
      </c>
      <c r="B26" s="14"/>
      <c r="C26" s="14"/>
      <c r="D26" s="6"/>
      <c r="E26" s="14"/>
      <c r="F26" s="15"/>
    </row>
    <row r="27" customFormat="false" ht="15" hidden="false" customHeight="false" outlineLevel="0" collapsed="false">
      <c r="A27" s="5" t="n">
        <v>21</v>
      </c>
      <c r="B27" s="14"/>
      <c r="C27" s="14"/>
      <c r="D27" s="6"/>
      <c r="E27" s="14"/>
      <c r="F27" s="15"/>
    </row>
    <row r="28" customFormat="false" ht="15" hidden="false" customHeight="false" outlineLevel="0" collapsed="false">
      <c r="A28" s="5" t="n">
        <v>22</v>
      </c>
      <c r="B28" s="14"/>
      <c r="C28" s="14"/>
      <c r="D28" s="6"/>
      <c r="E28" s="14"/>
      <c r="F28" s="15"/>
    </row>
    <row r="29" customFormat="false" ht="15" hidden="false" customHeight="false" outlineLevel="0" collapsed="false">
      <c r="A29" s="5" t="n">
        <v>23</v>
      </c>
      <c r="B29" s="14"/>
      <c r="C29" s="14"/>
      <c r="D29" s="6"/>
      <c r="E29" s="14"/>
      <c r="F29" s="15"/>
    </row>
    <row r="30" customFormat="false" ht="15" hidden="false" customHeight="false" outlineLevel="0" collapsed="false">
      <c r="A30" s="5" t="n">
        <v>24</v>
      </c>
      <c r="B30" s="14"/>
      <c r="C30" s="14"/>
      <c r="D30" s="6"/>
      <c r="E30" s="14"/>
      <c r="F30" s="15"/>
    </row>
    <row r="31" customFormat="false" ht="15" hidden="false" customHeight="false" outlineLevel="0" collapsed="false">
      <c r="A31" s="5" t="n">
        <v>25</v>
      </c>
      <c r="B31" s="14"/>
      <c r="C31" s="14"/>
      <c r="D31" s="6"/>
      <c r="E31" s="14"/>
      <c r="F31" s="15"/>
    </row>
    <row r="32" customFormat="false" ht="15" hidden="false" customHeight="false" outlineLevel="0" collapsed="false">
      <c r="A32" s="5" t="n">
        <v>26</v>
      </c>
      <c r="B32" s="14"/>
      <c r="C32" s="14"/>
      <c r="D32" s="6"/>
      <c r="E32" s="14"/>
      <c r="F32" s="15"/>
    </row>
    <row r="33" customFormat="false" ht="15" hidden="false" customHeight="false" outlineLevel="0" collapsed="false">
      <c r="A33" s="5" t="n">
        <v>27</v>
      </c>
      <c r="B33" s="14"/>
      <c r="C33" s="14"/>
      <c r="D33" s="6"/>
      <c r="E33" s="14"/>
      <c r="F33" s="15"/>
    </row>
    <row r="34" customFormat="false" ht="15" hidden="false" customHeight="false" outlineLevel="0" collapsed="false">
      <c r="A34" s="5" t="n">
        <v>28</v>
      </c>
      <c r="B34" s="14"/>
      <c r="C34" s="14"/>
      <c r="D34" s="6"/>
      <c r="E34" s="14"/>
      <c r="F34" s="15"/>
    </row>
    <row r="35" customFormat="false" ht="15" hidden="false" customHeight="false" outlineLevel="0" collapsed="false">
      <c r="A35" s="5" t="n">
        <v>29</v>
      </c>
      <c r="B35" s="14"/>
      <c r="C35" s="14"/>
      <c r="D35" s="6"/>
      <c r="E35" s="14"/>
      <c r="F35" s="15"/>
    </row>
    <row r="36" customFormat="false" ht="15" hidden="false" customHeight="false" outlineLevel="0" collapsed="false">
      <c r="A36" s="5" t="n">
        <v>30</v>
      </c>
      <c r="B36" s="14"/>
      <c r="C36" s="14"/>
      <c r="D36" s="6"/>
      <c r="E36" s="14"/>
      <c r="F36" s="15"/>
    </row>
    <row r="37" customFormat="false" ht="15" hidden="false" customHeight="false" outlineLevel="0" collapsed="false">
      <c r="A37" s="5" t="n">
        <v>31</v>
      </c>
      <c r="B37" s="14"/>
      <c r="C37" s="14"/>
      <c r="D37" s="6"/>
      <c r="E37" s="14"/>
      <c r="F37" s="15"/>
    </row>
    <row r="38" customFormat="false" ht="15" hidden="false" customHeight="false" outlineLevel="0" collapsed="false">
      <c r="A38" s="5" t="n">
        <v>32</v>
      </c>
      <c r="B38" s="14"/>
      <c r="C38" s="14"/>
      <c r="D38" s="6"/>
      <c r="E38" s="14"/>
      <c r="F38" s="15"/>
    </row>
    <row r="39" customFormat="false" ht="15" hidden="false" customHeight="false" outlineLevel="0" collapsed="false">
      <c r="A39" s="5" t="n">
        <v>33</v>
      </c>
      <c r="B39" s="14"/>
      <c r="C39" s="14"/>
      <c r="D39" s="6"/>
      <c r="E39" s="14"/>
      <c r="F39" s="15"/>
    </row>
    <row r="40" customFormat="false" ht="15" hidden="false" customHeight="false" outlineLevel="0" collapsed="false">
      <c r="A40" s="5" t="n">
        <v>34</v>
      </c>
      <c r="B40" s="14"/>
      <c r="C40" s="14"/>
      <c r="D40" s="6"/>
      <c r="E40" s="14"/>
      <c r="F40" s="15"/>
    </row>
    <row r="41" customFormat="false" ht="15" hidden="false" customHeight="false" outlineLevel="0" collapsed="false">
      <c r="A41" s="5" t="n">
        <v>35</v>
      </c>
      <c r="B41" s="14"/>
      <c r="C41" s="14"/>
      <c r="D41" s="6"/>
      <c r="E41" s="14"/>
      <c r="F41" s="15"/>
    </row>
    <row r="42" customFormat="false" ht="15" hidden="false" customHeight="false" outlineLevel="0" collapsed="false">
      <c r="A42" s="5" t="n">
        <v>36</v>
      </c>
      <c r="B42" s="14"/>
      <c r="C42" s="14"/>
      <c r="D42" s="6"/>
      <c r="E42" s="14"/>
      <c r="F42" s="15"/>
    </row>
    <row r="43" customFormat="false" ht="15" hidden="false" customHeight="false" outlineLevel="0" collapsed="false">
      <c r="A43" s="5" t="n">
        <v>37</v>
      </c>
      <c r="B43" s="14"/>
      <c r="C43" s="14"/>
      <c r="D43" s="6"/>
      <c r="E43" s="14"/>
      <c r="F43" s="15"/>
    </row>
    <row r="44" customFormat="false" ht="15" hidden="false" customHeight="false" outlineLevel="0" collapsed="false">
      <c r="A44" s="5" t="n">
        <v>38</v>
      </c>
      <c r="B44" s="14"/>
      <c r="C44" s="14"/>
      <c r="D44" s="6"/>
      <c r="E44" s="14"/>
      <c r="F44" s="15"/>
    </row>
    <row r="45" customFormat="false" ht="15" hidden="false" customHeight="false" outlineLevel="0" collapsed="false">
      <c r="A45" s="5" t="n">
        <v>39</v>
      </c>
      <c r="B45" s="14"/>
      <c r="C45" s="14"/>
      <c r="D45" s="6"/>
      <c r="E45" s="14"/>
      <c r="F45" s="15"/>
    </row>
    <row r="46" customFormat="false" ht="15" hidden="false" customHeight="false" outlineLevel="0" collapsed="false">
      <c r="A46" s="5" t="n">
        <v>40</v>
      </c>
      <c r="B46" s="14"/>
      <c r="C46" s="14"/>
      <c r="D46" s="6"/>
      <c r="E46" s="14"/>
      <c r="F46" s="15"/>
    </row>
    <row r="47" customFormat="false" ht="15" hidden="false" customHeight="false" outlineLevel="0" collapsed="false">
      <c r="A47" s="5" t="n">
        <v>41</v>
      </c>
      <c r="B47" s="14"/>
      <c r="C47" s="14"/>
      <c r="D47" s="6"/>
      <c r="E47" s="14"/>
      <c r="F47" s="15"/>
    </row>
    <row r="48" customFormat="false" ht="15" hidden="false" customHeight="false" outlineLevel="0" collapsed="false">
      <c r="A48" s="5" t="n">
        <v>42</v>
      </c>
      <c r="B48" s="14"/>
      <c r="C48" s="14"/>
      <c r="D48" s="6"/>
      <c r="E48" s="14"/>
      <c r="F48" s="15"/>
    </row>
    <row r="49" customFormat="false" ht="15" hidden="false" customHeight="false" outlineLevel="0" collapsed="false">
      <c r="A49" s="5" t="n">
        <v>43</v>
      </c>
      <c r="B49" s="14"/>
      <c r="C49" s="14"/>
      <c r="D49" s="6"/>
      <c r="E49" s="14"/>
      <c r="F49" s="15"/>
    </row>
    <row r="50" customFormat="false" ht="15" hidden="false" customHeight="false" outlineLevel="0" collapsed="false">
      <c r="A50" s="5" t="n">
        <v>44</v>
      </c>
      <c r="B50" s="14"/>
      <c r="C50" s="14"/>
      <c r="D50" s="6"/>
      <c r="E50" s="14"/>
      <c r="F50" s="15"/>
    </row>
    <row r="51" customFormat="false" ht="15" hidden="false" customHeight="false" outlineLevel="0" collapsed="false">
      <c r="A51" s="5" t="n">
        <v>45</v>
      </c>
      <c r="B51" s="14"/>
      <c r="C51" s="14"/>
      <c r="D51" s="6"/>
      <c r="E51" s="14"/>
      <c r="F51" s="15"/>
    </row>
    <row r="52" customFormat="false" ht="15" hidden="false" customHeight="false" outlineLevel="0" collapsed="false">
      <c r="A52" s="5" t="n">
        <v>46</v>
      </c>
      <c r="B52" s="14"/>
      <c r="C52" s="14"/>
      <c r="D52" s="6"/>
      <c r="E52" s="14"/>
      <c r="F52" s="15"/>
    </row>
    <row r="53" customFormat="false" ht="15" hidden="false" customHeight="false" outlineLevel="0" collapsed="false">
      <c r="A53" s="5" t="n">
        <v>47</v>
      </c>
      <c r="B53" s="14"/>
      <c r="C53" s="14"/>
      <c r="D53" s="6"/>
      <c r="E53" s="14"/>
      <c r="F53" s="15"/>
    </row>
    <row r="54" customFormat="false" ht="15" hidden="false" customHeight="false" outlineLevel="0" collapsed="false">
      <c r="A54" s="5" t="n">
        <v>48</v>
      </c>
      <c r="B54" s="14"/>
      <c r="C54" s="14"/>
      <c r="D54" s="6"/>
      <c r="E54" s="14"/>
      <c r="F54" s="15"/>
    </row>
    <row r="55" customFormat="false" ht="15" hidden="false" customHeight="false" outlineLevel="0" collapsed="false">
      <c r="A55" s="5" t="n">
        <v>49</v>
      </c>
      <c r="B55" s="14"/>
      <c r="C55" s="14"/>
      <c r="D55" s="6"/>
      <c r="E55" s="14"/>
      <c r="F55" s="15"/>
    </row>
    <row r="56" customFormat="false" ht="15" hidden="false" customHeight="false" outlineLevel="0" collapsed="false">
      <c r="A56" s="5" t="n">
        <v>50</v>
      </c>
      <c r="B56" s="14"/>
      <c r="C56" s="14"/>
      <c r="D56" s="6"/>
      <c r="E56" s="14"/>
      <c r="F56" s="15"/>
    </row>
    <row r="57" customFormat="false" ht="15" hidden="false" customHeight="false" outlineLevel="0" collapsed="false">
      <c r="A57" s="5" t="n">
        <v>51</v>
      </c>
      <c r="B57" s="14"/>
      <c r="C57" s="14"/>
      <c r="D57" s="6"/>
      <c r="E57" s="14"/>
      <c r="F57" s="15"/>
    </row>
    <row r="58" customFormat="false" ht="15" hidden="false" customHeight="false" outlineLevel="0" collapsed="false">
      <c r="A58" s="5" t="n">
        <v>52</v>
      </c>
      <c r="B58" s="14"/>
      <c r="C58" s="14"/>
      <c r="D58" s="6"/>
      <c r="E58" s="14"/>
      <c r="F58" s="15"/>
    </row>
    <row r="59" customFormat="false" ht="15" hidden="false" customHeight="false" outlineLevel="0" collapsed="false">
      <c r="A59" s="5" t="n">
        <v>53</v>
      </c>
      <c r="B59" s="14"/>
      <c r="C59" s="14"/>
      <c r="D59" s="6"/>
      <c r="E59" s="14"/>
      <c r="F59" s="15"/>
    </row>
    <row r="60" customFormat="false" ht="15" hidden="false" customHeight="false" outlineLevel="0" collapsed="false">
      <c r="A60" s="5" t="n">
        <v>54</v>
      </c>
      <c r="B60" s="14"/>
      <c r="C60" s="14"/>
      <c r="D60" s="6"/>
      <c r="E60" s="14"/>
      <c r="F60" s="15"/>
    </row>
    <row r="61" customFormat="false" ht="15" hidden="false" customHeight="false" outlineLevel="0" collapsed="false">
      <c r="A61" s="5" t="n">
        <v>55</v>
      </c>
      <c r="B61" s="14"/>
      <c r="C61" s="14"/>
      <c r="D61" s="6"/>
      <c r="E61" s="14"/>
      <c r="F61" s="15"/>
    </row>
    <row r="62" customFormat="false" ht="15" hidden="false" customHeight="false" outlineLevel="0" collapsed="false">
      <c r="A62" s="5" t="n">
        <v>56</v>
      </c>
      <c r="B62" s="14"/>
      <c r="C62" s="14"/>
      <c r="D62" s="6"/>
      <c r="E62" s="14"/>
      <c r="F62" s="15"/>
    </row>
    <row r="63" customFormat="false" ht="15" hidden="false" customHeight="false" outlineLevel="0" collapsed="false">
      <c r="A63" s="5" t="n">
        <v>57</v>
      </c>
      <c r="B63" s="14"/>
      <c r="C63" s="14"/>
      <c r="D63" s="6"/>
      <c r="E63" s="14"/>
      <c r="F63" s="15"/>
    </row>
    <row r="64" customFormat="false" ht="15" hidden="false" customHeight="false" outlineLevel="0" collapsed="false">
      <c r="A64" s="5" t="n">
        <v>58</v>
      </c>
      <c r="B64" s="14"/>
      <c r="C64" s="14"/>
      <c r="D64" s="6"/>
      <c r="E64" s="14"/>
      <c r="F64" s="15"/>
    </row>
    <row r="65" customFormat="false" ht="15" hidden="false" customHeight="false" outlineLevel="0" collapsed="false">
      <c r="A65" s="5" t="n">
        <v>59</v>
      </c>
      <c r="B65" s="14"/>
      <c r="C65" s="14"/>
      <c r="D65" s="6"/>
      <c r="E65" s="14"/>
      <c r="F65" s="15"/>
    </row>
    <row r="66" customFormat="false" ht="15" hidden="false" customHeight="false" outlineLevel="0" collapsed="false">
      <c r="A66" s="5" t="n">
        <v>60</v>
      </c>
      <c r="B66" s="14"/>
      <c r="C66" s="14"/>
      <c r="D66" s="6"/>
      <c r="E66" s="14"/>
      <c r="F66" s="15"/>
    </row>
    <row r="67" customFormat="false" ht="15" hidden="false" customHeight="false" outlineLevel="0" collapsed="false">
      <c r="A67" s="5" t="n">
        <v>61</v>
      </c>
      <c r="B67" s="14"/>
      <c r="C67" s="14"/>
      <c r="D67" s="6"/>
      <c r="E67" s="14"/>
      <c r="F67" s="15"/>
    </row>
    <row r="68" customFormat="false" ht="15" hidden="false" customHeight="false" outlineLevel="0" collapsed="false">
      <c r="A68" s="5" t="n">
        <v>62</v>
      </c>
      <c r="B68" s="14"/>
      <c r="C68" s="14"/>
      <c r="D68" s="6"/>
      <c r="E68" s="14"/>
      <c r="F68" s="15"/>
    </row>
    <row r="69" customFormat="false" ht="15" hidden="false" customHeight="false" outlineLevel="0" collapsed="false">
      <c r="A69" s="5" t="n">
        <v>63</v>
      </c>
      <c r="B69" s="14"/>
      <c r="C69" s="14"/>
      <c r="D69" s="6"/>
      <c r="E69" s="14"/>
      <c r="F69" s="15"/>
    </row>
    <row r="70" customFormat="false" ht="15" hidden="false" customHeight="false" outlineLevel="0" collapsed="false">
      <c r="A70" s="5" t="n">
        <v>64</v>
      </c>
      <c r="B70" s="14"/>
      <c r="C70" s="14"/>
      <c r="D70" s="6"/>
      <c r="E70" s="14"/>
      <c r="F70" s="15"/>
    </row>
    <row r="71" customFormat="false" ht="15" hidden="false" customHeight="false" outlineLevel="0" collapsed="false">
      <c r="A71" s="5" t="n">
        <v>65</v>
      </c>
      <c r="B71" s="14"/>
      <c r="C71" s="14"/>
      <c r="D71" s="6"/>
      <c r="E71" s="14"/>
      <c r="F71" s="15"/>
    </row>
    <row r="72" customFormat="false" ht="15" hidden="false" customHeight="false" outlineLevel="0" collapsed="false">
      <c r="A72" s="5" t="n">
        <v>66</v>
      </c>
      <c r="B72" s="14"/>
      <c r="C72" s="14"/>
      <c r="D72" s="6"/>
      <c r="E72" s="14"/>
      <c r="F72" s="15"/>
    </row>
    <row r="73" customFormat="false" ht="15" hidden="false" customHeight="false" outlineLevel="0" collapsed="false">
      <c r="A73" s="5" t="n">
        <v>67</v>
      </c>
      <c r="B73" s="14"/>
      <c r="C73" s="14"/>
      <c r="D73" s="6"/>
      <c r="E73" s="14"/>
      <c r="F73" s="15"/>
    </row>
    <row r="74" customFormat="false" ht="15" hidden="false" customHeight="false" outlineLevel="0" collapsed="false">
      <c r="A74" s="5" t="n">
        <v>68</v>
      </c>
      <c r="B74" s="14"/>
      <c r="C74" s="14"/>
      <c r="D74" s="6"/>
      <c r="E74" s="14"/>
      <c r="F74" s="15"/>
    </row>
    <row r="75" customFormat="false" ht="15" hidden="false" customHeight="false" outlineLevel="0" collapsed="false">
      <c r="A75" s="5" t="n">
        <v>69</v>
      </c>
      <c r="B75" s="14"/>
      <c r="C75" s="14"/>
      <c r="D75" s="6"/>
      <c r="E75" s="14"/>
      <c r="F75" s="15"/>
    </row>
    <row r="76" customFormat="false" ht="15" hidden="false" customHeight="false" outlineLevel="0" collapsed="false">
      <c r="A76" s="5" t="n">
        <v>70</v>
      </c>
      <c r="B76" s="14"/>
      <c r="C76" s="14"/>
      <c r="D76" s="6"/>
      <c r="E76" s="14"/>
      <c r="F76" s="15"/>
    </row>
    <row r="77" customFormat="false" ht="15" hidden="false" customHeight="false" outlineLevel="0" collapsed="false">
      <c r="A77" s="5" t="n">
        <v>71</v>
      </c>
      <c r="B77" s="14"/>
      <c r="C77" s="14"/>
      <c r="D77" s="6"/>
      <c r="E77" s="14"/>
      <c r="F77" s="15"/>
    </row>
    <row r="78" customFormat="false" ht="15" hidden="false" customHeight="false" outlineLevel="0" collapsed="false">
      <c r="A78" s="5" t="n">
        <v>72</v>
      </c>
      <c r="B78" s="14"/>
      <c r="C78" s="14"/>
      <c r="D78" s="6"/>
      <c r="E78" s="14"/>
      <c r="F78" s="15"/>
    </row>
    <row r="79" customFormat="false" ht="15" hidden="false" customHeight="false" outlineLevel="0" collapsed="false">
      <c r="A79" s="5" t="n">
        <v>73</v>
      </c>
      <c r="B79" s="14"/>
      <c r="C79" s="14"/>
      <c r="D79" s="6"/>
      <c r="E79" s="14"/>
      <c r="F79" s="15"/>
    </row>
    <row r="80" customFormat="false" ht="15" hidden="false" customHeight="false" outlineLevel="0" collapsed="false">
      <c r="A80" s="5" t="n">
        <v>74</v>
      </c>
      <c r="B80" s="14"/>
      <c r="C80" s="14"/>
      <c r="D80" s="6"/>
      <c r="E80" s="14"/>
      <c r="F80" s="15"/>
    </row>
    <row r="81" customFormat="false" ht="15" hidden="false" customHeight="false" outlineLevel="0" collapsed="false">
      <c r="A81" s="5" t="n">
        <v>75</v>
      </c>
      <c r="B81" s="14"/>
      <c r="C81" s="14"/>
      <c r="D81" s="6"/>
      <c r="E81" s="14"/>
      <c r="F81" s="15"/>
    </row>
    <row r="82" customFormat="false" ht="15" hidden="false" customHeight="false" outlineLevel="0" collapsed="false">
      <c r="A82" s="5" t="n">
        <v>76</v>
      </c>
      <c r="B82" s="14"/>
      <c r="C82" s="14"/>
      <c r="D82" s="6"/>
      <c r="E82" s="14"/>
      <c r="F82" s="15"/>
    </row>
    <row r="83" customFormat="false" ht="15" hidden="false" customHeight="false" outlineLevel="0" collapsed="false">
      <c r="A83" s="5" t="n">
        <v>77</v>
      </c>
      <c r="B83" s="14"/>
      <c r="C83" s="14"/>
      <c r="D83" s="6"/>
      <c r="E83" s="14"/>
      <c r="F83" s="15"/>
    </row>
    <row r="84" customFormat="false" ht="15" hidden="false" customHeight="false" outlineLevel="0" collapsed="false">
      <c r="A84" s="5" t="n">
        <v>78</v>
      </c>
      <c r="B84" s="14"/>
      <c r="C84" s="14"/>
      <c r="D84" s="6"/>
      <c r="E84" s="14"/>
      <c r="F84" s="15"/>
    </row>
    <row r="85" customFormat="false" ht="15" hidden="false" customHeight="false" outlineLevel="0" collapsed="false">
      <c r="A85" s="5" t="n">
        <v>79</v>
      </c>
      <c r="B85" s="14"/>
      <c r="C85" s="14"/>
      <c r="D85" s="6"/>
      <c r="E85" s="14"/>
      <c r="F85" s="15"/>
    </row>
    <row r="86" customFormat="false" ht="15" hidden="false" customHeight="false" outlineLevel="0" collapsed="false">
      <c r="A86" s="5" t="n">
        <v>80</v>
      </c>
      <c r="B86" s="14"/>
      <c r="C86" s="14"/>
      <c r="D86" s="6"/>
      <c r="E86" s="14"/>
      <c r="F86" s="15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D7:D86" type="list">
      <formula1>"재원,외부"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23" min="4" style="0" width="6.2"/>
    <col collapsed="false" customWidth="true" hidden="false" outlineLevel="0" max="24" min="24" style="0" width="7"/>
    <col collapsed="false" customWidth="true" hidden="false" outlineLevel="0" max="25" min="25" style="0" width="8"/>
    <col collapsed="false" customWidth="true" hidden="false" outlineLevel="0" max="29" min="26" style="0" width="10"/>
  </cols>
  <sheetData>
    <row r="1" customFormat="false" ht="33.75" hidden="false" customHeight="true" outlineLevel="0" collapsed="false">
      <c r="A1" s="1" t="s">
        <v>61</v>
      </c>
      <c r="B1" s="1"/>
      <c r="C1" s="1"/>
      <c r="D1" s="16" t="s">
        <v>62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customFormat="false" ht="15" hidden="false" customHeight="true" outlineLevel="0" collapsed="false">
      <c r="A2" s="17" t="s">
        <v>63</v>
      </c>
      <c r="B2" s="17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customFormat="false" ht="15" hidden="false" customHeight="true" outlineLevel="0" collapsed="false">
      <c r="A3" s="17" t="s">
        <v>64</v>
      </c>
      <c r="B3" s="17"/>
      <c r="C3" s="17"/>
      <c r="D3" s="14" t="n">
        <v>5</v>
      </c>
      <c r="E3" s="14" t="n">
        <v>5</v>
      </c>
      <c r="F3" s="14" t="n">
        <v>5</v>
      </c>
      <c r="G3" s="14" t="n">
        <v>5</v>
      </c>
      <c r="H3" s="14" t="n">
        <v>5</v>
      </c>
      <c r="I3" s="14" t="n">
        <v>5</v>
      </c>
      <c r="J3" s="14" t="n">
        <v>5</v>
      </c>
      <c r="K3" s="14" t="n">
        <v>5</v>
      </c>
      <c r="L3" s="14" t="n">
        <v>5</v>
      </c>
      <c r="M3" s="14" t="n">
        <v>5</v>
      </c>
      <c r="N3" s="14" t="n">
        <v>5</v>
      </c>
      <c r="O3" s="14" t="n">
        <v>5</v>
      </c>
      <c r="P3" s="14" t="n">
        <v>5</v>
      </c>
      <c r="Q3" s="14" t="n">
        <v>5</v>
      </c>
      <c r="R3" s="14" t="n">
        <v>5</v>
      </c>
      <c r="S3" s="14" t="n">
        <v>5</v>
      </c>
      <c r="T3" s="14" t="n">
        <v>5</v>
      </c>
      <c r="U3" s="14" t="n">
        <v>5</v>
      </c>
      <c r="V3" s="14" t="n">
        <v>5</v>
      </c>
      <c r="W3" s="14" t="n">
        <v>5</v>
      </c>
      <c r="X3" s="19" t="n">
        <f aca="false">COUNT(D2:W2)</f>
        <v>0</v>
      </c>
      <c r="Y3" s="20" t="n">
        <f aca="false">SUM(D3:W3)</f>
        <v>100</v>
      </c>
      <c r="Z3" s="19" t="n">
        <f aca="false">SUMIF($D$4:$W$4,Z$6,$D$3:$W$3)</f>
        <v>25</v>
      </c>
      <c r="AA3" s="19" t="n">
        <f aca="false">SUMIF($D$4:$W$4,AA$6,$D$3:$W$3)</f>
        <v>40</v>
      </c>
      <c r="AB3" s="19" t="n">
        <f aca="false">SUMIF($D$4:$W$4,AB$6,$D$3:$W$3)</f>
        <v>20</v>
      </c>
      <c r="AC3" s="19" t="n">
        <f aca="false">SUMIF($D$4:$W$4,AC$6,$D$3:$W$3)</f>
        <v>15</v>
      </c>
    </row>
    <row r="4" customFormat="false" ht="42" hidden="false" customHeight="true" outlineLevel="0" collapsed="false">
      <c r="A4" s="17" t="s">
        <v>65</v>
      </c>
      <c r="B4" s="17"/>
      <c r="C4" s="17"/>
      <c r="D4" s="21" t="s">
        <v>30</v>
      </c>
      <c r="E4" s="21" t="s">
        <v>30</v>
      </c>
      <c r="F4" s="21" t="s">
        <v>30</v>
      </c>
      <c r="G4" s="21" t="s">
        <v>30</v>
      </c>
      <c r="H4" s="21" t="s">
        <v>30</v>
      </c>
      <c r="I4" s="21" t="s">
        <v>32</v>
      </c>
      <c r="J4" s="21" t="s">
        <v>32</v>
      </c>
      <c r="K4" s="21" t="s">
        <v>32</v>
      </c>
      <c r="L4" s="21" t="s">
        <v>32</v>
      </c>
      <c r="M4" s="21" t="s">
        <v>32</v>
      </c>
      <c r="N4" s="21" t="s">
        <v>32</v>
      </c>
      <c r="O4" s="21" t="s">
        <v>32</v>
      </c>
      <c r="P4" s="21" t="s">
        <v>32</v>
      </c>
      <c r="Q4" s="21" t="s">
        <v>34</v>
      </c>
      <c r="R4" s="21" t="s">
        <v>34</v>
      </c>
      <c r="S4" s="21" t="s">
        <v>34</v>
      </c>
      <c r="T4" s="21" t="s">
        <v>34</v>
      </c>
      <c r="U4" s="21" t="s">
        <v>36</v>
      </c>
      <c r="V4" s="21" t="s">
        <v>36</v>
      </c>
      <c r="W4" s="21" t="s">
        <v>36</v>
      </c>
    </row>
    <row r="5" customFormat="false" ht="22.35" hidden="false" customHeight="true" outlineLevel="0" collapsed="false">
      <c r="A5" s="17" t="s">
        <v>66</v>
      </c>
      <c r="B5" s="17"/>
      <c r="C5" s="17"/>
      <c r="D5" s="6" t="s">
        <v>67</v>
      </c>
      <c r="E5" s="6" t="s">
        <v>67</v>
      </c>
      <c r="F5" s="6" t="s">
        <v>67</v>
      </c>
      <c r="G5" s="6" t="s">
        <v>67</v>
      </c>
      <c r="H5" s="6" t="s">
        <v>67</v>
      </c>
      <c r="I5" s="6" t="s">
        <v>68</v>
      </c>
      <c r="J5" s="6" t="s">
        <v>68</v>
      </c>
      <c r="K5" s="6" t="s">
        <v>68</v>
      </c>
      <c r="L5" s="6" t="s">
        <v>68</v>
      </c>
      <c r="M5" s="6" t="s">
        <v>68</v>
      </c>
      <c r="N5" s="6" t="s">
        <v>68</v>
      </c>
      <c r="O5" s="6" t="s">
        <v>69</v>
      </c>
      <c r="P5" s="6" t="s">
        <v>69</v>
      </c>
      <c r="Q5" s="6" t="s">
        <v>69</v>
      </c>
      <c r="R5" s="6" t="s">
        <v>67</v>
      </c>
      <c r="S5" s="6" t="s">
        <v>68</v>
      </c>
      <c r="T5" s="6" t="s">
        <v>68</v>
      </c>
      <c r="U5" s="6" t="s">
        <v>69</v>
      </c>
      <c r="V5" s="6" t="s">
        <v>69</v>
      </c>
      <c r="W5" s="6" t="s">
        <v>70</v>
      </c>
      <c r="X5" s="22" t="s">
        <v>71</v>
      </c>
      <c r="Y5" s="22" t="s">
        <v>72</v>
      </c>
      <c r="Z5" s="22" t="s">
        <v>72</v>
      </c>
      <c r="AA5" s="22" t="s">
        <v>72</v>
      </c>
      <c r="AB5" s="22" t="s">
        <v>72</v>
      </c>
      <c r="AC5" s="22" t="s">
        <v>72</v>
      </c>
    </row>
    <row r="6" customFormat="false" ht="30" hidden="false" customHeight="true" outlineLevel="0" collapsed="false">
      <c r="A6" s="13" t="s">
        <v>50</v>
      </c>
      <c r="B6" s="4" t="s">
        <v>51</v>
      </c>
      <c r="C6" s="4" t="s">
        <v>52</v>
      </c>
      <c r="D6" s="23" t="s">
        <v>73</v>
      </c>
      <c r="E6" s="23" t="s">
        <v>74</v>
      </c>
      <c r="F6" s="23" t="s">
        <v>75</v>
      </c>
      <c r="G6" s="23" t="s">
        <v>76</v>
      </c>
      <c r="H6" s="23" t="s">
        <v>77</v>
      </c>
      <c r="I6" s="23" t="s">
        <v>78</v>
      </c>
      <c r="J6" s="23" t="s">
        <v>79</v>
      </c>
      <c r="K6" s="23" t="s">
        <v>80</v>
      </c>
      <c r="L6" s="23" t="s">
        <v>81</v>
      </c>
      <c r="M6" s="23" t="s">
        <v>82</v>
      </c>
      <c r="N6" s="23" t="s">
        <v>83</v>
      </c>
      <c r="O6" s="23" t="s">
        <v>84</v>
      </c>
      <c r="P6" s="23" t="s">
        <v>85</v>
      </c>
      <c r="Q6" s="23" t="s">
        <v>86</v>
      </c>
      <c r="R6" s="24" t="s">
        <v>87</v>
      </c>
      <c r="S6" s="24" t="s">
        <v>88</v>
      </c>
      <c r="T6" s="24" t="s">
        <v>89</v>
      </c>
      <c r="U6" s="24" t="s">
        <v>90</v>
      </c>
      <c r="V6" s="24" t="s">
        <v>91</v>
      </c>
      <c r="W6" s="24" t="s">
        <v>92</v>
      </c>
      <c r="X6" s="4" t="s">
        <v>93</v>
      </c>
      <c r="Y6" s="4" t="s">
        <v>94</v>
      </c>
      <c r="Z6" s="25" t="str">
        <f aca="false">설정!B19</f>
        <v>다항식</v>
      </c>
      <c r="AA6" s="25" t="str">
        <f aca="false">설정!B20</f>
        <v>방정식과 부등식</v>
      </c>
      <c r="AB6" s="25" t="str">
        <f aca="false">설정!B21</f>
        <v>경우의 수</v>
      </c>
      <c r="AC6" s="25" t="str">
        <f aca="false">설정!B22</f>
        <v>행렬</v>
      </c>
    </row>
    <row r="7" customFormat="false" ht="15" hidden="false" customHeight="false" outlineLevel="0" collapsed="false">
      <c r="A7" s="5" t="n">
        <v>1</v>
      </c>
      <c r="B7" s="5" t="str">
        <f aca="false">IF(학생명단!B7="","",학생명단!B7)</f>
        <v>홍길동(예시)</v>
      </c>
      <c r="C7" s="19" t="str">
        <f aca="false">IF(학생명단!C7="","",학생명단!C7)</f>
        <v>OO중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0" t="str">
        <f aca="false">IF(COUNTA(D7:W7)=0,"",SUMPRODUCT((D7:W7=$D$2:$W$2)*(D7:W7&lt;&gt;"")))</f>
        <v/>
      </c>
      <c r="Y7" s="26" t="str">
        <f aca="false">IF(COUNTA(D7:W7)=0,"",SUMPRODUCT((D7:W7=$D$2:$W$2)*(D7:W7&lt;&gt;"")*$D$3:$W$3))</f>
        <v/>
      </c>
      <c r="Z7" s="10" t="str">
        <f aca="false">IF($Y7="","",SUMPRODUCT(($D7:$W7=$D$2:$W$2)*($D7:$W7&lt;&gt;"")*$D$3:$W$3*($D$4:$W$4=Z$6)))</f>
        <v/>
      </c>
      <c r="AA7" s="10" t="str">
        <f aca="false">IF($Y7="","",SUMPRODUCT(($D7:$W7=$D$2:$W$2)*($D7:$W7&lt;&gt;"")*$D$3:$W$3*($D$4:$W$4=AA$6)))</f>
        <v/>
      </c>
      <c r="AB7" s="10" t="str">
        <f aca="false">IF($Y7="","",SUMPRODUCT(($D7:$W7=$D$2:$W$2)*($D7:$W7&lt;&gt;"")*$D$3:$W$3*($D$4:$W$4=AB$6)))</f>
        <v/>
      </c>
      <c r="AC7" s="10" t="str">
        <f aca="false">IF($Y7="","",SUMPRODUCT(($D7:$W7=$D$2:$W$2)*($D7:$W7&lt;&gt;"")*$D$3:$W$3*($D$4:$W$4=AC$6)))</f>
        <v/>
      </c>
    </row>
    <row r="8" customFormat="false" ht="15" hidden="false" customHeight="false" outlineLevel="0" collapsed="false">
      <c r="A8" s="5" t="n">
        <v>2</v>
      </c>
      <c r="B8" s="5" t="str">
        <f aca="false">IF(학생명단!B8="","",학생명단!B8)</f>
        <v/>
      </c>
      <c r="C8" s="19" t="str">
        <f aca="false">IF(학생명단!C8="","",학생명단!C8)</f>
        <v/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0" t="str">
        <f aca="false">IF(COUNTA(D8:W8)=0,"",SUMPRODUCT((D8:W8=$D$2:$W$2)*(D8:W8&lt;&gt;"")))</f>
        <v/>
      </c>
      <c r="Y8" s="26" t="str">
        <f aca="false">IF(COUNTA(D8:W8)=0,"",SUMPRODUCT((D8:W8=$D$2:$W$2)*(D8:W8&lt;&gt;"")*$D$3:$W$3))</f>
        <v/>
      </c>
      <c r="Z8" s="10" t="str">
        <f aca="false">IF($Y8="","",SUMPRODUCT(($D8:$W8=$D$2:$W$2)*($D8:$W8&lt;&gt;"")*$D$3:$W$3*($D$4:$W$4=Z$6)))</f>
        <v/>
      </c>
      <c r="AA8" s="10" t="str">
        <f aca="false">IF($Y8="","",SUMPRODUCT(($D8:$W8=$D$2:$W$2)*($D8:$W8&lt;&gt;"")*$D$3:$W$3*($D$4:$W$4=AA$6)))</f>
        <v/>
      </c>
      <c r="AB8" s="10" t="str">
        <f aca="false">IF($Y8="","",SUMPRODUCT(($D8:$W8=$D$2:$W$2)*($D8:$W8&lt;&gt;"")*$D$3:$W$3*($D$4:$W$4=AB$6)))</f>
        <v/>
      </c>
      <c r="AC8" s="10" t="str">
        <f aca="false">IF($Y8="","",SUMPRODUCT(($D8:$W8=$D$2:$W$2)*($D8:$W8&lt;&gt;"")*$D$3:$W$3*($D$4:$W$4=AC$6)))</f>
        <v/>
      </c>
    </row>
    <row r="9" customFormat="false" ht="15" hidden="false" customHeight="false" outlineLevel="0" collapsed="false">
      <c r="A9" s="5" t="n">
        <v>3</v>
      </c>
      <c r="B9" s="5" t="str">
        <f aca="false">IF(학생명단!B9="","",학생명단!B9)</f>
        <v/>
      </c>
      <c r="C9" s="19" t="str">
        <f aca="false">IF(학생명단!C9="","",학생명단!C9)</f>
        <v/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0" t="str">
        <f aca="false">IF(COUNTA(D9:W9)=0,"",SUMPRODUCT((D9:W9=$D$2:$W$2)*(D9:W9&lt;&gt;"")))</f>
        <v/>
      </c>
      <c r="Y9" s="26" t="str">
        <f aca="false">IF(COUNTA(D9:W9)=0,"",SUMPRODUCT((D9:W9=$D$2:$W$2)*(D9:W9&lt;&gt;"")*$D$3:$W$3))</f>
        <v/>
      </c>
      <c r="Z9" s="10" t="str">
        <f aca="false">IF($Y9="","",SUMPRODUCT(($D9:$W9=$D$2:$W$2)*($D9:$W9&lt;&gt;"")*$D$3:$W$3*($D$4:$W$4=Z$6)))</f>
        <v/>
      </c>
      <c r="AA9" s="10" t="str">
        <f aca="false">IF($Y9="","",SUMPRODUCT(($D9:$W9=$D$2:$W$2)*($D9:$W9&lt;&gt;"")*$D$3:$W$3*($D$4:$W$4=AA$6)))</f>
        <v/>
      </c>
      <c r="AB9" s="10" t="str">
        <f aca="false">IF($Y9="","",SUMPRODUCT(($D9:$W9=$D$2:$W$2)*($D9:$W9&lt;&gt;"")*$D$3:$W$3*($D$4:$W$4=AB$6)))</f>
        <v/>
      </c>
      <c r="AC9" s="10" t="str">
        <f aca="false">IF($Y9="","",SUMPRODUCT(($D9:$W9=$D$2:$W$2)*($D9:$W9&lt;&gt;"")*$D$3:$W$3*($D$4:$W$4=AC$6)))</f>
        <v/>
      </c>
    </row>
    <row r="10" customFormat="false" ht="15" hidden="false" customHeight="false" outlineLevel="0" collapsed="false">
      <c r="A10" s="5" t="n">
        <v>4</v>
      </c>
      <c r="B10" s="5" t="str">
        <f aca="false">IF(학생명단!B10="","",학생명단!B10)</f>
        <v/>
      </c>
      <c r="C10" s="19" t="str">
        <f aca="false">IF(학생명단!C10="","",학생명단!C10)</f>
        <v/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0" t="str">
        <f aca="false">IF(COUNTA(D10:W10)=0,"",SUMPRODUCT((D10:W10=$D$2:$W$2)*(D10:W10&lt;&gt;"")))</f>
        <v/>
      </c>
      <c r="Y10" s="26" t="str">
        <f aca="false">IF(COUNTA(D10:W10)=0,"",SUMPRODUCT((D10:W10=$D$2:$W$2)*(D10:W10&lt;&gt;"")*$D$3:$W$3))</f>
        <v/>
      </c>
      <c r="Z10" s="10" t="str">
        <f aca="false">IF($Y10="","",SUMPRODUCT(($D10:$W10=$D$2:$W$2)*($D10:$W10&lt;&gt;"")*$D$3:$W$3*($D$4:$W$4=Z$6)))</f>
        <v/>
      </c>
      <c r="AA10" s="10" t="str">
        <f aca="false">IF($Y10="","",SUMPRODUCT(($D10:$W10=$D$2:$W$2)*($D10:$W10&lt;&gt;"")*$D$3:$W$3*($D$4:$W$4=AA$6)))</f>
        <v/>
      </c>
      <c r="AB10" s="10" t="str">
        <f aca="false">IF($Y10="","",SUMPRODUCT(($D10:$W10=$D$2:$W$2)*($D10:$W10&lt;&gt;"")*$D$3:$W$3*($D$4:$W$4=AB$6)))</f>
        <v/>
      </c>
      <c r="AC10" s="10" t="str">
        <f aca="false">IF($Y10="","",SUMPRODUCT(($D10:$W10=$D$2:$W$2)*($D10:$W10&lt;&gt;"")*$D$3:$W$3*($D$4:$W$4=AC$6)))</f>
        <v/>
      </c>
    </row>
    <row r="11" customFormat="false" ht="15" hidden="false" customHeight="false" outlineLevel="0" collapsed="false">
      <c r="A11" s="5" t="n">
        <v>5</v>
      </c>
      <c r="B11" s="5" t="str">
        <f aca="false">IF(학생명단!B11="","",학생명단!B11)</f>
        <v/>
      </c>
      <c r="C11" s="19" t="str">
        <f aca="false">IF(학생명단!C11="","",학생명단!C11)</f>
        <v/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0" t="str">
        <f aca="false">IF(COUNTA(D11:W11)=0,"",SUMPRODUCT((D11:W11=$D$2:$W$2)*(D11:W11&lt;&gt;"")))</f>
        <v/>
      </c>
      <c r="Y11" s="26" t="str">
        <f aca="false">IF(COUNTA(D11:W11)=0,"",SUMPRODUCT((D11:W11=$D$2:$W$2)*(D11:W11&lt;&gt;"")*$D$3:$W$3))</f>
        <v/>
      </c>
      <c r="Z11" s="10" t="str">
        <f aca="false">IF($Y11="","",SUMPRODUCT(($D11:$W11=$D$2:$W$2)*($D11:$W11&lt;&gt;"")*$D$3:$W$3*($D$4:$W$4=Z$6)))</f>
        <v/>
      </c>
      <c r="AA11" s="10" t="str">
        <f aca="false">IF($Y11="","",SUMPRODUCT(($D11:$W11=$D$2:$W$2)*($D11:$W11&lt;&gt;"")*$D$3:$W$3*($D$4:$W$4=AA$6)))</f>
        <v/>
      </c>
      <c r="AB11" s="10" t="str">
        <f aca="false">IF($Y11="","",SUMPRODUCT(($D11:$W11=$D$2:$W$2)*($D11:$W11&lt;&gt;"")*$D$3:$W$3*($D$4:$W$4=AB$6)))</f>
        <v/>
      </c>
      <c r="AC11" s="10" t="str">
        <f aca="false">IF($Y11="","",SUMPRODUCT(($D11:$W11=$D$2:$W$2)*($D11:$W11&lt;&gt;"")*$D$3:$W$3*($D$4:$W$4=AC$6)))</f>
        <v/>
      </c>
    </row>
    <row r="12" customFormat="false" ht="15" hidden="false" customHeight="false" outlineLevel="0" collapsed="false">
      <c r="A12" s="5" t="n">
        <v>6</v>
      </c>
      <c r="B12" s="5" t="str">
        <f aca="false">IF(학생명단!B12="","",학생명단!B12)</f>
        <v/>
      </c>
      <c r="C12" s="19" t="str">
        <f aca="false">IF(학생명단!C12="","",학생명단!C12)</f>
        <v/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0" t="str">
        <f aca="false">IF(COUNTA(D12:W12)=0,"",SUMPRODUCT((D12:W12=$D$2:$W$2)*(D12:W12&lt;&gt;"")))</f>
        <v/>
      </c>
      <c r="Y12" s="26" t="str">
        <f aca="false">IF(COUNTA(D12:W12)=0,"",SUMPRODUCT((D12:W12=$D$2:$W$2)*(D12:W12&lt;&gt;"")*$D$3:$W$3))</f>
        <v/>
      </c>
      <c r="Z12" s="10" t="str">
        <f aca="false">IF($Y12="","",SUMPRODUCT(($D12:$W12=$D$2:$W$2)*($D12:$W12&lt;&gt;"")*$D$3:$W$3*($D$4:$W$4=Z$6)))</f>
        <v/>
      </c>
      <c r="AA12" s="10" t="str">
        <f aca="false">IF($Y12="","",SUMPRODUCT(($D12:$W12=$D$2:$W$2)*($D12:$W12&lt;&gt;"")*$D$3:$W$3*($D$4:$W$4=AA$6)))</f>
        <v/>
      </c>
      <c r="AB12" s="10" t="str">
        <f aca="false">IF($Y12="","",SUMPRODUCT(($D12:$W12=$D$2:$W$2)*($D12:$W12&lt;&gt;"")*$D$3:$W$3*($D$4:$W$4=AB$6)))</f>
        <v/>
      </c>
      <c r="AC12" s="10" t="str">
        <f aca="false">IF($Y12="","",SUMPRODUCT(($D12:$W12=$D$2:$W$2)*($D12:$W12&lt;&gt;"")*$D$3:$W$3*($D$4:$W$4=AC$6)))</f>
        <v/>
      </c>
    </row>
    <row r="13" customFormat="false" ht="15" hidden="false" customHeight="false" outlineLevel="0" collapsed="false">
      <c r="A13" s="5" t="n">
        <v>7</v>
      </c>
      <c r="B13" s="5" t="str">
        <f aca="false">IF(학생명단!B13="","",학생명단!B13)</f>
        <v/>
      </c>
      <c r="C13" s="19" t="str">
        <f aca="false">IF(학생명단!C13="","",학생명단!C13)</f>
        <v/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0" t="str">
        <f aca="false">IF(COUNTA(D13:W13)=0,"",SUMPRODUCT((D13:W13=$D$2:$W$2)*(D13:W13&lt;&gt;"")))</f>
        <v/>
      </c>
      <c r="Y13" s="26" t="str">
        <f aca="false">IF(COUNTA(D13:W13)=0,"",SUMPRODUCT((D13:W13=$D$2:$W$2)*(D13:W13&lt;&gt;"")*$D$3:$W$3))</f>
        <v/>
      </c>
      <c r="Z13" s="10" t="str">
        <f aca="false">IF($Y13="","",SUMPRODUCT(($D13:$W13=$D$2:$W$2)*($D13:$W13&lt;&gt;"")*$D$3:$W$3*($D$4:$W$4=Z$6)))</f>
        <v/>
      </c>
      <c r="AA13" s="10" t="str">
        <f aca="false">IF($Y13="","",SUMPRODUCT(($D13:$W13=$D$2:$W$2)*($D13:$W13&lt;&gt;"")*$D$3:$W$3*($D$4:$W$4=AA$6)))</f>
        <v/>
      </c>
      <c r="AB13" s="10" t="str">
        <f aca="false">IF($Y13="","",SUMPRODUCT(($D13:$W13=$D$2:$W$2)*($D13:$W13&lt;&gt;"")*$D$3:$W$3*($D$4:$W$4=AB$6)))</f>
        <v/>
      </c>
      <c r="AC13" s="10" t="str">
        <f aca="false">IF($Y13="","",SUMPRODUCT(($D13:$W13=$D$2:$W$2)*($D13:$W13&lt;&gt;"")*$D$3:$W$3*($D$4:$W$4=AC$6)))</f>
        <v/>
      </c>
    </row>
    <row r="14" customFormat="false" ht="15" hidden="false" customHeight="false" outlineLevel="0" collapsed="false">
      <c r="A14" s="5" t="n">
        <v>8</v>
      </c>
      <c r="B14" s="5" t="str">
        <f aca="false">IF(학생명단!B14="","",학생명단!B14)</f>
        <v/>
      </c>
      <c r="C14" s="19" t="str">
        <f aca="false">IF(학생명단!C14="","",학생명단!C14)</f>
        <v/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0" t="str">
        <f aca="false">IF(COUNTA(D14:W14)=0,"",SUMPRODUCT((D14:W14=$D$2:$W$2)*(D14:W14&lt;&gt;"")))</f>
        <v/>
      </c>
      <c r="Y14" s="26" t="str">
        <f aca="false">IF(COUNTA(D14:W14)=0,"",SUMPRODUCT((D14:W14=$D$2:$W$2)*(D14:W14&lt;&gt;"")*$D$3:$W$3))</f>
        <v/>
      </c>
      <c r="Z14" s="10" t="str">
        <f aca="false">IF($Y14="","",SUMPRODUCT(($D14:$W14=$D$2:$W$2)*($D14:$W14&lt;&gt;"")*$D$3:$W$3*($D$4:$W$4=Z$6)))</f>
        <v/>
      </c>
      <c r="AA14" s="10" t="str">
        <f aca="false">IF($Y14="","",SUMPRODUCT(($D14:$W14=$D$2:$W$2)*($D14:$W14&lt;&gt;"")*$D$3:$W$3*($D$4:$W$4=AA$6)))</f>
        <v/>
      </c>
      <c r="AB14" s="10" t="str">
        <f aca="false">IF($Y14="","",SUMPRODUCT(($D14:$W14=$D$2:$W$2)*($D14:$W14&lt;&gt;"")*$D$3:$W$3*($D$4:$W$4=AB$6)))</f>
        <v/>
      </c>
      <c r="AC14" s="10" t="str">
        <f aca="false">IF($Y14="","",SUMPRODUCT(($D14:$W14=$D$2:$W$2)*($D14:$W14&lt;&gt;"")*$D$3:$W$3*($D$4:$W$4=AC$6)))</f>
        <v/>
      </c>
    </row>
    <row r="15" customFormat="false" ht="15" hidden="false" customHeight="false" outlineLevel="0" collapsed="false">
      <c r="A15" s="5" t="n">
        <v>9</v>
      </c>
      <c r="B15" s="5" t="str">
        <f aca="false">IF(학생명단!B15="","",학생명단!B15)</f>
        <v/>
      </c>
      <c r="C15" s="19" t="str">
        <f aca="false">IF(학생명단!C15="","",학생명단!C15)</f>
        <v/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0" t="str">
        <f aca="false">IF(COUNTA(D15:W15)=0,"",SUMPRODUCT((D15:W15=$D$2:$W$2)*(D15:W15&lt;&gt;"")))</f>
        <v/>
      </c>
      <c r="Y15" s="26" t="str">
        <f aca="false">IF(COUNTA(D15:W15)=0,"",SUMPRODUCT((D15:W15=$D$2:$W$2)*(D15:W15&lt;&gt;"")*$D$3:$W$3))</f>
        <v/>
      </c>
      <c r="Z15" s="10" t="str">
        <f aca="false">IF($Y15="","",SUMPRODUCT(($D15:$W15=$D$2:$W$2)*($D15:$W15&lt;&gt;"")*$D$3:$W$3*($D$4:$W$4=Z$6)))</f>
        <v/>
      </c>
      <c r="AA15" s="10" t="str">
        <f aca="false">IF($Y15="","",SUMPRODUCT(($D15:$W15=$D$2:$W$2)*($D15:$W15&lt;&gt;"")*$D$3:$W$3*($D$4:$W$4=AA$6)))</f>
        <v/>
      </c>
      <c r="AB15" s="10" t="str">
        <f aca="false">IF($Y15="","",SUMPRODUCT(($D15:$W15=$D$2:$W$2)*($D15:$W15&lt;&gt;"")*$D$3:$W$3*($D$4:$W$4=AB$6)))</f>
        <v/>
      </c>
      <c r="AC15" s="10" t="str">
        <f aca="false">IF($Y15="","",SUMPRODUCT(($D15:$W15=$D$2:$W$2)*($D15:$W15&lt;&gt;"")*$D$3:$W$3*($D$4:$W$4=AC$6)))</f>
        <v/>
      </c>
    </row>
    <row r="16" customFormat="false" ht="15" hidden="false" customHeight="false" outlineLevel="0" collapsed="false">
      <c r="A16" s="5" t="n">
        <v>10</v>
      </c>
      <c r="B16" s="5" t="str">
        <f aca="false">IF(학생명단!B16="","",학생명단!B16)</f>
        <v/>
      </c>
      <c r="C16" s="19" t="str">
        <f aca="false">IF(학생명단!C16="","",학생명단!C16)</f>
        <v/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0" t="str">
        <f aca="false">IF(COUNTA(D16:W16)=0,"",SUMPRODUCT((D16:W16=$D$2:$W$2)*(D16:W16&lt;&gt;"")))</f>
        <v/>
      </c>
      <c r="Y16" s="26" t="str">
        <f aca="false">IF(COUNTA(D16:W16)=0,"",SUMPRODUCT((D16:W16=$D$2:$W$2)*(D16:W16&lt;&gt;"")*$D$3:$W$3))</f>
        <v/>
      </c>
      <c r="Z16" s="10" t="str">
        <f aca="false">IF($Y16="","",SUMPRODUCT(($D16:$W16=$D$2:$W$2)*($D16:$W16&lt;&gt;"")*$D$3:$W$3*($D$4:$W$4=Z$6)))</f>
        <v/>
      </c>
      <c r="AA16" s="10" t="str">
        <f aca="false">IF($Y16="","",SUMPRODUCT(($D16:$W16=$D$2:$W$2)*($D16:$W16&lt;&gt;"")*$D$3:$W$3*($D$4:$W$4=AA$6)))</f>
        <v/>
      </c>
      <c r="AB16" s="10" t="str">
        <f aca="false">IF($Y16="","",SUMPRODUCT(($D16:$W16=$D$2:$W$2)*($D16:$W16&lt;&gt;"")*$D$3:$W$3*($D$4:$W$4=AB$6)))</f>
        <v/>
      </c>
      <c r="AC16" s="10" t="str">
        <f aca="false">IF($Y16="","",SUMPRODUCT(($D16:$W16=$D$2:$W$2)*($D16:$W16&lt;&gt;"")*$D$3:$W$3*($D$4:$W$4=AC$6)))</f>
        <v/>
      </c>
    </row>
    <row r="17" customFormat="false" ht="15" hidden="false" customHeight="false" outlineLevel="0" collapsed="false">
      <c r="A17" s="5" t="n">
        <v>11</v>
      </c>
      <c r="B17" s="5" t="str">
        <f aca="false">IF(학생명단!B17="","",학생명단!B17)</f>
        <v/>
      </c>
      <c r="C17" s="19" t="str">
        <f aca="false">IF(학생명단!C17="","",학생명단!C17)</f>
        <v/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0" t="str">
        <f aca="false">IF(COUNTA(D17:W17)=0,"",SUMPRODUCT((D17:W17=$D$2:$W$2)*(D17:W17&lt;&gt;"")))</f>
        <v/>
      </c>
      <c r="Y17" s="26" t="str">
        <f aca="false">IF(COUNTA(D17:W17)=0,"",SUMPRODUCT((D17:W17=$D$2:$W$2)*(D17:W17&lt;&gt;"")*$D$3:$W$3))</f>
        <v/>
      </c>
      <c r="Z17" s="10" t="str">
        <f aca="false">IF($Y17="","",SUMPRODUCT(($D17:$W17=$D$2:$W$2)*($D17:$W17&lt;&gt;"")*$D$3:$W$3*($D$4:$W$4=Z$6)))</f>
        <v/>
      </c>
      <c r="AA17" s="10" t="str">
        <f aca="false">IF($Y17="","",SUMPRODUCT(($D17:$W17=$D$2:$W$2)*($D17:$W17&lt;&gt;"")*$D$3:$W$3*($D$4:$W$4=AA$6)))</f>
        <v/>
      </c>
      <c r="AB17" s="10" t="str">
        <f aca="false">IF($Y17="","",SUMPRODUCT(($D17:$W17=$D$2:$W$2)*($D17:$W17&lt;&gt;"")*$D$3:$W$3*($D$4:$W$4=AB$6)))</f>
        <v/>
      </c>
      <c r="AC17" s="10" t="str">
        <f aca="false">IF($Y17="","",SUMPRODUCT(($D17:$W17=$D$2:$W$2)*($D17:$W17&lt;&gt;"")*$D$3:$W$3*($D$4:$W$4=AC$6)))</f>
        <v/>
      </c>
    </row>
    <row r="18" customFormat="false" ht="15" hidden="false" customHeight="false" outlineLevel="0" collapsed="false">
      <c r="A18" s="5" t="n">
        <v>12</v>
      </c>
      <c r="B18" s="5" t="str">
        <f aca="false">IF(학생명단!B18="","",학생명단!B18)</f>
        <v/>
      </c>
      <c r="C18" s="19" t="str">
        <f aca="false">IF(학생명단!C18="","",학생명단!C18)</f>
        <v/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0" t="str">
        <f aca="false">IF(COUNTA(D18:W18)=0,"",SUMPRODUCT((D18:W18=$D$2:$W$2)*(D18:W18&lt;&gt;"")))</f>
        <v/>
      </c>
      <c r="Y18" s="26" t="str">
        <f aca="false">IF(COUNTA(D18:W18)=0,"",SUMPRODUCT((D18:W18=$D$2:$W$2)*(D18:W18&lt;&gt;"")*$D$3:$W$3))</f>
        <v/>
      </c>
      <c r="Z18" s="10" t="str">
        <f aca="false">IF($Y18="","",SUMPRODUCT(($D18:$W18=$D$2:$W$2)*($D18:$W18&lt;&gt;"")*$D$3:$W$3*($D$4:$W$4=Z$6)))</f>
        <v/>
      </c>
      <c r="AA18" s="10" t="str">
        <f aca="false">IF($Y18="","",SUMPRODUCT(($D18:$W18=$D$2:$W$2)*($D18:$W18&lt;&gt;"")*$D$3:$W$3*($D$4:$W$4=AA$6)))</f>
        <v/>
      </c>
      <c r="AB18" s="10" t="str">
        <f aca="false">IF($Y18="","",SUMPRODUCT(($D18:$W18=$D$2:$W$2)*($D18:$W18&lt;&gt;"")*$D$3:$W$3*($D$4:$W$4=AB$6)))</f>
        <v/>
      </c>
      <c r="AC18" s="10" t="str">
        <f aca="false">IF($Y18="","",SUMPRODUCT(($D18:$W18=$D$2:$W$2)*($D18:$W18&lt;&gt;"")*$D$3:$W$3*($D$4:$W$4=AC$6)))</f>
        <v/>
      </c>
    </row>
    <row r="19" customFormat="false" ht="15" hidden="false" customHeight="false" outlineLevel="0" collapsed="false">
      <c r="A19" s="5" t="n">
        <v>13</v>
      </c>
      <c r="B19" s="5" t="str">
        <f aca="false">IF(학생명단!B19="","",학생명단!B19)</f>
        <v/>
      </c>
      <c r="C19" s="19" t="str">
        <f aca="false">IF(학생명단!C19="","",학생명단!C19)</f>
        <v/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0" t="str">
        <f aca="false">IF(COUNTA(D19:W19)=0,"",SUMPRODUCT((D19:W19=$D$2:$W$2)*(D19:W19&lt;&gt;"")))</f>
        <v/>
      </c>
      <c r="Y19" s="26" t="str">
        <f aca="false">IF(COUNTA(D19:W19)=0,"",SUMPRODUCT((D19:W19=$D$2:$W$2)*(D19:W19&lt;&gt;"")*$D$3:$W$3))</f>
        <v/>
      </c>
      <c r="Z19" s="10" t="str">
        <f aca="false">IF($Y19="","",SUMPRODUCT(($D19:$W19=$D$2:$W$2)*($D19:$W19&lt;&gt;"")*$D$3:$W$3*($D$4:$W$4=Z$6)))</f>
        <v/>
      </c>
      <c r="AA19" s="10" t="str">
        <f aca="false">IF($Y19="","",SUMPRODUCT(($D19:$W19=$D$2:$W$2)*($D19:$W19&lt;&gt;"")*$D$3:$W$3*($D$4:$W$4=AA$6)))</f>
        <v/>
      </c>
      <c r="AB19" s="10" t="str">
        <f aca="false">IF($Y19="","",SUMPRODUCT(($D19:$W19=$D$2:$W$2)*($D19:$W19&lt;&gt;"")*$D$3:$W$3*($D$4:$W$4=AB$6)))</f>
        <v/>
      </c>
      <c r="AC19" s="10" t="str">
        <f aca="false">IF($Y19="","",SUMPRODUCT(($D19:$W19=$D$2:$W$2)*($D19:$W19&lt;&gt;"")*$D$3:$W$3*($D$4:$W$4=AC$6)))</f>
        <v/>
      </c>
    </row>
    <row r="20" customFormat="false" ht="15" hidden="false" customHeight="false" outlineLevel="0" collapsed="false">
      <c r="A20" s="5" t="n">
        <v>14</v>
      </c>
      <c r="B20" s="5" t="str">
        <f aca="false">IF(학생명단!B20="","",학생명단!B20)</f>
        <v/>
      </c>
      <c r="C20" s="19" t="str">
        <f aca="false">IF(학생명단!C20="","",학생명단!C20)</f>
        <v/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0" t="str">
        <f aca="false">IF(COUNTA(D20:W20)=0,"",SUMPRODUCT((D20:W20=$D$2:$W$2)*(D20:W20&lt;&gt;"")))</f>
        <v/>
      </c>
      <c r="Y20" s="26" t="str">
        <f aca="false">IF(COUNTA(D20:W20)=0,"",SUMPRODUCT((D20:W20=$D$2:$W$2)*(D20:W20&lt;&gt;"")*$D$3:$W$3))</f>
        <v/>
      </c>
      <c r="Z20" s="10" t="str">
        <f aca="false">IF($Y20="","",SUMPRODUCT(($D20:$W20=$D$2:$W$2)*($D20:$W20&lt;&gt;"")*$D$3:$W$3*($D$4:$W$4=Z$6)))</f>
        <v/>
      </c>
      <c r="AA20" s="10" t="str">
        <f aca="false">IF($Y20="","",SUMPRODUCT(($D20:$W20=$D$2:$W$2)*($D20:$W20&lt;&gt;"")*$D$3:$W$3*($D$4:$W$4=AA$6)))</f>
        <v/>
      </c>
      <c r="AB20" s="10" t="str">
        <f aca="false">IF($Y20="","",SUMPRODUCT(($D20:$W20=$D$2:$W$2)*($D20:$W20&lt;&gt;"")*$D$3:$W$3*($D$4:$W$4=AB$6)))</f>
        <v/>
      </c>
      <c r="AC20" s="10" t="str">
        <f aca="false">IF($Y20="","",SUMPRODUCT(($D20:$W20=$D$2:$W$2)*($D20:$W20&lt;&gt;"")*$D$3:$W$3*($D$4:$W$4=AC$6)))</f>
        <v/>
      </c>
    </row>
    <row r="21" customFormat="false" ht="15" hidden="false" customHeight="false" outlineLevel="0" collapsed="false">
      <c r="A21" s="5" t="n">
        <v>15</v>
      </c>
      <c r="B21" s="5" t="str">
        <f aca="false">IF(학생명단!B21="","",학생명단!B21)</f>
        <v/>
      </c>
      <c r="C21" s="19" t="str">
        <f aca="false">IF(학생명단!C21="","",학생명단!C21)</f>
        <v/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0" t="str">
        <f aca="false">IF(COUNTA(D21:W21)=0,"",SUMPRODUCT((D21:W21=$D$2:$W$2)*(D21:W21&lt;&gt;"")))</f>
        <v/>
      </c>
      <c r="Y21" s="26" t="str">
        <f aca="false">IF(COUNTA(D21:W21)=0,"",SUMPRODUCT((D21:W21=$D$2:$W$2)*(D21:W21&lt;&gt;"")*$D$3:$W$3))</f>
        <v/>
      </c>
      <c r="Z21" s="10" t="str">
        <f aca="false">IF($Y21="","",SUMPRODUCT(($D21:$W21=$D$2:$W$2)*($D21:$W21&lt;&gt;"")*$D$3:$W$3*($D$4:$W$4=Z$6)))</f>
        <v/>
      </c>
      <c r="AA21" s="10" t="str">
        <f aca="false">IF($Y21="","",SUMPRODUCT(($D21:$W21=$D$2:$W$2)*($D21:$W21&lt;&gt;"")*$D$3:$W$3*($D$4:$W$4=AA$6)))</f>
        <v/>
      </c>
      <c r="AB21" s="10" t="str">
        <f aca="false">IF($Y21="","",SUMPRODUCT(($D21:$W21=$D$2:$W$2)*($D21:$W21&lt;&gt;"")*$D$3:$W$3*($D$4:$W$4=AB$6)))</f>
        <v/>
      </c>
      <c r="AC21" s="10" t="str">
        <f aca="false">IF($Y21="","",SUMPRODUCT(($D21:$W21=$D$2:$W$2)*($D21:$W21&lt;&gt;"")*$D$3:$W$3*($D$4:$W$4=AC$6)))</f>
        <v/>
      </c>
    </row>
    <row r="22" customFormat="false" ht="15" hidden="false" customHeight="false" outlineLevel="0" collapsed="false">
      <c r="A22" s="5" t="n">
        <v>16</v>
      </c>
      <c r="B22" s="5" t="str">
        <f aca="false">IF(학생명단!B22="","",학생명단!B22)</f>
        <v/>
      </c>
      <c r="C22" s="19" t="str">
        <f aca="false">IF(학생명단!C22="","",학생명단!C22)</f>
        <v/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0" t="str">
        <f aca="false">IF(COUNTA(D22:W22)=0,"",SUMPRODUCT((D22:W22=$D$2:$W$2)*(D22:W22&lt;&gt;"")))</f>
        <v/>
      </c>
      <c r="Y22" s="26" t="str">
        <f aca="false">IF(COUNTA(D22:W22)=0,"",SUMPRODUCT((D22:W22=$D$2:$W$2)*(D22:W22&lt;&gt;"")*$D$3:$W$3))</f>
        <v/>
      </c>
      <c r="Z22" s="10" t="str">
        <f aca="false">IF($Y22="","",SUMPRODUCT(($D22:$W22=$D$2:$W$2)*($D22:$W22&lt;&gt;"")*$D$3:$W$3*($D$4:$W$4=Z$6)))</f>
        <v/>
      </c>
      <c r="AA22" s="10" t="str">
        <f aca="false">IF($Y22="","",SUMPRODUCT(($D22:$W22=$D$2:$W$2)*($D22:$W22&lt;&gt;"")*$D$3:$W$3*($D$4:$W$4=AA$6)))</f>
        <v/>
      </c>
      <c r="AB22" s="10" t="str">
        <f aca="false">IF($Y22="","",SUMPRODUCT(($D22:$W22=$D$2:$W$2)*($D22:$W22&lt;&gt;"")*$D$3:$W$3*($D$4:$W$4=AB$6)))</f>
        <v/>
      </c>
      <c r="AC22" s="10" t="str">
        <f aca="false">IF($Y22="","",SUMPRODUCT(($D22:$W22=$D$2:$W$2)*($D22:$W22&lt;&gt;"")*$D$3:$W$3*($D$4:$W$4=AC$6)))</f>
        <v/>
      </c>
    </row>
    <row r="23" customFormat="false" ht="15" hidden="false" customHeight="false" outlineLevel="0" collapsed="false">
      <c r="A23" s="5" t="n">
        <v>17</v>
      </c>
      <c r="B23" s="5" t="str">
        <f aca="false">IF(학생명단!B23="","",학생명단!B23)</f>
        <v/>
      </c>
      <c r="C23" s="19" t="str">
        <f aca="false">IF(학생명단!C23="","",학생명단!C23)</f>
        <v/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0" t="str">
        <f aca="false">IF(COUNTA(D23:W23)=0,"",SUMPRODUCT((D23:W23=$D$2:$W$2)*(D23:W23&lt;&gt;"")))</f>
        <v/>
      </c>
      <c r="Y23" s="26" t="str">
        <f aca="false">IF(COUNTA(D23:W23)=0,"",SUMPRODUCT((D23:W23=$D$2:$W$2)*(D23:W23&lt;&gt;"")*$D$3:$W$3))</f>
        <v/>
      </c>
      <c r="Z23" s="10" t="str">
        <f aca="false">IF($Y23="","",SUMPRODUCT(($D23:$W23=$D$2:$W$2)*($D23:$W23&lt;&gt;"")*$D$3:$W$3*($D$4:$W$4=Z$6)))</f>
        <v/>
      </c>
      <c r="AA23" s="10" t="str">
        <f aca="false">IF($Y23="","",SUMPRODUCT(($D23:$W23=$D$2:$W$2)*($D23:$W23&lt;&gt;"")*$D$3:$W$3*($D$4:$W$4=AA$6)))</f>
        <v/>
      </c>
      <c r="AB23" s="10" t="str">
        <f aca="false">IF($Y23="","",SUMPRODUCT(($D23:$W23=$D$2:$W$2)*($D23:$W23&lt;&gt;"")*$D$3:$W$3*($D$4:$W$4=AB$6)))</f>
        <v/>
      </c>
      <c r="AC23" s="10" t="str">
        <f aca="false">IF($Y23="","",SUMPRODUCT(($D23:$W23=$D$2:$W$2)*($D23:$W23&lt;&gt;"")*$D$3:$W$3*($D$4:$W$4=AC$6)))</f>
        <v/>
      </c>
    </row>
    <row r="24" customFormat="false" ht="15" hidden="false" customHeight="false" outlineLevel="0" collapsed="false">
      <c r="A24" s="5" t="n">
        <v>18</v>
      </c>
      <c r="B24" s="5" t="str">
        <f aca="false">IF(학생명단!B24="","",학생명단!B24)</f>
        <v/>
      </c>
      <c r="C24" s="19" t="str">
        <f aca="false">IF(학생명단!C24="","",학생명단!C24)</f>
        <v/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0" t="str">
        <f aca="false">IF(COUNTA(D24:W24)=0,"",SUMPRODUCT((D24:W24=$D$2:$W$2)*(D24:W24&lt;&gt;"")))</f>
        <v/>
      </c>
      <c r="Y24" s="26" t="str">
        <f aca="false">IF(COUNTA(D24:W24)=0,"",SUMPRODUCT((D24:W24=$D$2:$W$2)*(D24:W24&lt;&gt;"")*$D$3:$W$3))</f>
        <v/>
      </c>
      <c r="Z24" s="10" t="str">
        <f aca="false">IF($Y24="","",SUMPRODUCT(($D24:$W24=$D$2:$W$2)*($D24:$W24&lt;&gt;"")*$D$3:$W$3*($D$4:$W$4=Z$6)))</f>
        <v/>
      </c>
      <c r="AA24" s="10" t="str">
        <f aca="false">IF($Y24="","",SUMPRODUCT(($D24:$W24=$D$2:$W$2)*($D24:$W24&lt;&gt;"")*$D$3:$W$3*($D$4:$W$4=AA$6)))</f>
        <v/>
      </c>
      <c r="AB24" s="10" t="str">
        <f aca="false">IF($Y24="","",SUMPRODUCT(($D24:$W24=$D$2:$W$2)*($D24:$W24&lt;&gt;"")*$D$3:$W$3*($D$4:$W$4=AB$6)))</f>
        <v/>
      </c>
      <c r="AC24" s="10" t="str">
        <f aca="false">IF($Y24="","",SUMPRODUCT(($D24:$W24=$D$2:$W$2)*($D24:$W24&lt;&gt;"")*$D$3:$W$3*($D$4:$W$4=AC$6)))</f>
        <v/>
      </c>
    </row>
    <row r="25" customFormat="false" ht="15" hidden="false" customHeight="false" outlineLevel="0" collapsed="false">
      <c r="A25" s="5" t="n">
        <v>19</v>
      </c>
      <c r="B25" s="5" t="str">
        <f aca="false">IF(학생명단!B25="","",학생명단!B25)</f>
        <v/>
      </c>
      <c r="C25" s="19" t="str">
        <f aca="false">IF(학생명단!C25="","",학생명단!C25)</f>
        <v/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0" t="str">
        <f aca="false">IF(COUNTA(D25:W25)=0,"",SUMPRODUCT((D25:W25=$D$2:$W$2)*(D25:W25&lt;&gt;"")))</f>
        <v/>
      </c>
      <c r="Y25" s="26" t="str">
        <f aca="false">IF(COUNTA(D25:W25)=0,"",SUMPRODUCT((D25:W25=$D$2:$W$2)*(D25:W25&lt;&gt;"")*$D$3:$W$3))</f>
        <v/>
      </c>
      <c r="Z25" s="10" t="str">
        <f aca="false">IF($Y25="","",SUMPRODUCT(($D25:$W25=$D$2:$W$2)*($D25:$W25&lt;&gt;"")*$D$3:$W$3*($D$4:$W$4=Z$6)))</f>
        <v/>
      </c>
      <c r="AA25" s="10" t="str">
        <f aca="false">IF($Y25="","",SUMPRODUCT(($D25:$W25=$D$2:$W$2)*($D25:$W25&lt;&gt;"")*$D$3:$W$3*($D$4:$W$4=AA$6)))</f>
        <v/>
      </c>
      <c r="AB25" s="10" t="str">
        <f aca="false">IF($Y25="","",SUMPRODUCT(($D25:$W25=$D$2:$W$2)*($D25:$W25&lt;&gt;"")*$D$3:$W$3*($D$4:$W$4=AB$6)))</f>
        <v/>
      </c>
      <c r="AC25" s="10" t="str">
        <f aca="false">IF($Y25="","",SUMPRODUCT(($D25:$W25=$D$2:$W$2)*($D25:$W25&lt;&gt;"")*$D$3:$W$3*($D$4:$W$4=AC$6)))</f>
        <v/>
      </c>
    </row>
    <row r="26" customFormat="false" ht="15" hidden="false" customHeight="false" outlineLevel="0" collapsed="false">
      <c r="A26" s="5" t="n">
        <v>20</v>
      </c>
      <c r="B26" s="5" t="str">
        <f aca="false">IF(학생명단!B26="","",학생명단!B26)</f>
        <v/>
      </c>
      <c r="C26" s="19" t="str">
        <f aca="false">IF(학생명단!C26="","",학생명단!C26)</f>
        <v/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0" t="str">
        <f aca="false">IF(COUNTA(D26:W26)=0,"",SUMPRODUCT((D26:W26=$D$2:$W$2)*(D26:W26&lt;&gt;"")))</f>
        <v/>
      </c>
      <c r="Y26" s="26" t="str">
        <f aca="false">IF(COUNTA(D26:W26)=0,"",SUMPRODUCT((D26:W26=$D$2:$W$2)*(D26:W26&lt;&gt;"")*$D$3:$W$3))</f>
        <v/>
      </c>
      <c r="Z26" s="10" t="str">
        <f aca="false">IF($Y26="","",SUMPRODUCT(($D26:$W26=$D$2:$W$2)*($D26:$W26&lt;&gt;"")*$D$3:$W$3*($D$4:$W$4=Z$6)))</f>
        <v/>
      </c>
      <c r="AA26" s="10" t="str">
        <f aca="false">IF($Y26="","",SUMPRODUCT(($D26:$W26=$D$2:$W$2)*($D26:$W26&lt;&gt;"")*$D$3:$W$3*($D$4:$W$4=AA$6)))</f>
        <v/>
      </c>
      <c r="AB26" s="10" t="str">
        <f aca="false">IF($Y26="","",SUMPRODUCT(($D26:$W26=$D$2:$W$2)*($D26:$W26&lt;&gt;"")*$D$3:$W$3*($D$4:$W$4=AB$6)))</f>
        <v/>
      </c>
      <c r="AC26" s="10" t="str">
        <f aca="false">IF($Y26="","",SUMPRODUCT(($D26:$W26=$D$2:$W$2)*($D26:$W26&lt;&gt;"")*$D$3:$W$3*($D$4:$W$4=AC$6)))</f>
        <v/>
      </c>
    </row>
    <row r="27" customFormat="false" ht="15" hidden="false" customHeight="false" outlineLevel="0" collapsed="false">
      <c r="A27" s="5" t="n">
        <v>21</v>
      </c>
      <c r="B27" s="5" t="str">
        <f aca="false">IF(학생명단!B27="","",학생명단!B27)</f>
        <v/>
      </c>
      <c r="C27" s="19" t="str">
        <f aca="false">IF(학생명단!C27="","",학생명단!C27)</f>
        <v/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0" t="str">
        <f aca="false">IF(COUNTA(D27:W27)=0,"",SUMPRODUCT((D27:W27=$D$2:$W$2)*(D27:W27&lt;&gt;"")))</f>
        <v/>
      </c>
      <c r="Y27" s="26" t="str">
        <f aca="false">IF(COUNTA(D27:W27)=0,"",SUMPRODUCT((D27:W27=$D$2:$W$2)*(D27:W27&lt;&gt;"")*$D$3:$W$3))</f>
        <v/>
      </c>
      <c r="Z27" s="10" t="str">
        <f aca="false">IF($Y27="","",SUMPRODUCT(($D27:$W27=$D$2:$W$2)*($D27:$W27&lt;&gt;"")*$D$3:$W$3*($D$4:$W$4=Z$6)))</f>
        <v/>
      </c>
      <c r="AA27" s="10" t="str">
        <f aca="false">IF($Y27="","",SUMPRODUCT(($D27:$W27=$D$2:$W$2)*($D27:$W27&lt;&gt;"")*$D$3:$W$3*($D$4:$W$4=AA$6)))</f>
        <v/>
      </c>
      <c r="AB27" s="10" t="str">
        <f aca="false">IF($Y27="","",SUMPRODUCT(($D27:$W27=$D$2:$W$2)*($D27:$W27&lt;&gt;"")*$D$3:$W$3*($D$4:$W$4=AB$6)))</f>
        <v/>
      </c>
      <c r="AC27" s="10" t="str">
        <f aca="false">IF($Y27="","",SUMPRODUCT(($D27:$W27=$D$2:$W$2)*($D27:$W27&lt;&gt;"")*$D$3:$W$3*($D$4:$W$4=AC$6)))</f>
        <v/>
      </c>
    </row>
    <row r="28" customFormat="false" ht="15" hidden="false" customHeight="false" outlineLevel="0" collapsed="false">
      <c r="A28" s="5" t="n">
        <v>22</v>
      </c>
      <c r="B28" s="5" t="str">
        <f aca="false">IF(학생명단!B28="","",학생명단!B28)</f>
        <v/>
      </c>
      <c r="C28" s="19" t="str">
        <f aca="false">IF(학생명단!C28="","",학생명단!C28)</f>
        <v/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0" t="str">
        <f aca="false">IF(COUNTA(D28:W28)=0,"",SUMPRODUCT((D28:W28=$D$2:$W$2)*(D28:W28&lt;&gt;"")))</f>
        <v/>
      </c>
      <c r="Y28" s="26" t="str">
        <f aca="false">IF(COUNTA(D28:W28)=0,"",SUMPRODUCT((D28:W28=$D$2:$W$2)*(D28:W28&lt;&gt;"")*$D$3:$W$3))</f>
        <v/>
      </c>
      <c r="Z28" s="10" t="str">
        <f aca="false">IF($Y28="","",SUMPRODUCT(($D28:$W28=$D$2:$W$2)*($D28:$W28&lt;&gt;"")*$D$3:$W$3*($D$4:$W$4=Z$6)))</f>
        <v/>
      </c>
      <c r="AA28" s="10" t="str">
        <f aca="false">IF($Y28="","",SUMPRODUCT(($D28:$W28=$D$2:$W$2)*($D28:$W28&lt;&gt;"")*$D$3:$W$3*($D$4:$W$4=AA$6)))</f>
        <v/>
      </c>
      <c r="AB28" s="10" t="str">
        <f aca="false">IF($Y28="","",SUMPRODUCT(($D28:$W28=$D$2:$W$2)*($D28:$W28&lt;&gt;"")*$D$3:$W$3*($D$4:$W$4=AB$6)))</f>
        <v/>
      </c>
      <c r="AC28" s="10" t="str">
        <f aca="false">IF($Y28="","",SUMPRODUCT(($D28:$W28=$D$2:$W$2)*($D28:$W28&lt;&gt;"")*$D$3:$W$3*($D$4:$W$4=AC$6)))</f>
        <v/>
      </c>
    </row>
    <row r="29" customFormat="false" ht="15" hidden="false" customHeight="false" outlineLevel="0" collapsed="false">
      <c r="A29" s="5" t="n">
        <v>23</v>
      </c>
      <c r="B29" s="5" t="str">
        <f aca="false">IF(학생명단!B29="","",학생명단!B29)</f>
        <v/>
      </c>
      <c r="C29" s="19" t="str">
        <f aca="false">IF(학생명단!C29="","",학생명단!C29)</f>
        <v/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0" t="str">
        <f aca="false">IF(COUNTA(D29:W29)=0,"",SUMPRODUCT((D29:W29=$D$2:$W$2)*(D29:W29&lt;&gt;"")))</f>
        <v/>
      </c>
      <c r="Y29" s="26" t="str">
        <f aca="false">IF(COUNTA(D29:W29)=0,"",SUMPRODUCT((D29:W29=$D$2:$W$2)*(D29:W29&lt;&gt;"")*$D$3:$W$3))</f>
        <v/>
      </c>
      <c r="Z29" s="10" t="str">
        <f aca="false">IF($Y29="","",SUMPRODUCT(($D29:$W29=$D$2:$W$2)*($D29:$W29&lt;&gt;"")*$D$3:$W$3*($D$4:$W$4=Z$6)))</f>
        <v/>
      </c>
      <c r="AA29" s="10" t="str">
        <f aca="false">IF($Y29="","",SUMPRODUCT(($D29:$W29=$D$2:$W$2)*($D29:$W29&lt;&gt;"")*$D$3:$W$3*($D$4:$W$4=AA$6)))</f>
        <v/>
      </c>
      <c r="AB29" s="10" t="str">
        <f aca="false">IF($Y29="","",SUMPRODUCT(($D29:$W29=$D$2:$W$2)*($D29:$W29&lt;&gt;"")*$D$3:$W$3*($D$4:$W$4=AB$6)))</f>
        <v/>
      </c>
      <c r="AC29" s="10" t="str">
        <f aca="false">IF($Y29="","",SUMPRODUCT(($D29:$W29=$D$2:$W$2)*($D29:$W29&lt;&gt;"")*$D$3:$W$3*($D$4:$W$4=AC$6)))</f>
        <v/>
      </c>
    </row>
    <row r="30" customFormat="false" ht="15" hidden="false" customHeight="false" outlineLevel="0" collapsed="false">
      <c r="A30" s="5" t="n">
        <v>24</v>
      </c>
      <c r="B30" s="5" t="str">
        <f aca="false">IF(학생명단!B30="","",학생명단!B30)</f>
        <v/>
      </c>
      <c r="C30" s="19" t="str">
        <f aca="false">IF(학생명단!C30="","",학생명단!C30)</f>
        <v/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0" t="str">
        <f aca="false">IF(COUNTA(D30:W30)=0,"",SUMPRODUCT((D30:W30=$D$2:$W$2)*(D30:W30&lt;&gt;"")))</f>
        <v/>
      </c>
      <c r="Y30" s="26" t="str">
        <f aca="false">IF(COUNTA(D30:W30)=0,"",SUMPRODUCT((D30:W30=$D$2:$W$2)*(D30:W30&lt;&gt;"")*$D$3:$W$3))</f>
        <v/>
      </c>
      <c r="Z30" s="10" t="str">
        <f aca="false">IF($Y30="","",SUMPRODUCT(($D30:$W30=$D$2:$W$2)*($D30:$W30&lt;&gt;"")*$D$3:$W$3*($D$4:$W$4=Z$6)))</f>
        <v/>
      </c>
      <c r="AA30" s="10" t="str">
        <f aca="false">IF($Y30="","",SUMPRODUCT(($D30:$W30=$D$2:$W$2)*($D30:$W30&lt;&gt;"")*$D$3:$W$3*($D$4:$W$4=AA$6)))</f>
        <v/>
      </c>
      <c r="AB30" s="10" t="str">
        <f aca="false">IF($Y30="","",SUMPRODUCT(($D30:$W30=$D$2:$W$2)*($D30:$W30&lt;&gt;"")*$D$3:$W$3*($D$4:$W$4=AB$6)))</f>
        <v/>
      </c>
      <c r="AC30" s="10" t="str">
        <f aca="false">IF($Y30="","",SUMPRODUCT(($D30:$W30=$D$2:$W$2)*($D30:$W30&lt;&gt;"")*$D$3:$W$3*($D$4:$W$4=AC$6)))</f>
        <v/>
      </c>
    </row>
    <row r="31" customFormat="false" ht="15" hidden="false" customHeight="false" outlineLevel="0" collapsed="false">
      <c r="A31" s="5" t="n">
        <v>25</v>
      </c>
      <c r="B31" s="5" t="str">
        <f aca="false">IF(학생명단!B31="","",학생명단!B31)</f>
        <v/>
      </c>
      <c r="C31" s="19" t="str">
        <f aca="false">IF(학생명단!C31="","",학생명단!C31)</f>
        <v/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0" t="str">
        <f aca="false">IF(COUNTA(D31:W31)=0,"",SUMPRODUCT((D31:W31=$D$2:$W$2)*(D31:W31&lt;&gt;"")))</f>
        <v/>
      </c>
      <c r="Y31" s="26" t="str">
        <f aca="false">IF(COUNTA(D31:W31)=0,"",SUMPRODUCT((D31:W31=$D$2:$W$2)*(D31:W31&lt;&gt;"")*$D$3:$W$3))</f>
        <v/>
      </c>
      <c r="Z31" s="10" t="str">
        <f aca="false">IF($Y31="","",SUMPRODUCT(($D31:$W31=$D$2:$W$2)*($D31:$W31&lt;&gt;"")*$D$3:$W$3*($D$4:$W$4=Z$6)))</f>
        <v/>
      </c>
      <c r="AA31" s="10" t="str">
        <f aca="false">IF($Y31="","",SUMPRODUCT(($D31:$W31=$D$2:$W$2)*($D31:$W31&lt;&gt;"")*$D$3:$W$3*($D$4:$W$4=AA$6)))</f>
        <v/>
      </c>
      <c r="AB31" s="10" t="str">
        <f aca="false">IF($Y31="","",SUMPRODUCT(($D31:$W31=$D$2:$W$2)*($D31:$W31&lt;&gt;"")*$D$3:$W$3*($D$4:$W$4=AB$6)))</f>
        <v/>
      </c>
      <c r="AC31" s="10" t="str">
        <f aca="false">IF($Y31="","",SUMPRODUCT(($D31:$W31=$D$2:$W$2)*($D31:$W31&lt;&gt;"")*$D$3:$W$3*($D$4:$W$4=AC$6)))</f>
        <v/>
      </c>
    </row>
    <row r="32" customFormat="false" ht="15" hidden="false" customHeight="false" outlineLevel="0" collapsed="false">
      <c r="A32" s="5" t="n">
        <v>26</v>
      </c>
      <c r="B32" s="5" t="str">
        <f aca="false">IF(학생명단!B32="","",학생명단!B32)</f>
        <v/>
      </c>
      <c r="C32" s="19" t="str">
        <f aca="false">IF(학생명단!C32="","",학생명단!C32)</f>
        <v/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0" t="str">
        <f aca="false">IF(COUNTA(D32:W32)=0,"",SUMPRODUCT((D32:W32=$D$2:$W$2)*(D32:W32&lt;&gt;"")))</f>
        <v/>
      </c>
      <c r="Y32" s="26" t="str">
        <f aca="false">IF(COUNTA(D32:W32)=0,"",SUMPRODUCT((D32:W32=$D$2:$W$2)*(D32:W32&lt;&gt;"")*$D$3:$W$3))</f>
        <v/>
      </c>
      <c r="Z32" s="10" t="str">
        <f aca="false">IF($Y32="","",SUMPRODUCT(($D32:$W32=$D$2:$W$2)*($D32:$W32&lt;&gt;"")*$D$3:$W$3*($D$4:$W$4=Z$6)))</f>
        <v/>
      </c>
      <c r="AA32" s="10" t="str">
        <f aca="false">IF($Y32="","",SUMPRODUCT(($D32:$W32=$D$2:$W$2)*($D32:$W32&lt;&gt;"")*$D$3:$W$3*($D$4:$W$4=AA$6)))</f>
        <v/>
      </c>
      <c r="AB32" s="10" t="str">
        <f aca="false">IF($Y32="","",SUMPRODUCT(($D32:$W32=$D$2:$W$2)*($D32:$W32&lt;&gt;"")*$D$3:$W$3*($D$4:$W$4=AB$6)))</f>
        <v/>
      </c>
      <c r="AC32" s="10" t="str">
        <f aca="false">IF($Y32="","",SUMPRODUCT(($D32:$W32=$D$2:$W$2)*($D32:$W32&lt;&gt;"")*$D$3:$W$3*($D$4:$W$4=AC$6)))</f>
        <v/>
      </c>
    </row>
    <row r="33" customFormat="false" ht="15" hidden="false" customHeight="false" outlineLevel="0" collapsed="false">
      <c r="A33" s="5" t="n">
        <v>27</v>
      </c>
      <c r="B33" s="5" t="str">
        <f aca="false">IF(학생명단!B33="","",학생명단!B33)</f>
        <v/>
      </c>
      <c r="C33" s="19" t="str">
        <f aca="false">IF(학생명단!C33="","",학생명단!C33)</f>
        <v/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0" t="str">
        <f aca="false">IF(COUNTA(D33:W33)=0,"",SUMPRODUCT((D33:W33=$D$2:$W$2)*(D33:W33&lt;&gt;"")))</f>
        <v/>
      </c>
      <c r="Y33" s="26" t="str">
        <f aca="false">IF(COUNTA(D33:W33)=0,"",SUMPRODUCT((D33:W33=$D$2:$W$2)*(D33:W33&lt;&gt;"")*$D$3:$W$3))</f>
        <v/>
      </c>
      <c r="Z33" s="10" t="str">
        <f aca="false">IF($Y33="","",SUMPRODUCT(($D33:$W33=$D$2:$W$2)*($D33:$W33&lt;&gt;"")*$D$3:$W$3*($D$4:$W$4=Z$6)))</f>
        <v/>
      </c>
      <c r="AA33" s="10" t="str">
        <f aca="false">IF($Y33="","",SUMPRODUCT(($D33:$W33=$D$2:$W$2)*($D33:$W33&lt;&gt;"")*$D$3:$W$3*($D$4:$W$4=AA$6)))</f>
        <v/>
      </c>
      <c r="AB33" s="10" t="str">
        <f aca="false">IF($Y33="","",SUMPRODUCT(($D33:$W33=$D$2:$W$2)*($D33:$W33&lt;&gt;"")*$D$3:$W$3*($D$4:$W$4=AB$6)))</f>
        <v/>
      </c>
      <c r="AC33" s="10" t="str">
        <f aca="false">IF($Y33="","",SUMPRODUCT(($D33:$W33=$D$2:$W$2)*($D33:$W33&lt;&gt;"")*$D$3:$W$3*($D$4:$W$4=AC$6)))</f>
        <v/>
      </c>
    </row>
    <row r="34" customFormat="false" ht="15" hidden="false" customHeight="false" outlineLevel="0" collapsed="false">
      <c r="A34" s="5" t="n">
        <v>28</v>
      </c>
      <c r="B34" s="5" t="str">
        <f aca="false">IF(학생명단!B34="","",학생명단!B34)</f>
        <v/>
      </c>
      <c r="C34" s="19" t="str">
        <f aca="false">IF(학생명단!C34="","",학생명단!C34)</f>
        <v/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0" t="str">
        <f aca="false">IF(COUNTA(D34:W34)=0,"",SUMPRODUCT((D34:W34=$D$2:$W$2)*(D34:W34&lt;&gt;"")))</f>
        <v/>
      </c>
      <c r="Y34" s="26" t="str">
        <f aca="false">IF(COUNTA(D34:W34)=0,"",SUMPRODUCT((D34:W34=$D$2:$W$2)*(D34:W34&lt;&gt;"")*$D$3:$W$3))</f>
        <v/>
      </c>
      <c r="Z34" s="10" t="str">
        <f aca="false">IF($Y34="","",SUMPRODUCT(($D34:$W34=$D$2:$W$2)*($D34:$W34&lt;&gt;"")*$D$3:$W$3*($D$4:$W$4=Z$6)))</f>
        <v/>
      </c>
      <c r="AA34" s="10" t="str">
        <f aca="false">IF($Y34="","",SUMPRODUCT(($D34:$W34=$D$2:$W$2)*($D34:$W34&lt;&gt;"")*$D$3:$W$3*($D$4:$W$4=AA$6)))</f>
        <v/>
      </c>
      <c r="AB34" s="10" t="str">
        <f aca="false">IF($Y34="","",SUMPRODUCT(($D34:$W34=$D$2:$W$2)*($D34:$W34&lt;&gt;"")*$D$3:$W$3*($D$4:$W$4=AB$6)))</f>
        <v/>
      </c>
      <c r="AC34" s="10" t="str">
        <f aca="false">IF($Y34="","",SUMPRODUCT(($D34:$W34=$D$2:$W$2)*($D34:$W34&lt;&gt;"")*$D$3:$W$3*($D$4:$W$4=AC$6)))</f>
        <v/>
      </c>
    </row>
    <row r="35" customFormat="false" ht="15" hidden="false" customHeight="false" outlineLevel="0" collapsed="false">
      <c r="A35" s="5" t="n">
        <v>29</v>
      </c>
      <c r="B35" s="5" t="str">
        <f aca="false">IF(학생명단!B35="","",학생명단!B35)</f>
        <v/>
      </c>
      <c r="C35" s="19" t="str">
        <f aca="false">IF(학생명단!C35="","",학생명단!C35)</f>
        <v/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0" t="str">
        <f aca="false">IF(COUNTA(D35:W35)=0,"",SUMPRODUCT((D35:W35=$D$2:$W$2)*(D35:W35&lt;&gt;"")))</f>
        <v/>
      </c>
      <c r="Y35" s="26" t="str">
        <f aca="false">IF(COUNTA(D35:W35)=0,"",SUMPRODUCT((D35:W35=$D$2:$W$2)*(D35:W35&lt;&gt;"")*$D$3:$W$3))</f>
        <v/>
      </c>
      <c r="Z35" s="10" t="str">
        <f aca="false">IF($Y35="","",SUMPRODUCT(($D35:$W35=$D$2:$W$2)*($D35:$W35&lt;&gt;"")*$D$3:$W$3*($D$4:$W$4=Z$6)))</f>
        <v/>
      </c>
      <c r="AA35" s="10" t="str">
        <f aca="false">IF($Y35="","",SUMPRODUCT(($D35:$W35=$D$2:$W$2)*($D35:$W35&lt;&gt;"")*$D$3:$W$3*($D$4:$W$4=AA$6)))</f>
        <v/>
      </c>
      <c r="AB35" s="10" t="str">
        <f aca="false">IF($Y35="","",SUMPRODUCT(($D35:$W35=$D$2:$W$2)*($D35:$W35&lt;&gt;"")*$D$3:$W$3*($D$4:$W$4=AB$6)))</f>
        <v/>
      </c>
      <c r="AC35" s="10" t="str">
        <f aca="false">IF($Y35="","",SUMPRODUCT(($D35:$W35=$D$2:$W$2)*($D35:$W35&lt;&gt;"")*$D$3:$W$3*($D$4:$W$4=AC$6)))</f>
        <v/>
      </c>
    </row>
    <row r="36" customFormat="false" ht="15" hidden="false" customHeight="false" outlineLevel="0" collapsed="false">
      <c r="A36" s="5" t="n">
        <v>30</v>
      </c>
      <c r="B36" s="5" t="str">
        <f aca="false">IF(학생명단!B36="","",학생명단!B36)</f>
        <v/>
      </c>
      <c r="C36" s="19" t="str">
        <f aca="false">IF(학생명단!C36="","",학생명단!C36)</f>
        <v/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0" t="str">
        <f aca="false">IF(COUNTA(D36:W36)=0,"",SUMPRODUCT((D36:W36=$D$2:$W$2)*(D36:W36&lt;&gt;"")))</f>
        <v/>
      </c>
      <c r="Y36" s="26" t="str">
        <f aca="false">IF(COUNTA(D36:W36)=0,"",SUMPRODUCT((D36:W36=$D$2:$W$2)*(D36:W36&lt;&gt;"")*$D$3:$W$3))</f>
        <v/>
      </c>
      <c r="Z36" s="10" t="str">
        <f aca="false">IF($Y36="","",SUMPRODUCT(($D36:$W36=$D$2:$W$2)*($D36:$W36&lt;&gt;"")*$D$3:$W$3*($D$4:$W$4=Z$6)))</f>
        <v/>
      </c>
      <c r="AA36" s="10" t="str">
        <f aca="false">IF($Y36="","",SUMPRODUCT(($D36:$W36=$D$2:$W$2)*($D36:$W36&lt;&gt;"")*$D$3:$W$3*($D$4:$W$4=AA$6)))</f>
        <v/>
      </c>
      <c r="AB36" s="10" t="str">
        <f aca="false">IF($Y36="","",SUMPRODUCT(($D36:$W36=$D$2:$W$2)*($D36:$W36&lt;&gt;"")*$D$3:$W$3*($D$4:$W$4=AB$6)))</f>
        <v/>
      </c>
      <c r="AC36" s="10" t="str">
        <f aca="false">IF($Y36="","",SUMPRODUCT(($D36:$W36=$D$2:$W$2)*($D36:$W36&lt;&gt;"")*$D$3:$W$3*($D$4:$W$4=AC$6)))</f>
        <v/>
      </c>
    </row>
    <row r="37" customFormat="false" ht="15" hidden="false" customHeight="false" outlineLevel="0" collapsed="false">
      <c r="A37" s="5" t="n">
        <v>31</v>
      </c>
      <c r="B37" s="5" t="str">
        <f aca="false">IF(학생명단!B37="","",학생명단!B37)</f>
        <v/>
      </c>
      <c r="C37" s="19" t="str">
        <f aca="false">IF(학생명단!C37="","",학생명단!C37)</f>
        <v/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0" t="str">
        <f aca="false">IF(COUNTA(D37:W37)=0,"",SUMPRODUCT((D37:W37=$D$2:$W$2)*(D37:W37&lt;&gt;"")))</f>
        <v/>
      </c>
      <c r="Y37" s="26" t="str">
        <f aca="false">IF(COUNTA(D37:W37)=0,"",SUMPRODUCT((D37:W37=$D$2:$W$2)*(D37:W37&lt;&gt;"")*$D$3:$W$3))</f>
        <v/>
      </c>
      <c r="Z37" s="10" t="str">
        <f aca="false">IF($Y37="","",SUMPRODUCT(($D37:$W37=$D$2:$W$2)*($D37:$W37&lt;&gt;"")*$D$3:$W$3*($D$4:$W$4=Z$6)))</f>
        <v/>
      </c>
      <c r="AA37" s="10" t="str">
        <f aca="false">IF($Y37="","",SUMPRODUCT(($D37:$W37=$D$2:$W$2)*($D37:$W37&lt;&gt;"")*$D$3:$W$3*($D$4:$W$4=AA$6)))</f>
        <v/>
      </c>
      <c r="AB37" s="10" t="str">
        <f aca="false">IF($Y37="","",SUMPRODUCT(($D37:$W37=$D$2:$W$2)*($D37:$W37&lt;&gt;"")*$D$3:$W$3*($D$4:$W$4=AB$6)))</f>
        <v/>
      </c>
      <c r="AC37" s="10" t="str">
        <f aca="false">IF($Y37="","",SUMPRODUCT(($D37:$W37=$D$2:$W$2)*($D37:$W37&lt;&gt;"")*$D$3:$W$3*($D$4:$W$4=AC$6)))</f>
        <v/>
      </c>
    </row>
    <row r="38" customFormat="false" ht="15" hidden="false" customHeight="false" outlineLevel="0" collapsed="false">
      <c r="A38" s="5" t="n">
        <v>32</v>
      </c>
      <c r="B38" s="5" t="str">
        <f aca="false">IF(학생명단!B38="","",학생명단!B38)</f>
        <v/>
      </c>
      <c r="C38" s="19" t="str">
        <f aca="false">IF(학생명단!C38="","",학생명단!C38)</f>
        <v/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0" t="str">
        <f aca="false">IF(COUNTA(D38:W38)=0,"",SUMPRODUCT((D38:W38=$D$2:$W$2)*(D38:W38&lt;&gt;"")))</f>
        <v/>
      </c>
      <c r="Y38" s="26" t="str">
        <f aca="false">IF(COUNTA(D38:W38)=0,"",SUMPRODUCT((D38:W38=$D$2:$W$2)*(D38:W38&lt;&gt;"")*$D$3:$W$3))</f>
        <v/>
      </c>
      <c r="Z38" s="10" t="str">
        <f aca="false">IF($Y38="","",SUMPRODUCT(($D38:$W38=$D$2:$W$2)*($D38:$W38&lt;&gt;"")*$D$3:$W$3*($D$4:$W$4=Z$6)))</f>
        <v/>
      </c>
      <c r="AA38" s="10" t="str">
        <f aca="false">IF($Y38="","",SUMPRODUCT(($D38:$W38=$D$2:$W$2)*($D38:$W38&lt;&gt;"")*$D$3:$W$3*($D$4:$W$4=AA$6)))</f>
        <v/>
      </c>
      <c r="AB38" s="10" t="str">
        <f aca="false">IF($Y38="","",SUMPRODUCT(($D38:$W38=$D$2:$W$2)*($D38:$W38&lt;&gt;"")*$D$3:$W$3*($D$4:$W$4=AB$6)))</f>
        <v/>
      </c>
      <c r="AC38" s="10" t="str">
        <f aca="false">IF($Y38="","",SUMPRODUCT(($D38:$W38=$D$2:$W$2)*($D38:$W38&lt;&gt;"")*$D$3:$W$3*($D$4:$W$4=AC$6)))</f>
        <v/>
      </c>
    </row>
    <row r="39" customFormat="false" ht="15" hidden="false" customHeight="false" outlineLevel="0" collapsed="false">
      <c r="A39" s="5" t="n">
        <v>33</v>
      </c>
      <c r="B39" s="5" t="str">
        <f aca="false">IF(학생명단!B39="","",학생명단!B39)</f>
        <v/>
      </c>
      <c r="C39" s="19" t="str">
        <f aca="false">IF(학생명단!C39="","",학생명단!C39)</f>
        <v/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0" t="str">
        <f aca="false">IF(COUNTA(D39:W39)=0,"",SUMPRODUCT((D39:W39=$D$2:$W$2)*(D39:W39&lt;&gt;"")))</f>
        <v/>
      </c>
      <c r="Y39" s="26" t="str">
        <f aca="false">IF(COUNTA(D39:W39)=0,"",SUMPRODUCT((D39:W39=$D$2:$W$2)*(D39:W39&lt;&gt;"")*$D$3:$W$3))</f>
        <v/>
      </c>
      <c r="Z39" s="10" t="str">
        <f aca="false">IF($Y39="","",SUMPRODUCT(($D39:$W39=$D$2:$W$2)*($D39:$W39&lt;&gt;"")*$D$3:$W$3*($D$4:$W$4=Z$6)))</f>
        <v/>
      </c>
      <c r="AA39" s="10" t="str">
        <f aca="false">IF($Y39="","",SUMPRODUCT(($D39:$W39=$D$2:$W$2)*($D39:$W39&lt;&gt;"")*$D$3:$W$3*($D$4:$W$4=AA$6)))</f>
        <v/>
      </c>
      <c r="AB39" s="10" t="str">
        <f aca="false">IF($Y39="","",SUMPRODUCT(($D39:$W39=$D$2:$W$2)*($D39:$W39&lt;&gt;"")*$D$3:$W$3*($D$4:$W$4=AB$6)))</f>
        <v/>
      </c>
      <c r="AC39" s="10" t="str">
        <f aca="false">IF($Y39="","",SUMPRODUCT(($D39:$W39=$D$2:$W$2)*($D39:$W39&lt;&gt;"")*$D$3:$W$3*($D$4:$W$4=AC$6)))</f>
        <v/>
      </c>
    </row>
    <row r="40" customFormat="false" ht="15" hidden="false" customHeight="false" outlineLevel="0" collapsed="false">
      <c r="A40" s="5" t="n">
        <v>34</v>
      </c>
      <c r="B40" s="5" t="str">
        <f aca="false">IF(학생명단!B40="","",학생명단!B40)</f>
        <v/>
      </c>
      <c r="C40" s="19" t="str">
        <f aca="false">IF(학생명단!C40="","",학생명단!C40)</f>
        <v/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0" t="str">
        <f aca="false">IF(COUNTA(D40:W40)=0,"",SUMPRODUCT((D40:W40=$D$2:$W$2)*(D40:W40&lt;&gt;"")))</f>
        <v/>
      </c>
      <c r="Y40" s="26" t="str">
        <f aca="false">IF(COUNTA(D40:W40)=0,"",SUMPRODUCT((D40:W40=$D$2:$W$2)*(D40:W40&lt;&gt;"")*$D$3:$W$3))</f>
        <v/>
      </c>
      <c r="Z40" s="10" t="str">
        <f aca="false">IF($Y40="","",SUMPRODUCT(($D40:$W40=$D$2:$W$2)*($D40:$W40&lt;&gt;"")*$D$3:$W$3*($D$4:$W$4=Z$6)))</f>
        <v/>
      </c>
      <c r="AA40" s="10" t="str">
        <f aca="false">IF($Y40="","",SUMPRODUCT(($D40:$W40=$D$2:$W$2)*($D40:$W40&lt;&gt;"")*$D$3:$W$3*($D$4:$W$4=AA$6)))</f>
        <v/>
      </c>
      <c r="AB40" s="10" t="str">
        <f aca="false">IF($Y40="","",SUMPRODUCT(($D40:$W40=$D$2:$W$2)*($D40:$W40&lt;&gt;"")*$D$3:$W$3*($D$4:$W$4=AB$6)))</f>
        <v/>
      </c>
      <c r="AC40" s="10" t="str">
        <f aca="false">IF($Y40="","",SUMPRODUCT(($D40:$W40=$D$2:$W$2)*($D40:$W40&lt;&gt;"")*$D$3:$W$3*($D$4:$W$4=AC$6)))</f>
        <v/>
      </c>
    </row>
    <row r="41" customFormat="false" ht="15" hidden="false" customHeight="false" outlineLevel="0" collapsed="false">
      <c r="A41" s="5" t="n">
        <v>35</v>
      </c>
      <c r="B41" s="5" t="str">
        <f aca="false">IF(학생명단!B41="","",학생명단!B41)</f>
        <v/>
      </c>
      <c r="C41" s="19" t="str">
        <f aca="false">IF(학생명단!C41="","",학생명단!C41)</f>
        <v/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0" t="str">
        <f aca="false">IF(COUNTA(D41:W41)=0,"",SUMPRODUCT((D41:W41=$D$2:$W$2)*(D41:W41&lt;&gt;"")))</f>
        <v/>
      </c>
      <c r="Y41" s="26" t="str">
        <f aca="false">IF(COUNTA(D41:W41)=0,"",SUMPRODUCT((D41:W41=$D$2:$W$2)*(D41:W41&lt;&gt;"")*$D$3:$W$3))</f>
        <v/>
      </c>
      <c r="Z41" s="10" t="str">
        <f aca="false">IF($Y41="","",SUMPRODUCT(($D41:$W41=$D$2:$W$2)*($D41:$W41&lt;&gt;"")*$D$3:$W$3*($D$4:$W$4=Z$6)))</f>
        <v/>
      </c>
      <c r="AA41" s="10" t="str">
        <f aca="false">IF($Y41="","",SUMPRODUCT(($D41:$W41=$D$2:$W$2)*($D41:$W41&lt;&gt;"")*$D$3:$W$3*($D$4:$W$4=AA$6)))</f>
        <v/>
      </c>
      <c r="AB41" s="10" t="str">
        <f aca="false">IF($Y41="","",SUMPRODUCT(($D41:$W41=$D$2:$W$2)*($D41:$W41&lt;&gt;"")*$D$3:$W$3*($D$4:$W$4=AB$6)))</f>
        <v/>
      </c>
      <c r="AC41" s="10" t="str">
        <f aca="false">IF($Y41="","",SUMPRODUCT(($D41:$W41=$D$2:$W$2)*($D41:$W41&lt;&gt;"")*$D$3:$W$3*($D$4:$W$4=AC$6)))</f>
        <v/>
      </c>
    </row>
    <row r="42" customFormat="false" ht="15" hidden="false" customHeight="false" outlineLevel="0" collapsed="false">
      <c r="A42" s="5" t="n">
        <v>36</v>
      </c>
      <c r="B42" s="5" t="str">
        <f aca="false">IF(학생명단!B42="","",학생명단!B42)</f>
        <v/>
      </c>
      <c r="C42" s="19" t="str">
        <f aca="false">IF(학생명단!C42="","",학생명단!C42)</f>
        <v/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0" t="str">
        <f aca="false">IF(COUNTA(D42:W42)=0,"",SUMPRODUCT((D42:W42=$D$2:$W$2)*(D42:W42&lt;&gt;"")))</f>
        <v/>
      </c>
      <c r="Y42" s="26" t="str">
        <f aca="false">IF(COUNTA(D42:W42)=0,"",SUMPRODUCT((D42:W42=$D$2:$W$2)*(D42:W42&lt;&gt;"")*$D$3:$W$3))</f>
        <v/>
      </c>
      <c r="Z42" s="10" t="str">
        <f aca="false">IF($Y42="","",SUMPRODUCT(($D42:$W42=$D$2:$W$2)*($D42:$W42&lt;&gt;"")*$D$3:$W$3*($D$4:$W$4=Z$6)))</f>
        <v/>
      </c>
      <c r="AA42" s="10" t="str">
        <f aca="false">IF($Y42="","",SUMPRODUCT(($D42:$W42=$D$2:$W$2)*($D42:$W42&lt;&gt;"")*$D$3:$W$3*($D$4:$W$4=AA$6)))</f>
        <v/>
      </c>
      <c r="AB42" s="10" t="str">
        <f aca="false">IF($Y42="","",SUMPRODUCT(($D42:$W42=$D$2:$W$2)*($D42:$W42&lt;&gt;"")*$D$3:$W$3*($D$4:$W$4=AB$6)))</f>
        <v/>
      </c>
      <c r="AC42" s="10" t="str">
        <f aca="false">IF($Y42="","",SUMPRODUCT(($D42:$W42=$D$2:$W$2)*($D42:$W42&lt;&gt;"")*$D$3:$W$3*($D$4:$W$4=AC$6)))</f>
        <v/>
      </c>
    </row>
    <row r="43" customFormat="false" ht="15" hidden="false" customHeight="false" outlineLevel="0" collapsed="false">
      <c r="A43" s="5" t="n">
        <v>37</v>
      </c>
      <c r="B43" s="5" t="str">
        <f aca="false">IF(학생명단!B43="","",학생명단!B43)</f>
        <v/>
      </c>
      <c r="C43" s="19" t="str">
        <f aca="false">IF(학생명단!C43="","",학생명단!C43)</f>
        <v/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0" t="str">
        <f aca="false">IF(COUNTA(D43:W43)=0,"",SUMPRODUCT((D43:W43=$D$2:$W$2)*(D43:W43&lt;&gt;"")))</f>
        <v/>
      </c>
      <c r="Y43" s="26" t="str">
        <f aca="false">IF(COUNTA(D43:W43)=0,"",SUMPRODUCT((D43:W43=$D$2:$W$2)*(D43:W43&lt;&gt;"")*$D$3:$W$3))</f>
        <v/>
      </c>
      <c r="Z43" s="10" t="str">
        <f aca="false">IF($Y43="","",SUMPRODUCT(($D43:$W43=$D$2:$W$2)*($D43:$W43&lt;&gt;"")*$D$3:$W$3*($D$4:$W$4=Z$6)))</f>
        <v/>
      </c>
      <c r="AA43" s="10" t="str">
        <f aca="false">IF($Y43="","",SUMPRODUCT(($D43:$W43=$D$2:$W$2)*($D43:$W43&lt;&gt;"")*$D$3:$W$3*($D$4:$W$4=AA$6)))</f>
        <v/>
      </c>
      <c r="AB43" s="10" t="str">
        <f aca="false">IF($Y43="","",SUMPRODUCT(($D43:$W43=$D$2:$W$2)*($D43:$W43&lt;&gt;"")*$D$3:$W$3*($D$4:$W$4=AB$6)))</f>
        <v/>
      </c>
      <c r="AC43" s="10" t="str">
        <f aca="false">IF($Y43="","",SUMPRODUCT(($D43:$W43=$D$2:$W$2)*($D43:$W43&lt;&gt;"")*$D$3:$W$3*($D$4:$W$4=AC$6)))</f>
        <v/>
      </c>
    </row>
    <row r="44" customFormat="false" ht="15" hidden="false" customHeight="false" outlineLevel="0" collapsed="false">
      <c r="A44" s="5" t="n">
        <v>38</v>
      </c>
      <c r="B44" s="5" t="str">
        <f aca="false">IF(학생명단!B44="","",학생명단!B44)</f>
        <v/>
      </c>
      <c r="C44" s="19" t="str">
        <f aca="false">IF(학생명단!C44="","",학생명단!C44)</f>
        <v/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0" t="str">
        <f aca="false">IF(COUNTA(D44:W44)=0,"",SUMPRODUCT((D44:W44=$D$2:$W$2)*(D44:W44&lt;&gt;"")))</f>
        <v/>
      </c>
      <c r="Y44" s="26" t="str">
        <f aca="false">IF(COUNTA(D44:W44)=0,"",SUMPRODUCT((D44:W44=$D$2:$W$2)*(D44:W44&lt;&gt;"")*$D$3:$W$3))</f>
        <v/>
      </c>
      <c r="Z44" s="10" t="str">
        <f aca="false">IF($Y44="","",SUMPRODUCT(($D44:$W44=$D$2:$W$2)*($D44:$W44&lt;&gt;"")*$D$3:$W$3*($D$4:$W$4=Z$6)))</f>
        <v/>
      </c>
      <c r="AA44" s="10" t="str">
        <f aca="false">IF($Y44="","",SUMPRODUCT(($D44:$W44=$D$2:$W$2)*($D44:$W44&lt;&gt;"")*$D$3:$W$3*($D$4:$W$4=AA$6)))</f>
        <v/>
      </c>
      <c r="AB44" s="10" t="str">
        <f aca="false">IF($Y44="","",SUMPRODUCT(($D44:$W44=$D$2:$W$2)*($D44:$W44&lt;&gt;"")*$D$3:$W$3*($D$4:$W$4=AB$6)))</f>
        <v/>
      </c>
      <c r="AC44" s="10" t="str">
        <f aca="false">IF($Y44="","",SUMPRODUCT(($D44:$W44=$D$2:$W$2)*($D44:$W44&lt;&gt;"")*$D$3:$W$3*($D$4:$W$4=AC$6)))</f>
        <v/>
      </c>
    </row>
    <row r="45" customFormat="false" ht="15" hidden="false" customHeight="false" outlineLevel="0" collapsed="false">
      <c r="A45" s="5" t="n">
        <v>39</v>
      </c>
      <c r="B45" s="5" t="str">
        <f aca="false">IF(학생명단!B45="","",학생명단!B45)</f>
        <v/>
      </c>
      <c r="C45" s="19" t="str">
        <f aca="false">IF(학생명단!C45="","",학생명단!C45)</f>
        <v/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0" t="str">
        <f aca="false">IF(COUNTA(D45:W45)=0,"",SUMPRODUCT((D45:W45=$D$2:$W$2)*(D45:W45&lt;&gt;"")))</f>
        <v/>
      </c>
      <c r="Y45" s="26" t="str">
        <f aca="false">IF(COUNTA(D45:W45)=0,"",SUMPRODUCT((D45:W45=$D$2:$W$2)*(D45:W45&lt;&gt;"")*$D$3:$W$3))</f>
        <v/>
      </c>
      <c r="Z45" s="10" t="str">
        <f aca="false">IF($Y45="","",SUMPRODUCT(($D45:$W45=$D$2:$W$2)*($D45:$W45&lt;&gt;"")*$D$3:$W$3*($D$4:$W$4=Z$6)))</f>
        <v/>
      </c>
      <c r="AA45" s="10" t="str">
        <f aca="false">IF($Y45="","",SUMPRODUCT(($D45:$W45=$D$2:$W$2)*($D45:$W45&lt;&gt;"")*$D$3:$W$3*($D$4:$W$4=AA$6)))</f>
        <v/>
      </c>
      <c r="AB45" s="10" t="str">
        <f aca="false">IF($Y45="","",SUMPRODUCT(($D45:$W45=$D$2:$W$2)*($D45:$W45&lt;&gt;"")*$D$3:$W$3*($D$4:$W$4=AB$6)))</f>
        <v/>
      </c>
      <c r="AC45" s="10" t="str">
        <f aca="false">IF($Y45="","",SUMPRODUCT(($D45:$W45=$D$2:$W$2)*($D45:$W45&lt;&gt;"")*$D$3:$W$3*($D$4:$W$4=AC$6)))</f>
        <v/>
      </c>
    </row>
    <row r="46" customFormat="false" ht="15" hidden="false" customHeight="false" outlineLevel="0" collapsed="false">
      <c r="A46" s="5" t="n">
        <v>40</v>
      </c>
      <c r="B46" s="5" t="str">
        <f aca="false">IF(학생명단!B46="","",학생명단!B46)</f>
        <v/>
      </c>
      <c r="C46" s="19" t="str">
        <f aca="false">IF(학생명단!C46="","",학생명단!C46)</f>
        <v/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0" t="str">
        <f aca="false">IF(COUNTA(D46:W46)=0,"",SUMPRODUCT((D46:W46=$D$2:$W$2)*(D46:W46&lt;&gt;"")))</f>
        <v/>
      </c>
      <c r="Y46" s="26" t="str">
        <f aca="false">IF(COUNTA(D46:W46)=0,"",SUMPRODUCT((D46:W46=$D$2:$W$2)*(D46:W46&lt;&gt;"")*$D$3:$W$3))</f>
        <v/>
      </c>
      <c r="Z46" s="10" t="str">
        <f aca="false">IF($Y46="","",SUMPRODUCT(($D46:$W46=$D$2:$W$2)*($D46:$W46&lt;&gt;"")*$D$3:$W$3*($D$4:$W$4=Z$6)))</f>
        <v/>
      </c>
      <c r="AA46" s="10" t="str">
        <f aca="false">IF($Y46="","",SUMPRODUCT(($D46:$W46=$D$2:$W$2)*($D46:$W46&lt;&gt;"")*$D$3:$W$3*($D$4:$W$4=AA$6)))</f>
        <v/>
      </c>
      <c r="AB46" s="10" t="str">
        <f aca="false">IF($Y46="","",SUMPRODUCT(($D46:$W46=$D$2:$W$2)*($D46:$W46&lt;&gt;"")*$D$3:$W$3*($D$4:$W$4=AB$6)))</f>
        <v/>
      </c>
      <c r="AC46" s="10" t="str">
        <f aca="false">IF($Y46="","",SUMPRODUCT(($D46:$W46=$D$2:$W$2)*($D46:$W46&lt;&gt;"")*$D$3:$W$3*($D$4:$W$4=AC$6)))</f>
        <v/>
      </c>
    </row>
    <row r="47" customFormat="false" ht="15" hidden="false" customHeight="false" outlineLevel="0" collapsed="false">
      <c r="A47" s="5" t="n">
        <v>41</v>
      </c>
      <c r="B47" s="5" t="str">
        <f aca="false">IF(학생명단!B47="","",학생명단!B47)</f>
        <v/>
      </c>
      <c r="C47" s="19" t="str">
        <f aca="false">IF(학생명단!C47="","",학생명단!C47)</f>
        <v/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0" t="str">
        <f aca="false">IF(COUNTA(D47:W47)=0,"",SUMPRODUCT((D47:W47=$D$2:$W$2)*(D47:W47&lt;&gt;"")))</f>
        <v/>
      </c>
      <c r="Y47" s="26" t="str">
        <f aca="false">IF(COUNTA(D47:W47)=0,"",SUMPRODUCT((D47:W47=$D$2:$W$2)*(D47:W47&lt;&gt;"")*$D$3:$W$3))</f>
        <v/>
      </c>
      <c r="Z47" s="10" t="str">
        <f aca="false">IF($Y47="","",SUMPRODUCT(($D47:$W47=$D$2:$W$2)*($D47:$W47&lt;&gt;"")*$D$3:$W$3*($D$4:$W$4=Z$6)))</f>
        <v/>
      </c>
      <c r="AA47" s="10" t="str">
        <f aca="false">IF($Y47="","",SUMPRODUCT(($D47:$W47=$D$2:$W$2)*($D47:$W47&lt;&gt;"")*$D$3:$W$3*($D$4:$W$4=AA$6)))</f>
        <v/>
      </c>
      <c r="AB47" s="10" t="str">
        <f aca="false">IF($Y47="","",SUMPRODUCT(($D47:$W47=$D$2:$W$2)*($D47:$W47&lt;&gt;"")*$D$3:$W$3*($D$4:$W$4=AB$6)))</f>
        <v/>
      </c>
      <c r="AC47" s="10" t="str">
        <f aca="false">IF($Y47="","",SUMPRODUCT(($D47:$W47=$D$2:$W$2)*($D47:$W47&lt;&gt;"")*$D$3:$W$3*($D$4:$W$4=AC$6)))</f>
        <v/>
      </c>
    </row>
    <row r="48" customFormat="false" ht="15" hidden="false" customHeight="false" outlineLevel="0" collapsed="false">
      <c r="A48" s="5" t="n">
        <v>42</v>
      </c>
      <c r="B48" s="5" t="str">
        <f aca="false">IF(학생명단!B48="","",학생명단!B48)</f>
        <v/>
      </c>
      <c r="C48" s="19" t="str">
        <f aca="false">IF(학생명단!C48="","",학생명단!C48)</f>
        <v/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0" t="str">
        <f aca="false">IF(COUNTA(D48:W48)=0,"",SUMPRODUCT((D48:W48=$D$2:$W$2)*(D48:W48&lt;&gt;"")))</f>
        <v/>
      </c>
      <c r="Y48" s="26" t="str">
        <f aca="false">IF(COUNTA(D48:W48)=0,"",SUMPRODUCT((D48:W48=$D$2:$W$2)*(D48:W48&lt;&gt;"")*$D$3:$W$3))</f>
        <v/>
      </c>
      <c r="Z48" s="10" t="str">
        <f aca="false">IF($Y48="","",SUMPRODUCT(($D48:$W48=$D$2:$W$2)*($D48:$W48&lt;&gt;"")*$D$3:$W$3*($D$4:$W$4=Z$6)))</f>
        <v/>
      </c>
      <c r="AA48" s="10" t="str">
        <f aca="false">IF($Y48="","",SUMPRODUCT(($D48:$W48=$D$2:$W$2)*($D48:$W48&lt;&gt;"")*$D$3:$W$3*($D$4:$W$4=AA$6)))</f>
        <v/>
      </c>
      <c r="AB48" s="10" t="str">
        <f aca="false">IF($Y48="","",SUMPRODUCT(($D48:$W48=$D$2:$W$2)*($D48:$W48&lt;&gt;"")*$D$3:$W$3*($D$4:$W$4=AB$6)))</f>
        <v/>
      </c>
      <c r="AC48" s="10" t="str">
        <f aca="false">IF($Y48="","",SUMPRODUCT(($D48:$W48=$D$2:$W$2)*($D48:$W48&lt;&gt;"")*$D$3:$W$3*($D$4:$W$4=AC$6)))</f>
        <v/>
      </c>
    </row>
    <row r="49" customFormat="false" ht="15" hidden="false" customHeight="false" outlineLevel="0" collapsed="false">
      <c r="A49" s="5" t="n">
        <v>43</v>
      </c>
      <c r="B49" s="5" t="str">
        <f aca="false">IF(학생명단!B49="","",학생명단!B49)</f>
        <v/>
      </c>
      <c r="C49" s="19" t="str">
        <f aca="false">IF(학생명단!C49="","",학생명단!C49)</f>
        <v/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0" t="str">
        <f aca="false">IF(COUNTA(D49:W49)=0,"",SUMPRODUCT((D49:W49=$D$2:$W$2)*(D49:W49&lt;&gt;"")))</f>
        <v/>
      </c>
      <c r="Y49" s="26" t="str">
        <f aca="false">IF(COUNTA(D49:W49)=0,"",SUMPRODUCT((D49:W49=$D$2:$W$2)*(D49:W49&lt;&gt;"")*$D$3:$W$3))</f>
        <v/>
      </c>
      <c r="Z49" s="10" t="str">
        <f aca="false">IF($Y49="","",SUMPRODUCT(($D49:$W49=$D$2:$W$2)*($D49:$W49&lt;&gt;"")*$D$3:$W$3*($D$4:$W$4=Z$6)))</f>
        <v/>
      </c>
      <c r="AA49" s="10" t="str">
        <f aca="false">IF($Y49="","",SUMPRODUCT(($D49:$W49=$D$2:$W$2)*($D49:$W49&lt;&gt;"")*$D$3:$W$3*($D$4:$W$4=AA$6)))</f>
        <v/>
      </c>
      <c r="AB49" s="10" t="str">
        <f aca="false">IF($Y49="","",SUMPRODUCT(($D49:$W49=$D$2:$W$2)*($D49:$W49&lt;&gt;"")*$D$3:$W$3*($D$4:$W$4=AB$6)))</f>
        <v/>
      </c>
      <c r="AC49" s="10" t="str">
        <f aca="false">IF($Y49="","",SUMPRODUCT(($D49:$W49=$D$2:$W$2)*($D49:$W49&lt;&gt;"")*$D$3:$W$3*($D$4:$W$4=AC$6)))</f>
        <v/>
      </c>
    </row>
    <row r="50" customFormat="false" ht="15" hidden="false" customHeight="false" outlineLevel="0" collapsed="false">
      <c r="A50" s="5" t="n">
        <v>44</v>
      </c>
      <c r="B50" s="5" t="str">
        <f aca="false">IF(학생명단!B50="","",학생명단!B50)</f>
        <v/>
      </c>
      <c r="C50" s="19" t="str">
        <f aca="false">IF(학생명단!C50="","",학생명단!C50)</f>
        <v/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0" t="str">
        <f aca="false">IF(COUNTA(D50:W50)=0,"",SUMPRODUCT((D50:W50=$D$2:$W$2)*(D50:W50&lt;&gt;"")))</f>
        <v/>
      </c>
      <c r="Y50" s="26" t="str">
        <f aca="false">IF(COUNTA(D50:W50)=0,"",SUMPRODUCT((D50:W50=$D$2:$W$2)*(D50:W50&lt;&gt;"")*$D$3:$W$3))</f>
        <v/>
      </c>
      <c r="Z50" s="10" t="str">
        <f aca="false">IF($Y50="","",SUMPRODUCT(($D50:$W50=$D$2:$W$2)*($D50:$W50&lt;&gt;"")*$D$3:$W$3*($D$4:$W$4=Z$6)))</f>
        <v/>
      </c>
      <c r="AA50" s="10" t="str">
        <f aca="false">IF($Y50="","",SUMPRODUCT(($D50:$W50=$D$2:$W$2)*($D50:$W50&lt;&gt;"")*$D$3:$W$3*($D$4:$W$4=AA$6)))</f>
        <v/>
      </c>
      <c r="AB50" s="10" t="str">
        <f aca="false">IF($Y50="","",SUMPRODUCT(($D50:$W50=$D$2:$W$2)*($D50:$W50&lt;&gt;"")*$D$3:$W$3*($D$4:$W$4=AB$6)))</f>
        <v/>
      </c>
      <c r="AC50" s="10" t="str">
        <f aca="false">IF($Y50="","",SUMPRODUCT(($D50:$W50=$D$2:$W$2)*($D50:$W50&lt;&gt;"")*$D$3:$W$3*($D$4:$W$4=AC$6)))</f>
        <v/>
      </c>
    </row>
    <row r="51" customFormat="false" ht="15" hidden="false" customHeight="false" outlineLevel="0" collapsed="false">
      <c r="A51" s="5" t="n">
        <v>45</v>
      </c>
      <c r="B51" s="5" t="str">
        <f aca="false">IF(학생명단!B51="","",학생명단!B51)</f>
        <v/>
      </c>
      <c r="C51" s="19" t="str">
        <f aca="false">IF(학생명단!C51="","",학생명단!C51)</f>
        <v/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0" t="str">
        <f aca="false">IF(COUNTA(D51:W51)=0,"",SUMPRODUCT((D51:W51=$D$2:$W$2)*(D51:W51&lt;&gt;"")))</f>
        <v/>
      </c>
      <c r="Y51" s="26" t="str">
        <f aca="false">IF(COUNTA(D51:W51)=0,"",SUMPRODUCT((D51:W51=$D$2:$W$2)*(D51:W51&lt;&gt;"")*$D$3:$W$3))</f>
        <v/>
      </c>
      <c r="Z51" s="10" t="str">
        <f aca="false">IF($Y51="","",SUMPRODUCT(($D51:$W51=$D$2:$W$2)*($D51:$W51&lt;&gt;"")*$D$3:$W$3*($D$4:$W$4=Z$6)))</f>
        <v/>
      </c>
      <c r="AA51" s="10" t="str">
        <f aca="false">IF($Y51="","",SUMPRODUCT(($D51:$W51=$D$2:$W$2)*($D51:$W51&lt;&gt;"")*$D$3:$W$3*($D$4:$W$4=AA$6)))</f>
        <v/>
      </c>
      <c r="AB51" s="10" t="str">
        <f aca="false">IF($Y51="","",SUMPRODUCT(($D51:$W51=$D$2:$W$2)*($D51:$W51&lt;&gt;"")*$D$3:$W$3*($D$4:$W$4=AB$6)))</f>
        <v/>
      </c>
      <c r="AC51" s="10" t="str">
        <f aca="false">IF($Y51="","",SUMPRODUCT(($D51:$W51=$D$2:$W$2)*($D51:$W51&lt;&gt;"")*$D$3:$W$3*($D$4:$W$4=AC$6)))</f>
        <v/>
      </c>
    </row>
    <row r="52" customFormat="false" ht="15" hidden="false" customHeight="false" outlineLevel="0" collapsed="false">
      <c r="A52" s="5" t="n">
        <v>46</v>
      </c>
      <c r="B52" s="5" t="str">
        <f aca="false">IF(학생명단!B52="","",학생명단!B52)</f>
        <v/>
      </c>
      <c r="C52" s="19" t="str">
        <f aca="false">IF(학생명단!C52="","",학생명단!C52)</f>
        <v/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0" t="str">
        <f aca="false">IF(COUNTA(D52:W52)=0,"",SUMPRODUCT((D52:W52=$D$2:$W$2)*(D52:W52&lt;&gt;"")))</f>
        <v/>
      </c>
      <c r="Y52" s="26" t="str">
        <f aca="false">IF(COUNTA(D52:W52)=0,"",SUMPRODUCT((D52:W52=$D$2:$W$2)*(D52:W52&lt;&gt;"")*$D$3:$W$3))</f>
        <v/>
      </c>
      <c r="Z52" s="10" t="str">
        <f aca="false">IF($Y52="","",SUMPRODUCT(($D52:$W52=$D$2:$W$2)*($D52:$W52&lt;&gt;"")*$D$3:$W$3*($D$4:$W$4=Z$6)))</f>
        <v/>
      </c>
      <c r="AA52" s="10" t="str">
        <f aca="false">IF($Y52="","",SUMPRODUCT(($D52:$W52=$D$2:$W$2)*($D52:$W52&lt;&gt;"")*$D$3:$W$3*($D$4:$W$4=AA$6)))</f>
        <v/>
      </c>
      <c r="AB52" s="10" t="str">
        <f aca="false">IF($Y52="","",SUMPRODUCT(($D52:$W52=$D$2:$W$2)*($D52:$W52&lt;&gt;"")*$D$3:$W$3*($D$4:$W$4=AB$6)))</f>
        <v/>
      </c>
      <c r="AC52" s="10" t="str">
        <f aca="false">IF($Y52="","",SUMPRODUCT(($D52:$W52=$D$2:$W$2)*($D52:$W52&lt;&gt;"")*$D$3:$W$3*($D$4:$W$4=AC$6)))</f>
        <v/>
      </c>
    </row>
    <row r="53" customFormat="false" ht="15" hidden="false" customHeight="false" outlineLevel="0" collapsed="false">
      <c r="A53" s="5" t="n">
        <v>47</v>
      </c>
      <c r="B53" s="5" t="str">
        <f aca="false">IF(학생명단!B53="","",학생명단!B53)</f>
        <v/>
      </c>
      <c r="C53" s="19" t="str">
        <f aca="false">IF(학생명단!C53="","",학생명단!C53)</f>
        <v/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0" t="str">
        <f aca="false">IF(COUNTA(D53:W53)=0,"",SUMPRODUCT((D53:W53=$D$2:$W$2)*(D53:W53&lt;&gt;"")))</f>
        <v/>
      </c>
      <c r="Y53" s="26" t="str">
        <f aca="false">IF(COUNTA(D53:W53)=0,"",SUMPRODUCT((D53:W53=$D$2:$W$2)*(D53:W53&lt;&gt;"")*$D$3:$W$3))</f>
        <v/>
      </c>
      <c r="Z53" s="10" t="str">
        <f aca="false">IF($Y53="","",SUMPRODUCT(($D53:$W53=$D$2:$W$2)*($D53:$W53&lt;&gt;"")*$D$3:$W$3*($D$4:$W$4=Z$6)))</f>
        <v/>
      </c>
      <c r="AA53" s="10" t="str">
        <f aca="false">IF($Y53="","",SUMPRODUCT(($D53:$W53=$D$2:$W$2)*($D53:$W53&lt;&gt;"")*$D$3:$W$3*($D$4:$W$4=AA$6)))</f>
        <v/>
      </c>
      <c r="AB53" s="10" t="str">
        <f aca="false">IF($Y53="","",SUMPRODUCT(($D53:$W53=$D$2:$W$2)*($D53:$W53&lt;&gt;"")*$D$3:$W$3*($D$4:$W$4=AB$6)))</f>
        <v/>
      </c>
      <c r="AC53" s="10" t="str">
        <f aca="false">IF($Y53="","",SUMPRODUCT(($D53:$W53=$D$2:$W$2)*($D53:$W53&lt;&gt;"")*$D$3:$W$3*($D$4:$W$4=AC$6)))</f>
        <v/>
      </c>
    </row>
    <row r="54" customFormat="false" ht="15" hidden="false" customHeight="false" outlineLevel="0" collapsed="false">
      <c r="A54" s="5" t="n">
        <v>48</v>
      </c>
      <c r="B54" s="5" t="str">
        <f aca="false">IF(학생명단!B54="","",학생명단!B54)</f>
        <v/>
      </c>
      <c r="C54" s="19" t="str">
        <f aca="false">IF(학생명단!C54="","",학생명단!C54)</f>
        <v/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0" t="str">
        <f aca="false">IF(COUNTA(D54:W54)=0,"",SUMPRODUCT((D54:W54=$D$2:$W$2)*(D54:W54&lt;&gt;"")))</f>
        <v/>
      </c>
      <c r="Y54" s="26" t="str">
        <f aca="false">IF(COUNTA(D54:W54)=0,"",SUMPRODUCT((D54:W54=$D$2:$W$2)*(D54:W54&lt;&gt;"")*$D$3:$W$3))</f>
        <v/>
      </c>
      <c r="Z54" s="10" t="str">
        <f aca="false">IF($Y54="","",SUMPRODUCT(($D54:$W54=$D$2:$W$2)*($D54:$W54&lt;&gt;"")*$D$3:$W$3*($D$4:$W$4=Z$6)))</f>
        <v/>
      </c>
      <c r="AA54" s="10" t="str">
        <f aca="false">IF($Y54="","",SUMPRODUCT(($D54:$W54=$D$2:$W$2)*($D54:$W54&lt;&gt;"")*$D$3:$W$3*($D$4:$W$4=AA$6)))</f>
        <v/>
      </c>
      <c r="AB54" s="10" t="str">
        <f aca="false">IF($Y54="","",SUMPRODUCT(($D54:$W54=$D$2:$W$2)*($D54:$W54&lt;&gt;"")*$D$3:$W$3*($D$4:$W$4=AB$6)))</f>
        <v/>
      </c>
      <c r="AC54" s="10" t="str">
        <f aca="false">IF($Y54="","",SUMPRODUCT(($D54:$W54=$D$2:$W$2)*($D54:$W54&lt;&gt;"")*$D$3:$W$3*($D$4:$W$4=AC$6)))</f>
        <v/>
      </c>
    </row>
    <row r="55" customFormat="false" ht="15" hidden="false" customHeight="false" outlineLevel="0" collapsed="false">
      <c r="A55" s="5" t="n">
        <v>49</v>
      </c>
      <c r="B55" s="5" t="str">
        <f aca="false">IF(학생명단!B55="","",학생명단!B55)</f>
        <v/>
      </c>
      <c r="C55" s="19" t="str">
        <f aca="false">IF(학생명단!C55="","",학생명단!C55)</f>
        <v/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0" t="str">
        <f aca="false">IF(COUNTA(D55:W55)=0,"",SUMPRODUCT((D55:W55=$D$2:$W$2)*(D55:W55&lt;&gt;"")))</f>
        <v/>
      </c>
      <c r="Y55" s="26" t="str">
        <f aca="false">IF(COUNTA(D55:W55)=0,"",SUMPRODUCT((D55:W55=$D$2:$W$2)*(D55:W55&lt;&gt;"")*$D$3:$W$3))</f>
        <v/>
      </c>
      <c r="Z55" s="10" t="str">
        <f aca="false">IF($Y55="","",SUMPRODUCT(($D55:$W55=$D$2:$W$2)*($D55:$W55&lt;&gt;"")*$D$3:$W$3*($D$4:$W$4=Z$6)))</f>
        <v/>
      </c>
      <c r="AA55" s="10" t="str">
        <f aca="false">IF($Y55="","",SUMPRODUCT(($D55:$W55=$D$2:$W$2)*($D55:$W55&lt;&gt;"")*$D$3:$W$3*($D$4:$W$4=AA$6)))</f>
        <v/>
      </c>
      <c r="AB55" s="10" t="str">
        <f aca="false">IF($Y55="","",SUMPRODUCT(($D55:$W55=$D$2:$W$2)*($D55:$W55&lt;&gt;"")*$D$3:$W$3*($D$4:$W$4=AB$6)))</f>
        <v/>
      </c>
      <c r="AC55" s="10" t="str">
        <f aca="false">IF($Y55="","",SUMPRODUCT(($D55:$W55=$D$2:$W$2)*($D55:$W55&lt;&gt;"")*$D$3:$W$3*($D$4:$W$4=AC$6)))</f>
        <v/>
      </c>
    </row>
    <row r="56" customFormat="false" ht="15" hidden="false" customHeight="false" outlineLevel="0" collapsed="false">
      <c r="A56" s="5" t="n">
        <v>50</v>
      </c>
      <c r="B56" s="5" t="str">
        <f aca="false">IF(학생명단!B56="","",학생명단!B56)</f>
        <v/>
      </c>
      <c r="C56" s="19" t="str">
        <f aca="false">IF(학생명단!C56="","",학생명단!C56)</f>
        <v/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0" t="str">
        <f aca="false">IF(COUNTA(D56:W56)=0,"",SUMPRODUCT((D56:W56=$D$2:$W$2)*(D56:W56&lt;&gt;"")))</f>
        <v/>
      </c>
      <c r="Y56" s="26" t="str">
        <f aca="false">IF(COUNTA(D56:W56)=0,"",SUMPRODUCT((D56:W56=$D$2:$W$2)*(D56:W56&lt;&gt;"")*$D$3:$W$3))</f>
        <v/>
      </c>
      <c r="Z56" s="10" t="str">
        <f aca="false">IF($Y56="","",SUMPRODUCT(($D56:$W56=$D$2:$W$2)*($D56:$W56&lt;&gt;"")*$D$3:$W$3*($D$4:$W$4=Z$6)))</f>
        <v/>
      </c>
      <c r="AA56" s="10" t="str">
        <f aca="false">IF($Y56="","",SUMPRODUCT(($D56:$W56=$D$2:$W$2)*($D56:$W56&lt;&gt;"")*$D$3:$W$3*($D$4:$W$4=AA$6)))</f>
        <v/>
      </c>
      <c r="AB56" s="10" t="str">
        <f aca="false">IF($Y56="","",SUMPRODUCT(($D56:$W56=$D$2:$W$2)*($D56:$W56&lt;&gt;"")*$D$3:$W$3*($D$4:$W$4=AB$6)))</f>
        <v/>
      </c>
      <c r="AC56" s="10" t="str">
        <f aca="false">IF($Y56="","",SUMPRODUCT(($D56:$W56=$D$2:$W$2)*($D56:$W56&lt;&gt;"")*$D$3:$W$3*($D$4:$W$4=AC$6)))</f>
        <v/>
      </c>
    </row>
    <row r="57" customFormat="false" ht="15" hidden="false" customHeight="false" outlineLevel="0" collapsed="false">
      <c r="A57" s="5" t="n">
        <v>51</v>
      </c>
      <c r="B57" s="5" t="str">
        <f aca="false">IF(학생명단!B57="","",학생명단!B57)</f>
        <v/>
      </c>
      <c r="C57" s="19" t="str">
        <f aca="false">IF(학생명단!C57="","",학생명단!C57)</f>
        <v/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0" t="str">
        <f aca="false">IF(COUNTA(D57:W57)=0,"",SUMPRODUCT((D57:W57=$D$2:$W$2)*(D57:W57&lt;&gt;"")))</f>
        <v/>
      </c>
      <c r="Y57" s="26" t="str">
        <f aca="false">IF(COUNTA(D57:W57)=0,"",SUMPRODUCT((D57:W57=$D$2:$W$2)*(D57:W57&lt;&gt;"")*$D$3:$W$3))</f>
        <v/>
      </c>
      <c r="Z57" s="10" t="str">
        <f aca="false">IF($Y57="","",SUMPRODUCT(($D57:$W57=$D$2:$W$2)*($D57:$W57&lt;&gt;"")*$D$3:$W$3*($D$4:$W$4=Z$6)))</f>
        <v/>
      </c>
      <c r="AA57" s="10" t="str">
        <f aca="false">IF($Y57="","",SUMPRODUCT(($D57:$W57=$D$2:$W$2)*($D57:$W57&lt;&gt;"")*$D$3:$W$3*($D$4:$W$4=AA$6)))</f>
        <v/>
      </c>
      <c r="AB57" s="10" t="str">
        <f aca="false">IF($Y57="","",SUMPRODUCT(($D57:$W57=$D$2:$W$2)*($D57:$W57&lt;&gt;"")*$D$3:$W$3*($D$4:$W$4=AB$6)))</f>
        <v/>
      </c>
      <c r="AC57" s="10" t="str">
        <f aca="false">IF($Y57="","",SUMPRODUCT(($D57:$W57=$D$2:$W$2)*($D57:$W57&lt;&gt;"")*$D$3:$W$3*($D$4:$W$4=AC$6)))</f>
        <v/>
      </c>
    </row>
    <row r="58" customFormat="false" ht="15" hidden="false" customHeight="false" outlineLevel="0" collapsed="false">
      <c r="A58" s="5" t="n">
        <v>52</v>
      </c>
      <c r="B58" s="5" t="str">
        <f aca="false">IF(학생명단!B58="","",학생명단!B58)</f>
        <v/>
      </c>
      <c r="C58" s="19" t="str">
        <f aca="false">IF(학생명단!C58="","",학생명단!C58)</f>
        <v/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0" t="str">
        <f aca="false">IF(COUNTA(D58:W58)=0,"",SUMPRODUCT((D58:W58=$D$2:$W$2)*(D58:W58&lt;&gt;"")))</f>
        <v/>
      </c>
      <c r="Y58" s="26" t="str">
        <f aca="false">IF(COUNTA(D58:W58)=0,"",SUMPRODUCT((D58:W58=$D$2:$W$2)*(D58:W58&lt;&gt;"")*$D$3:$W$3))</f>
        <v/>
      </c>
      <c r="Z58" s="10" t="str">
        <f aca="false">IF($Y58="","",SUMPRODUCT(($D58:$W58=$D$2:$W$2)*($D58:$W58&lt;&gt;"")*$D$3:$W$3*($D$4:$W$4=Z$6)))</f>
        <v/>
      </c>
      <c r="AA58" s="10" t="str">
        <f aca="false">IF($Y58="","",SUMPRODUCT(($D58:$W58=$D$2:$W$2)*($D58:$W58&lt;&gt;"")*$D$3:$W$3*($D$4:$W$4=AA$6)))</f>
        <v/>
      </c>
      <c r="AB58" s="10" t="str">
        <f aca="false">IF($Y58="","",SUMPRODUCT(($D58:$W58=$D$2:$W$2)*($D58:$W58&lt;&gt;"")*$D$3:$W$3*($D$4:$W$4=AB$6)))</f>
        <v/>
      </c>
      <c r="AC58" s="10" t="str">
        <f aca="false">IF($Y58="","",SUMPRODUCT(($D58:$W58=$D$2:$W$2)*($D58:$W58&lt;&gt;"")*$D$3:$W$3*($D$4:$W$4=AC$6)))</f>
        <v/>
      </c>
    </row>
    <row r="59" customFormat="false" ht="15" hidden="false" customHeight="false" outlineLevel="0" collapsed="false">
      <c r="A59" s="5" t="n">
        <v>53</v>
      </c>
      <c r="B59" s="5" t="str">
        <f aca="false">IF(학생명단!B59="","",학생명단!B59)</f>
        <v/>
      </c>
      <c r="C59" s="19" t="str">
        <f aca="false">IF(학생명단!C59="","",학생명단!C59)</f>
        <v/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0" t="str">
        <f aca="false">IF(COUNTA(D59:W59)=0,"",SUMPRODUCT((D59:W59=$D$2:$W$2)*(D59:W59&lt;&gt;"")))</f>
        <v/>
      </c>
      <c r="Y59" s="26" t="str">
        <f aca="false">IF(COUNTA(D59:W59)=0,"",SUMPRODUCT((D59:W59=$D$2:$W$2)*(D59:W59&lt;&gt;"")*$D$3:$W$3))</f>
        <v/>
      </c>
      <c r="Z59" s="10" t="str">
        <f aca="false">IF($Y59="","",SUMPRODUCT(($D59:$W59=$D$2:$W$2)*($D59:$W59&lt;&gt;"")*$D$3:$W$3*($D$4:$W$4=Z$6)))</f>
        <v/>
      </c>
      <c r="AA59" s="10" t="str">
        <f aca="false">IF($Y59="","",SUMPRODUCT(($D59:$W59=$D$2:$W$2)*($D59:$W59&lt;&gt;"")*$D$3:$W$3*($D$4:$W$4=AA$6)))</f>
        <v/>
      </c>
      <c r="AB59" s="10" t="str">
        <f aca="false">IF($Y59="","",SUMPRODUCT(($D59:$W59=$D$2:$W$2)*($D59:$W59&lt;&gt;"")*$D$3:$W$3*($D$4:$W$4=AB$6)))</f>
        <v/>
      </c>
      <c r="AC59" s="10" t="str">
        <f aca="false">IF($Y59="","",SUMPRODUCT(($D59:$W59=$D$2:$W$2)*($D59:$W59&lt;&gt;"")*$D$3:$W$3*($D$4:$W$4=AC$6)))</f>
        <v/>
      </c>
    </row>
    <row r="60" customFormat="false" ht="15" hidden="false" customHeight="false" outlineLevel="0" collapsed="false">
      <c r="A60" s="5" t="n">
        <v>54</v>
      </c>
      <c r="B60" s="5" t="str">
        <f aca="false">IF(학생명단!B60="","",학생명단!B60)</f>
        <v/>
      </c>
      <c r="C60" s="19" t="str">
        <f aca="false">IF(학생명단!C60="","",학생명단!C60)</f>
        <v/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0" t="str">
        <f aca="false">IF(COUNTA(D60:W60)=0,"",SUMPRODUCT((D60:W60=$D$2:$W$2)*(D60:W60&lt;&gt;"")))</f>
        <v/>
      </c>
      <c r="Y60" s="26" t="str">
        <f aca="false">IF(COUNTA(D60:W60)=0,"",SUMPRODUCT((D60:W60=$D$2:$W$2)*(D60:W60&lt;&gt;"")*$D$3:$W$3))</f>
        <v/>
      </c>
      <c r="Z60" s="10" t="str">
        <f aca="false">IF($Y60="","",SUMPRODUCT(($D60:$W60=$D$2:$W$2)*($D60:$W60&lt;&gt;"")*$D$3:$W$3*($D$4:$W$4=Z$6)))</f>
        <v/>
      </c>
      <c r="AA60" s="10" t="str">
        <f aca="false">IF($Y60="","",SUMPRODUCT(($D60:$W60=$D$2:$W$2)*($D60:$W60&lt;&gt;"")*$D$3:$W$3*($D$4:$W$4=AA$6)))</f>
        <v/>
      </c>
      <c r="AB60" s="10" t="str">
        <f aca="false">IF($Y60="","",SUMPRODUCT(($D60:$W60=$D$2:$W$2)*($D60:$W60&lt;&gt;"")*$D$3:$W$3*($D$4:$W$4=AB$6)))</f>
        <v/>
      </c>
      <c r="AC60" s="10" t="str">
        <f aca="false">IF($Y60="","",SUMPRODUCT(($D60:$W60=$D$2:$W$2)*($D60:$W60&lt;&gt;"")*$D$3:$W$3*($D$4:$W$4=AC$6)))</f>
        <v/>
      </c>
    </row>
    <row r="61" customFormat="false" ht="15" hidden="false" customHeight="false" outlineLevel="0" collapsed="false">
      <c r="A61" s="5" t="n">
        <v>55</v>
      </c>
      <c r="B61" s="5" t="str">
        <f aca="false">IF(학생명단!B61="","",학생명단!B61)</f>
        <v/>
      </c>
      <c r="C61" s="19" t="str">
        <f aca="false">IF(학생명단!C61="","",학생명단!C61)</f>
        <v/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0" t="str">
        <f aca="false">IF(COUNTA(D61:W61)=0,"",SUMPRODUCT((D61:W61=$D$2:$W$2)*(D61:W61&lt;&gt;"")))</f>
        <v/>
      </c>
      <c r="Y61" s="26" t="str">
        <f aca="false">IF(COUNTA(D61:W61)=0,"",SUMPRODUCT((D61:W61=$D$2:$W$2)*(D61:W61&lt;&gt;"")*$D$3:$W$3))</f>
        <v/>
      </c>
      <c r="Z61" s="10" t="str">
        <f aca="false">IF($Y61="","",SUMPRODUCT(($D61:$W61=$D$2:$W$2)*($D61:$W61&lt;&gt;"")*$D$3:$W$3*($D$4:$W$4=Z$6)))</f>
        <v/>
      </c>
      <c r="AA61" s="10" t="str">
        <f aca="false">IF($Y61="","",SUMPRODUCT(($D61:$W61=$D$2:$W$2)*($D61:$W61&lt;&gt;"")*$D$3:$W$3*($D$4:$W$4=AA$6)))</f>
        <v/>
      </c>
      <c r="AB61" s="10" t="str">
        <f aca="false">IF($Y61="","",SUMPRODUCT(($D61:$W61=$D$2:$W$2)*($D61:$W61&lt;&gt;"")*$D$3:$W$3*($D$4:$W$4=AB$6)))</f>
        <v/>
      </c>
      <c r="AC61" s="10" t="str">
        <f aca="false">IF($Y61="","",SUMPRODUCT(($D61:$W61=$D$2:$W$2)*($D61:$W61&lt;&gt;"")*$D$3:$W$3*($D$4:$W$4=AC$6)))</f>
        <v/>
      </c>
    </row>
    <row r="62" customFormat="false" ht="15" hidden="false" customHeight="false" outlineLevel="0" collapsed="false">
      <c r="A62" s="5" t="n">
        <v>56</v>
      </c>
      <c r="B62" s="5" t="str">
        <f aca="false">IF(학생명단!B62="","",학생명단!B62)</f>
        <v/>
      </c>
      <c r="C62" s="19" t="str">
        <f aca="false">IF(학생명단!C62="","",학생명단!C62)</f>
        <v/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0" t="str">
        <f aca="false">IF(COUNTA(D62:W62)=0,"",SUMPRODUCT((D62:W62=$D$2:$W$2)*(D62:W62&lt;&gt;"")))</f>
        <v/>
      </c>
      <c r="Y62" s="26" t="str">
        <f aca="false">IF(COUNTA(D62:W62)=0,"",SUMPRODUCT((D62:W62=$D$2:$W$2)*(D62:W62&lt;&gt;"")*$D$3:$W$3))</f>
        <v/>
      </c>
      <c r="Z62" s="10" t="str">
        <f aca="false">IF($Y62="","",SUMPRODUCT(($D62:$W62=$D$2:$W$2)*($D62:$W62&lt;&gt;"")*$D$3:$W$3*($D$4:$W$4=Z$6)))</f>
        <v/>
      </c>
      <c r="AA62" s="10" t="str">
        <f aca="false">IF($Y62="","",SUMPRODUCT(($D62:$W62=$D$2:$W$2)*($D62:$W62&lt;&gt;"")*$D$3:$W$3*($D$4:$W$4=AA$6)))</f>
        <v/>
      </c>
      <c r="AB62" s="10" t="str">
        <f aca="false">IF($Y62="","",SUMPRODUCT(($D62:$W62=$D$2:$W$2)*($D62:$W62&lt;&gt;"")*$D$3:$W$3*($D$4:$W$4=AB$6)))</f>
        <v/>
      </c>
      <c r="AC62" s="10" t="str">
        <f aca="false">IF($Y62="","",SUMPRODUCT(($D62:$W62=$D$2:$W$2)*($D62:$W62&lt;&gt;"")*$D$3:$W$3*($D$4:$W$4=AC$6)))</f>
        <v/>
      </c>
    </row>
    <row r="63" customFormat="false" ht="15" hidden="false" customHeight="false" outlineLevel="0" collapsed="false">
      <c r="A63" s="5" t="n">
        <v>57</v>
      </c>
      <c r="B63" s="5" t="str">
        <f aca="false">IF(학생명단!B63="","",학생명단!B63)</f>
        <v/>
      </c>
      <c r="C63" s="19" t="str">
        <f aca="false">IF(학생명단!C63="","",학생명단!C63)</f>
        <v/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0" t="str">
        <f aca="false">IF(COUNTA(D63:W63)=0,"",SUMPRODUCT((D63:W63=$D$2:$W$2)*(D63:W63&lt;&gt;"")))</f>
        <v/>
      </c>
      <c r="Y63" s="26" t="str">
        <f aca="false">IF(COUNTA(D63:W63)=0,"",SUMPRODUCT((D63:W63=$D$2:$W$2)*(D63:W63&lt;&gt;"")*$D$3:$W$3))</f>
        <v/>
      </c>
      <c r="Z63" s="10" t="str">
        <f aca="false">IF($Y63="","",SUMPRODUCT(($D63:$W63=$D$2:$W$2)*($D63:$W63&lt;&gt;"")*$D$3:$W$3*($D$4:$W$4=Z$6)))</f>
        <v/>
      </c>
      <c r="AA63" s="10" t="str">
        <f aca="false">IF($Y63="","",SUMPRODUCT(($D63:$W63=$D$2:$W$2)*($D63:$W63&lt;&gt;"")*$D$3:$W$3*($D$4:$W$4=AA$6)))</f>
        <v/>
      </c>
      <c r="AB63" s="10" t="str">
        <f aca="false">IF($Y63="","",SUMPRODUCT(($D63:$W63=$D$2:$W$2)*($D63:$W63&lt;&gt;"")*$D$3:$W$3*($D$4:$W$4=AB$6)))</f>
        <v/>
      </c>
      <c r="AC63" s="10" t="str">
        <f aca="false">IF($Y63="","",SUMPRODUCT(($D63:$W63=$D$2:$W$2)*($D63:$W63&lt;&gt;"")*$D$3:$W$3*($D$4:$W$4=AC$6)))</f>
        <v/>
      </c>
    </row>
    <row r="64" customFormat="false" ht="15" hidden="false" customHeight="false" outlineLevel="0" collapsed="false">
      <c r="A64" s="5" t="n">
        <v>58</v>
      </c>
      <c r="B64" s="5" t="str">
        <f aca="false">IF(학생명단!B64="","",학생명단!B64)</f>
        <v/>
      </c>
      <c r="C64" s="19" t="str">
        <f aca="false">IF(학생명단!C64="","",학생명단!C64)</f>
        <v/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0" t="str">
        <f aca="false">IF(COUNTA(D64:W64)=0,"",SUMPRODUCT((D64:W64=$D$2:$W$2)*(D64:W64&lt;&gt;"")))</f>
        <v/>
      </c>
      <c r="Y64" s="26" t="str">
        <f aca="false">IF(COUNTA(D64:W64)=0,"",SUMPRODUCT((D64:W64=$D$2:$W$2)*(D64:W64&lt;&gt;"")*$D$3:$W$3))</f>
        <v/>
      </c>
      <c r="Z64" s="10" t="str">
        <f aca="false">IF($Y64="","",SUMPRODUCT(($D64:$W64=$D$2:$W$2)*($D64:$W64&lt;&gt;"")*$D$3:$W$3*($D$4:$W$4=Z$6)))</f>
        <v/>
      </c>
      <c r="AA64" s="10" t="str">
        <f aca="false">IF($Y64="","",SUMPRODUCT(($D64:$W64=$D$2:$W$2)*($D64:$W64&lt;&gt;"")*$D$3:$W$3*($D$4:$W$4=AA$6)))</f>
        <v/>
      </c>
      <c r="AB64" s="10" t="str">
        <f aca="false">IF($Y64="","",SUMPRODUCT(($D64:$W64=$D$2:$W$2)*($D64:$W64&lt;&gt;"")*$D$3:$W$3*($D$4:$W$4=AB$6)))</f>
        <v/>
      </c>
      <c r="AC64" s="10" t="str">
        <f aca="false">IF($Y64="","",SUMPRODUCT(($D64:$W64=$D$2:$W$2)*($D64:$W64&lt;&gt;"")*$D$3:$W$3*($D$4:$W$4=AC$6)))</f>
        <v/>
      </c>
    </row>
    <row r="65" customFormat="false" ht="15" hidden="false" customHeight="false" outlineLevel="0" collapsed="false">
      <c r="A65" s="5" t="n">
        <v>59</v>
      </c>
      <c r="B65" s="5" t="str">
        <f aca="false">IF(학생명단!B65="","",학생명단!B65)</f>
        <v/>
      </c>
      <c r="C65" s="19" t="str">
        <f aca="false">IF(학생명단!C65="","",학생명단!C65)</f>
        <v/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0" t="str">
        <f aca="false">IF(COUNTA(D65:W65)=0,"",SUMPRODUCT((D65:W65=$D$2:$W$2)*(D65:W65&lt;&gt;"")))</f>
        <v/>
      </c>
      <c r="Y65" s="26" t="str">
        <f aca="false">IF(COUNTA(D65:W65)=0,"",SUMPRODUCT((D65:W65=$D$2:$W$2)*(D65:W65&lt;&gt;"")*$D$3:$W$3))</f>
        <v/>
      </c>
      <c r="Z65" s="10" t="str">
        <f aca="false">IF($Y65="","",SUMPRODUCT(($D65:$W65=$D$2:$W$2)*($D65:$W65&lt;&gt;"")*$D$3:$W$3*($D$4:$W$4=Z$6)))</f>
        <v/>
      </c>
      <c r="AA65" s="10" t="str">
        <f aca="false">IF($Y65="","",SUMPRODUCT(($D65:$W65=$D$2:$W$2)*($D65:$W65&lt;&gt;"")*$D$3:$W$3*($D$4:$W$4=AA$6)))</f>
        <v/>
      </c>
      <c r="AB65" s="10" t="str">
        <f aca="false">IF($Y65="","",SUMPRODUCT(($D65:$W65=$D$2:$W$2)*($D65:$W65&lt;&gt;"")*$D$3:$W$3*($D$4:$W$4=AB$6)))</f>
        <v/>
      </c>
      <c r="AC65" s="10" t="str">
        <f aca="false">IF($Y65="","",SUMPRODUCT(($D65:$W65=$D$2:$W$2)*($D65:$W65&lt;&gt;"")*$D$3:$W$3*($D$4:$W$4=AC$6)))</f>
        <v/>
      </c>
    </row>
    <row r="66" customFormat="false" ht="15" hidden="false" customHeight="false" outlineLevel="0" collapsed="false">
      <c r="A66" s="5" t="n">
        <v>60</v>
      </c>
      <c r="B66" s="5" t="str">
        <f aca="false">IF(학생명단!B66="","",학생명단!B66)</f>
        <v/>
      </c>
      <c r="C66" s="19" t="str">
        <f aca="false">IF(학생명단!C66="","",학생명단!C66)</f>
        <v/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0" t="str">
        <f aca="false">IF(COUNTA(D66:W66)=0,"",SUMPRODUCT((D66:W66=$D$2:$W$2)*(D66:W66&lt;&gt;"")))</f>
        <v/>
      </c>
      <c r="Y66" s="26" t="str">
        <f aca="false">IF(COUNTA(D66:W66)=0,"",SUMPRODUCT((D66:W66=$D$2:$W$2)*(D66:W66&lt;&gt;"")*$D$3:$W$3))</f>
        <v/>
      </c>
      <c r="Z66" s="10" t="str">
        <f aca="false">IF($Y66="","",SUMPRODUCT(($D66:$W66=$D$2:$W$2)*($D66:$W66&lt;&gt;"")*$D$3:$W$3*($D$4:$W$4=Z$6)))</f>
        <v/>
      </c>
      <c r="AA66" s="10" t="str">
        <f aca="false">IF($Y66="","",SUMPRODUCT(($D66:$W66=$D$2:$W$2)*($D66:$W66&lt;&gt;"")*$D$3:$W$3*($D$4:$W$4=AA$6)))</f>
        <v/>
      </c>
      <c r="AB66" s="10" t="str">
        <f aca="false">IF($Y66="","",SUMPRODUCT(($D66:$W66=$D$2:$W$2)*($D66:$W66&lt;&gt;"")*$D$3:$W$3*($D$4:$W$4=AB$6)))</f>
        <v/>
      </c>
      <c r="AC66" s="10" t="str">
        <f aca="false">IF($Y66="","",SUMPRODUCT(($D66:$W66=$D$2:$W$2)*($D66:$W66&lt;&gt;"")*$D$3:$W$3*($D$4:$W$4=AC$6)))</f>
        <v/>
      </c>
    </row>
    <row r="67" customFormat="false" ht="15" hidden="false" customHeight="false" outlineLevel="0" collapsed="false">
      <c r="A67" s="5" t="n">
        <v>61</v>
      </c>
      <c r="B67" s="5" t="str">
        <f aca="false">IF(학생명단!B67="","",학생명단!B67)</f>
        <v/>
      </c>
      <c r="C67" s="19" t="str">
        <f aca="false">IF(학생명단!C67="","",학생명단!C67)</f>
        <v/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0" t="str">
        <f aca="false">IF(COUNTA(D67:W67)=0,"",SUMPRODUCT((D67:W67=$D$2:$W$2)*(D67:W67&lt;&gt;"")))</f>
        <v/>
      </c>
      <c r="Y67" s="26" t="str">
        <f aca="false">IF(COUNTA(D67:W67)=0,"",SUMPRODUCT((D67:W67=$D$2:$W$2)*(D67:W67&lt;&gt;"")*$D$3:$W$3))</f>
        <v/>
      </c>
      <c r="Z67" s="10" t="str">
        <f aca="false">IF($Y67="","",SUMPRODUCT(($D67:$W67=$D$2:$W$2)*($D67:$W67&lt;&gt;"")*$D$3:$W$3*($D$4:$W$4=Z$6)))</f>
        <v/>
      </c>
      <c r="AA67" s="10" t="str">
        <f aca="false">IF($Y67="","",SUMPRODUCT(($D67:$W67=$D$2:$W$2)*($D67:$W67&lt;&gt;"")*$D$3:$W$3*($D$4:$W$4=AA$6)))</f>
        <v/>
      </c>
      <c r="AB67" s="10" t="str">
        <f aca="false">IF($Y67="","",SUMPRODUCT(($D67:$W67=$D$2:$W$2)*($D67:$W67&lt;&gt;"")*$D$3:$W$3*($D$4:$W$4=AB$6)))</f>
        <v/>
      </c>
      <c r="AC67" s="10" t="str">
        <f aca="false">IF($Y67="","",SUMPRODUCT(($D67:$W67=$D$2:$W$2)*($D67:$W67&lt;&gt;"")*$D$3:$W$3*($D$4:$W$4=AC$6)))</f>
        <v/>
      </c>
    </row>
    <row r="68" customFormat="false" ht="15" hidden="false" customHeight="false" outlineLevel="0" collapsed="false">
      <c r="A68" s="5" t="n">
        <v>62</v>
      </c>
      <c r="B68" s="5" t="str">
        <f aca="false">IF(학생명단!B68="","",학생명단!B68)</f>
        <v/>
      </c>
      <c r="C68" s="19" t="str">
        <f aca="false">IF(학생명단!C68="","",학생명단!C68)</f>
        <v/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0" t="str">
        <f aca="false">IF(COUNTA(D68:W68)=0,"",SUMPRODUCT((D68:W68=$D$2:$W$2)*(D68:W68&lt;&gt;"")))</f>
        <v/>
      </c>
      <c r="Y68" s="26" t="str">
        <f aca="false">IF(COUNTA(D68:W68)=0,"",SUMPRODUCT((D68:W68=$D$2:$W$2)*(D68:W68&lt;&gt;"")*$D$3:$W$3))</f>
        <v/>
      </c>
      <c r="Z68" s="10" t="str">
        <f aca="false">IF($Y68="","",SUMPRODUCT(($D68:$W68=$D$2:$W$2)*($D68:$W68&lt;&gt;"")*$D$3:$W$3*($D$4:$W$4=Z$6)))</f>
        <v/>
      </c>
      <c r="AA68" s="10" t="str">
        <f aca="false">IF($Y68="","",SUMPRODUCT(($D68:$W68=$D$2:$W$2)*($D68:$W68&lt;&gt;"")*$D$3:$W$3*($D$4:$W$4=AA$6)))</f>
        <v/>
      </c>
      <c r="AB68" s="10" t="str">
        <f aca="false">IF($Y68="","",SUMPRODUCT(($D68:$W68=$D$2:$W$2)*($D68:$W68&lt;&gt;"")*$D$3:$W$3*($D$4:$W$4=AB$6)))</f>
        <v/>
      </c>
      <c r="AC68" s="10" t="str">
        <f aca="false">IF($Y68="","",SUMPRODUCT(($D68:$W68=$D$2:$W$2)*($D68:$W68&lt;&gt;"")*$D$3:$W$3*($D$4:$W$4=AC$6)))</f>
        <v/>
      </c>
    </row>
    <row r="69" customFormat="false" ht="15" hidden="false" customHeight="false" outlineLevel="0" collapsed="false">
      <c r="A69" s="5" t="n">
        <v>63</v>
      </c>
      <c r="B69" s="5" t="str">
        <f aca="false">IF(학생명단!B69="","",학생명단!B69)</f>
        <v/>
      </c>
      <c r="C69" s="19" t="str">
        <f aca="false">IF(학생명단!C69="","",학생명단!C69)</f>
        <v/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0" t="str">
        <f aca="false">IF(COUNTA(D69:W69)=0,"",SUMPRODUCT((D69:W69=$D$2:$W$2)*(D69:W69&lt;&gt;"")))</f>
        <v/>
      </c>
      <c r="Y69" s="26" t="str">
        <f aca="false">IF(COUNTA(D69:W69)=0,"",SUMPRODUCT((D69:W69=$D$2:$W$2)*(D69:W69&lt;&gt;"")*$D$3:$W$3))</f>
        <v/>
      </c>
      <c r="Z69" s="10" t="str">
        <f aca="false">IF($Y69="","",SUMPRODUCT(($D69:$W69=$D$2:$W$2)*($D69:$W69&lt;&gt;"")*$D$3:$W$3*($D$4:$W$4=Z$6)))</f>
        <v/>
      </c>
      <c r="AA69" s="10" t="str">
        <f aca="false">IF($Y69="","",SUMPRODUCT(($D69:$W69=$D$2:$W$2)*($D69:$W69&lt;&gt;"")*$D$3:$W$3*($D$4:$W$4=AA$6)))</f>
        <v/>
      </c>
      <c r="AB69" s="10" t="str">
        <f aca="false">IF($Y69="","",SUMPRODUCT(($D69:$W69=$D$2:$W$2)*($D69:$W69&lt;&gt;"")*$D$3:$W$3*($D$4:$W$4=AB$6)))</f>
        <v/>
      </c>
      <c r="AC69" s="10" t="str">
        <f aca="false">IF($Y69="","",SUMPRODUCT(($D69:$W69=$D$2:$W$2)*($D69:$W69&lt;&gt;"")*$D$3:$W$3*($D$4:$W$4=AC$6)))</f>
        <v/>
      </c>
    </row>
    <row r="70" customFormat="false" ht="15" hidden="false" customHeight="false" outlineLevel="0" collapsed="false">
      <c r="A70" s="5" t="n">
        <v>64</v>
      </c>
      <c r="B70" s="5" t="str">
        <f aca="false">IF(학생명단!B70="","",학생명단!B70)</f>
        <v/>
      </c>
      <c r="C70" s="19" t="str">
        <f aca="false">IF(학생명단!C70="","",학생명단!C70)</f>
        <v/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0" t="str">
        <f aca="false">IF(COUNTA(D70:W70)=0,"",SUMPRODUCT((D70:W70=$D$2:$W$2)*(D70:W70&lt;&gt;"")))</f>
        <v/>
      </c>
      <c r="Y70" s="26" t="str">
        <f aca="false">IF(COUNTA(D70:W70)=0,"",SUMPRODUCT((D70:W70=$D$2:$W$2)*(D70:W70&lt;&gt;"")*$D$3:$W$3))</f>
        <v/>
      </c>
      <c r="Z70" s="10" t="str">
        <f aca="false">IF($Y70="","",SUMPRODUCT(($D70:$W70=$D$2:$W$2)*($D70:$W70&lt;&gt;"")*$D$3:$W$3*($D$4:$W$4=Z$6)))</f>
        <v/>
      </c>
      <c r="AA70" s="10" t="str">
        <f aca="false">IF($Y70="","",SUMPRODUCT(($D70:$W70=$D$2:$W$2)*($D70:$W70&lt;&gt;"")*$D$3:$W$3*($D$4:$W$4=AA$6)))</f>
        <v/>
      </c>
      <c r="AB70" s="10" t="str">
        <f aca="false">IF($Y70="","",SUMPRODUCT(($D70:$W70=$D$2:$W$2)*($D70:$W70&lt;&gt;"")*$D$3:$W$3*($D$4:$W$4=AB$6)))</f>
        <v/>
      </c>
      <c r="AC70" s="10" t="str">
        <f aca="false">IF($Y70="","",SUMPRODUCT(($D70:$W70=$D$2:$W$2)*($D70:$W70&lt;&gt;"")*$D$3:$W$3*($D$4:$W$4=AC$6)))</f>
        <v/>
      </c>
    </row>
    <row r="71" customFormat="false" ht="15" hidden="false" customHeight="false" outlineLevel="0" collapsed="false">
      <c r="A71" s="5" t="n">
        <v>65</v>
      </c>
      <c r="B71" s="5" t="str">
        <f aca="false">IF(학생명단!B71="","",학생명단!B71)</f>
        <v/>
      </c>
      <c r="C71" s="19" t="str">
        <f aca="false">IF(학생명단!C71="","",학생명단!C71)</f>
        <v/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0" t="str">
        <f aca="false">IF(COUNTA(D71:W71)=0,"",SUMPRODUCT((D71:W71=$D$2:$W$2)*(D71:W71&lt;&gt;"")))</f>
        <v/>
      </c>
      <c r="Y71" s="26" t="str">
        <f aca="false">IF(COUNTA(D71:W71)=0,"",SUMPRODUCT((D71:W71=$D$2:$W$2)*(D71:W71&lt;&gt;"")*$D$3:$W$3))</f>
        <v/>
      </c>
      <c r="Z71" s="10" t="str">
        <f aca="false">IF($Y71="","",SUMPRODUCT(($D71:$W71=$D$2:$W$2)*($D71:$W71&lt;&gt;"")*$D$3:$W$3*($D$4:$W$4=Z$6)))</f>
        <v/>
      </c>
      <c r="AA71" s="10" t="str">
        <f aca="false">IF($Y71="","",SUMPRODUCT(($D71:$W71=$D$2:$W$2)*($D71:$W71&lt;&gt;"")*$D$3:$W$3*($D$4:$W$4=AA$6)))</f>
        <v/>
      </c>
      <c r="AB71" s="10" t="str">
        <f aca="false">IF($Y71="","",SUMPRODUCT(($D71:$W71=$D$2:$W$2)*($D71:$W71&lt;&gt;"")*$D$3:$W$3*($D$4:$W$4=AB$6)))</f>
        <v/>
      </c>
      <c r="AC71" s="10" t="str">
        <f aca="false">IF($Y71="","",SUMPRODUCT(($D71:$W71=$D$2:$W$2)*($D71:$W71&lt;&gt;"")*$D$3:$W$3*($D$4:$W$4=AC$6)))</f>
        <v/>
      </c>
    </row>
    <row r="72" customFormat="false" ht="15" hidden="false" customHeight="false" outlineLevel="0" collapsed="false">
      <c r="A72" s="5" t="n">
        <v>66</v>
      </c>
      <c r="B72" s="5" t="str">
        <f aca="false">IF(학생명단!B72="","",학생명단!B72)</f>
        <v/>
      </c>
      <c r="C72" s="19" t="str">
        <f aca="false">IF(학생명단!C72="","",학생명단!C72)</f>
        <v/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0" t="str">
        <f aca="false">IF(COUNTA(D72:W72)=0,"",SUMPRODUCT((D72:W72=$D$2:$W$2)*(D72:W72&lt;&gt;"")))</f>
        <v/>
      </c>
      <c r="Y72" s="26" t="str">
        <f aca="false">IF(COUNTA(D72:W72)=0,"",SUMPRODUCT((D72:W72=$D$2:$W$2)*(D72:W72&lt;&gt;"")*$D$3:$W$3))</f>
        <v/>
      </c>
      <c r="Z72" s="10" t="str">
        <f aca="false">IF($Y72="","",SUMPRODUCT(($D72:$W72=$D$2:$W$2)*($D72:$W72&lt;&gt;"")*$D$3:$W$3*($D$4:$W$4=Z$6)))</f>
        <v/>
      </c>
      <c r="AA72" s="10" t="str">
        <f aca="false">IF($Y72="","",SUMPRODUCT(($D72:$W72=$D$2:$W$2)*($D72:$W72&lt;&gt;"")*$D$3:$W$3*($D$4:$W$4=AA$6)))</f>
        <v/>
      </c>
      <c r="AB72" s="10" t="str">
        <f aca="false">IF($Y72="","",SUMPRODUCT(($D72:$W72=$D$2:$W$2)*($D72:$W72&lt;&gt;"")*$D$3:$W$3*($D$4:$W$4=AB$6)))</f>
        <v/>
      </c>
      <c r="AC72" s="10" t="str">
        <f aca="false">IF($Y72="","",SUMPRODUCT(($D72:$W72=$D$2:$W$2)*($D72:$W72&lt;&gt;"")*$D$3:$W$3*($D$4:$W$4=AC$6)))</f>
        <v/>
      </c>
    </row>
    <row r="73" customFormat="false" ht="15" hidden="false" customHeight="false" outlineLevel="0" collapsed="false">
      <c r="A73" s="5" t="n">
        <v>67</v>
      </c>
      <c r="B73" s="5" t="str">
        <f aca="false">IF(학생명단!B73="","",학생명단!B73)</f>
        <v/>
      </c>
      <c r="C73" s="19" t="str">
        <f aca="false">IF(학생명단!C73="","",학생명단!C73)</f>
        <v/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0" t="str">
        <f aca="false">IF(COUNTA(D73:W73)=0,"",SUMPRODUCT((D73:W73=$D$2:$W$2)*(D73:W73&lt;&gt;"")))</f>
        <v/>
      </c>
      <c r="Y73" s="26" t="str">
        <f aca="false">IF(COUNTA(D73:W73)=0,"",SUMPRODUCT((D73:W73=$D$2:$W$2)*(D73:W73&lt;&gt;"")*$D$3:$W$3))</f>
        <v/>
      </c>
      <c r="Z73" s="10" t="str">
        <f aca="false">IF($Y73="","",SUMPRODUCT(($D73:$W73=$D$2:$W$2)*($D73:$W73&lt;&gt;"")*$D$3:$W$3*($D$4:$W$4=Z$6)))</f>
        <v/>
      </c>
      <c r="AA73" s="10" t="str">
        <f aca="false">IF($Y73="","",SUMPRODUCT(($D73:$W73=$D$2:$W$2)*($D73:$W73&lt;&gt;"")*$D$3:$W$3*($D$4:$W$4=AA$6)))</f>
        <v/>
      </c>
      <c r="AB73" s="10" t="str">
        <f aca="false">IF($Y73="","",SUMPRODUCT(($D73:$W73=$D$2:$W$2)*($D73:$W73&lt;&gt;"")*$D$3:$W$3*($D$4:$W$4=AB$6)))</f>
        <v/>
      </c>
      <c r="AC73" s="10" t="str">
        <f aca="false">IF($Y73="","",SUMPRODUCT(($D73:$W73=$D$2:$W$2)*($D73:$W73&lt;&gt;"")*$D$3:$W$3*($D$4:$W$4=AC$6)))</f>
        <v/>
      </c>
    </row>
    <row r="74" customFormat="false" ht="15" hidden="false" customHeight="false" outlineLevel="0" collapsed="false">
      <c r="A74" s="5" t="n">
        <v>68</v>
      </c>
      <c r="B74" s="5" t="str">
        <f aca="false">IF(학생명단!B74="","",학생명단!B74)</f>
        <v/>
      </c>
      <c r="C74" s="19" t="str">
        <f aca="false">IF(학생명단!C74="","",학생명단!C74)</f>
        <v/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0" t="str">
        <f aca="false">IF(COUNTA(D74:W74)=0,"",SUMPRODUCT((D74:W74=$D$2:$W$2)*(D74:W74&lt;&gt;"")))</f>
        <v/>
      </c>
      <c r="Y74" s="26" t="str">
        <f aca="false">IF(COUNTA(D74:W74)=0,"",SUMPRODUCT((D74:W74=$D$2:$W$2)*(D74:W74&lt;&gt;"")*$D$3:$W$3))</f>
        <v/>
      </c>
      <c r="Z74" s="10" t="str">
        <f aca="false">IF($Y74="","",SUMPRODUCT(($D74:$W74=$D$2:$W$2)*($D74:$W74&lt;&gt;"")*$D$3:$W$3*($D$4:$W$4=Z$6)))</f>
        <v/>
      </c>
      <c r="AA74" s="10" t="str">
        <f aca="false">IF($Y74="","",SUMPRODUCT(($D74:$W74=$D$2:$W$2)*($D74:$W74&lt;&gt;"")*$D$3:$W$3*($D$4:$W$4=AA$6)))</f>
        <v/>
      </c>
      <c r="AB74" s="10" t="str">
        <f aca="false">IF($Y74="","",SUMPRODUCT(($D74:$W74=$D$2:$W$2)*($D74:$W74&lt;&gt;"")*$D$3:$W$3*($D$4:$W$4=AB$6)))</f>
        <v/>
      </c>
      <c r="AC74" s="10" t="str">
        <f aca="false">IF($Y74="","",SUMPRODUCT(($D74:$W74=$D$2:$W$2)*($D74:$W74&lt;&gt;"")*$D$3:$W$3*($D$4:$W$4=AC$6)))</f>
        <v/>
      </c>
    </row>
    <row r="75" customFormat="false" ht="15" hidden="false" customHeight="false" outlineLevel="0" collapsed="false">
      <c r="A75" s="5" t="n">
        <v>69</v>
      </c>
      <c r="B75" s="5" t="str">
        <f aca="false">IF(학생명단!B75="","",학생명단!B75)</f>
        <v/>
      </c>
      <c r="C75" s="19" t="str">
        <f aca="false">IF(학생명단!C75="","",학생명단!C75)</f>
        <v/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0" t="str">
        <f aca="false">IF(COUNTA(D75:W75)=0,"",SUMPRODUCT((D75:W75=$D$2:$W$2)*(D75:W75&lt;&gt;"")))</f>
        <v/>
      </c>
      <c r="Y75" s="26" t="str">
        <f aca="false">IF(COUNTA(D75:W75)=0,"",SUMPRODUCT((D75:W75=$D$2:$W$2)*(D75:W75&lt;&gt;"")*$D$3:$W$3))</f>
        <v/>
      </c>
      <c r="Z75" s="10" t="str">
        <f aca="false">IF($Y75="","",SUMPRODUCT(($D75:$W75=$D$2:$W$2)*($D75:$W75&lt;&gt;"")*$D$3:$W$3*($D$4:$W$4=Z$6)))</f>
        <v/>
      </c>
      <c r="AA75" s="10" t="str">
        <f aca="false">IF($Y75="","",SUMPRODUCT(($D75:$W75=$D$2:$W$2)*($D75:$W75&lt;&gt;"")*$D$3:$W$3*($D$4:$W$4=AA$6)))</f>
        <v/>
      </c>
      <c r="AB75" s="10" t="str">
        <f aca="false">IF($Y75="","",SUMPRODUCT(($D75:$W75=$D$2:$W$2)*($D75:$W75&lt;&gt;"")*$D$3:$W$3*($D$4:$W$4=AB$6)))</f>
        <v/>
      </c>
      <c r="AC75" s="10" t="str">
        <f aca="false">IF($Y75="","",SUMPRODUCT(($D75:$W75=$D$2:$W$2)*($D75:$W75&lt;&gt;"")*$D$3:$W$3*($D$4:$W$4=AC$6)))</f>
        <v/>
      </c>
    </row>
    <row r="76" customFormat="false" ht="15" hidden="false" customHeight="false" outlineLevel="0" collapsed="false">
      <c r="A76" s="5" t="n">
        <v>70</v>
      </c>
      <c r="B76" s="5" t="str">
        <f aca="false">IF(학생명단!B76="","",학생명단!B76)</f>
        <v/>
      </c>
      <c r="C76" s="19" t="str">
        <f aca="false">IF(학생명단!C76="","",학생명단!C76)</f>
        <v/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0" t="str">
        <f aca="false">IF(COUNTA(D76:W76)=0,"",SUMPRODUCT((D76:W76=$D$2:$W$2)*(D76:W76&lt;&gt;"")))</f>
        <v/>
      </c>
      <c r="Y76" s="26" t="str">
        <f aca="false">IF(COUNTA(D76:W76)=0,"",SUMPRODUCT((D76:W76=$D$2:$W$2)*(D76:W76&lt;&gt;"")*$D$3:$W$3))</f>
        <v/>
      </c>
      <c r="Z76" s="10" t="str">
        <f aca="false">IF($Y76="","",SUMPRODUCT(($D76:$W76=$D$2:$W$2)*($D76:$W76&lt;&gt;"")*$D$3:$W$3*($D$4:$W$4=Z$6)))</f>
        <v/>
      </c>
      <c r="AA76" s="10" t="str">
        <f aca="false">IF($Y76="","",SUMPRODUCT(($D76:$W76=$D$2:$W$2)*($D76:$W76&lt;&gt;"")*$D$3:$W$3*($D$4:$W$4=AA$6)))</f>
        <v/>
      </c>
      <c r="AB76" s="10" t="str">
        <f aca="false">IF($Y76="","",SUMPRODUCT(($D76:$W76=$D$2:$W$2)*($D76:$W76&lt;&gt;"")*$D$3:$W$3*($D$4:$W$4=AB$6)))</f>
        <v/>
      </c>
      <c r="AC76" s="10" t="str">
        <f aca="false">IF($Y76="","",SUMPRODUCT(($D76:$W76=$D$2:$W$2)*($D76:$W76&lt;&gt;"")*$D$3:$W$3*($D$4:$W$4=AC$6)))</f>
        <v/>
      </c>
    </row>
    <row r="77" customFormat="false" ht="15" hidden="false" customHeight="false" outlineLevel="0" collapsed="false">
      <c r="A77" s="5" t="n">
        <v>71</v>
      </c>
      <c r="B77" s="5" t="str">
        <f aca="false">IF(학생명단!B77="","",학생명단!B77)</f>
        <v/>
      </c>
      <c r="C77" s="19" t="str">
        <f aca="false">IF(학생명단!C77="","",학생명단!C77)</f>
        <v/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0" t="str">
        <f aca="false">IF(COUNTA(D77:W77)=0,"",SUMPRODUCT((D77:W77=$D$2:$W$2)*(D77:W77&lt;&gt;"")))</f>
        <v/>
      </c>
      <c r="Y77" s="26" t="str">
        <f aca="false">IF(COUNTA(D77:W77)=0,"",SUMPRODUCT((D77:W77=$D$2:$W$2)*(D77:W77&lt;&gt;"")*$D$3:$W$3))</f>
        <v/>
      </c>
      <c r="Z77" s="10" t="str">
        <f aca="false">IF($Y77="","",SUMPRODUCT(($D77:$W77=$D$2:$W$2)*($D77:$W77&lt;&gt;"")*$D$3:$W$3*($D$4:$W$4=Z$6)))</f>
        <v/>
      </c>
      <c r="AA77" s="10" t="str">
        <f aca="false">IF($Y77="","",SUMPRODUCT(($D77:$W77=$D$2:$W$2)*($D77:$W77&lt;&gt;"")*$D$3:$W$3*($D$4:$W$4=AA$6)))</f>
        <v/>
      </c>
      <c r="AB77" s="10" t="str">
        <f aca="false">IF($Y77="","",SUMPRODUCT(($D77:$W77=$D$2:$W$2)*($D77:$W77&lt;&gt;"")*$D$3:$W$3*($D$4:$W$4=AB$6)))</f>
        <v/>
      </c>
      <c r="AC77" s="10" t="str">
        <f aca="false">IF($Y77="","",SUMPRODUCT(($D77:$W77=$D$2:$W$2)*($D77:$W77&lt;&gt;"")*$D$3:$W$3*($D$4:$W$4=AC$6)))</f>
        <v/>
      </c>
    </row>
    <row r="78" customFormat="false" ht="15" hidden="false" customHeight="false" outlineLevel="0" collapsed="false">
      <c r="A78" s="5" t="n">
        <v>72</v>
      </c>
      <c r="B78" s="5" t="str">
        <f aca="false">IF(학생명단!B78="","",학생명단!B78)</f>
        <v/>
      </c>
      <c r="C78" s="19" t="str">
        <f aca="false">IF(학생명단!C78="","",학생명단!C78)</f>
        <v/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0" t="str">
        <f aca="false">IF(COUNTA(D78:W78)=0,"",SUMPRODUCT((D78:W78=$D$2:$W$2)*(D78:W78&lt;&gt;"")))</f>
        <v/>
      </c>
      <c r="Y78" s="26" t="str">
        <f aca="false">IF(COUNTA(D78:W78)=0,"",SUMPRODUCT((D78:W78=$D$2:$W$2)*(D78:W78&lt;&gt;"")*$D$3:$W$3))</f>
        <v/>
      </c>
      <c r="Z78" s="10" t="str">
        <f aca="false">IF($Y78="","",SUMPRODUCT(($D78:$W78=$D$2:$W$2)*($D78:$W78&lt;&gt;"")*$D$3:$W$3*($D$4:$W$4=Z$6)))</f>
        <v/>
      </c>
      <c r="AA78" s="10" t="str">
        <f aca="false">IF($Y78="","",SUMPRODUCT(($D78:$W78=$D$2:$W$2)*($D78:$W78&lt;&gt;"")*$D$3:$W$3*($D$4:$W$4=AA$6)))</f>
        <v/>
      </c>
      <c r="AB78" s="10" t="str">
        <f aca="false">IF($Y78="","",SUMPRODUCT(($D78:$W78=$D$2:$W$2)*($D78:$W78&lt;&gt;"")*$D$3:$W$3*($D$4:$W$4=AB$6)))</f>
        <v/>
      </c>
      <c r="AC78" s="10" t="str">
        <f aca="false">IF($Y78="","",SUMPRODUCT(($D78:$W78=$D$2:$W$2)*($D78:$W78&lt;&gt;"")*$D$3:$W$3*($D$4:$W$4=AC$6)))</f>
        <v/>
      </c>
    </row>
    <row r="79" customFormat="false" ht="15" hidden="false" customHeight="false" outlineLevel="0" collapsed="false">
      <c r="A79" s="5" t="n">
        <v>73</v>
      </c>
      <c r="B79" s="5" t="str">
        <f aca="false">IF(학생명단!B79="","",학생명단!B79)</f>
        <v/>
      </c>
      <c r="C79" s="19" t="str">
        <f aca="false">IF(학생명단!C79="","",학생명단!C79)</f>
        <v/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0" t="str">
        <f aca="false">IF(COUNTA(D79:W79)=0,"",SUMPRODUCT((D79:W79=$D$2:$W$2)*(D79:W79&lt;&gt;"")))</f>
        <v/>
      </c>
      <c r="Y79" s="26" t="str">
        <f aca="false">IF(COUNTA(D79:W79)=0,"",SUMPRODUCT((D79:W79=$D$2:$W$2)*(D79:W79&lt;&gt;"")*$D$3:$W$3))</f>
        <v/>
      </c>
      <c r="Z79" s="10" t="str">
        <f aca="false">IF($Y79="","",SUMPRODUCT(($D79:$W79=$D$2:$W$2)*($D79:$W79&lt;&gt;"")*$D$3:$W$3*($D$4:$W$4=Z$6)))</f>
        <v/>
      </c>
      <c r="AA79" s="10" t="str">
        <f aca="false">IF($Y79="","",SUMPRODUCT(($D79:$W79=$D$2:$W$2)*($D79:$W79&lt;&gt;"")*$D$3:$W$3*($D$4:$W$4=AA$6)))</f>
        <v/>
      </c>
      <c r="AB79" s="10" t="str">
        <f aca="false">IF($Y79="","",SUMPRODUCT(($D79:$W79=$D$2:$W$2)*($D79:$W79&lt;&gt;"")*$D$3:$W$3*($D$4:$W$4=AB$6)))</f>
        <v/>
      </c>
      <c r="AC79" s="10" t="str">
        <f aca="false">IF($Y79="","",SUMPRODUCT(($D79:$W79=$D$2:$W$2)*($D79:$W79&lt;&gt;"")*$D$3:$W$3*($D$4:$W$4=AC$6)))</f>
        <v/>
      </c>
    </row>
    <row r="80" customFormat="false" ht="15" hidden="false" customHeight="false" outlineLevel="0" collapsed="false">
      <c r="A80" s="5" t="n">
        <v>74</v>
      </c>
      <c r="B80" s="5" t="str">
        <f aca="false">IF(학생명단!B80="","",학생명단!B80)</f>
        <v/>
      </c>
      <c r="C80" s="19" t="str">
        <f aca="false">IF(학생명단!C80="","",학생명단!C80)</f>
        <v/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0" t="str">
        <f aca="false">IF(COUNTA(D80:W80)=0,"",SUMPRODUCT((D80:W80=$D$2:$W$2)*(D80:W80&lt;&gt;"")))</f>
        <v/>
      </c>
      <c r="Y80" s="26" t="str">
        <f aca="false">IF(COUNTA(D80:W80)=0,"",SUMPRODUCT((D80:W80=$D$2:$W$2)*(D80:W80&lt;&gt;"")*$D$3:$W$3))</f>
        <v/>
      </c>
      <c r="Z80" s="10" t="str">
        <f aca="false">IF($Y80="","",SUMPRODUCT(($D80:$W80=$D$2:$W$2)*($D80:$W80&lt;&gt;"")*$D$3:$W$3*($D$4:$W$4=Z$6)))</f>
        <v/>
      </c>
      <c r="AA80" s="10" t="str">
        <f aca="false">IF($Y80="","",SUMPRODUCT(($D80:$W80=$D$2:$W$2)*($D80:$W80&lt;&gt;"")*$D$3:$W$3*($D$4:$W$4=AA$6)))</f>
        <v/>
      </c>
      <c r="AB80" s="10" t="str">
        <f aca="false">IF($Y80="","",SUMPRODUCT(($D80:$W80=$D$2:$W$2)*($D80:$W80&lt;&gt;"")*$D$3:$W$3*($D$4:$W$4=AB$6)))</f>
        <v/>
      </c>
      <c r="AC80" s="10" t="str">
        <f aca="false">IF($Y80="","",SUMPRODUCT(($D80:$W80=$D$2:$W$2)*($D80:$W80&lt;&gt;"")*$D$3:$W$3*($D$4:$W$4=AC$6)))</f>
        <v/>
      </c>
    </row>
    <row r="81" customFormat="false" ht="15" hidden="false" customHeight="false" outlineLevel="0" collapsed="false">
      <c r="A81" s="5" t="n">
        <v>75</v>
      </c>
      <c r="B81" s="5" t="str">
        <f aca="false">IF(학생명단!B81="","",학생명단!B81)</f>
        <v/>
      </c>
      <c r="C81" s="19" t="str">
        <f aca="false">IF(학생명단!C81="","",학생명단!C81)</f>
        <v/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0" t="str">
        <f aca="false">IF(COUNTA(D81:W81)=0,"",SUMPRODUCT((D81:W81=$D$2:$W$2)*(D81:W81&lt;&gt;"")))</f>
        <v/>
      </c>
      <c r="Y81" s="26" t="str">
        <f aca="false">IF(COUNTA(D81:W81)=0,"",SUMPRODUCT((D81:W81=$D$2:$W$2)*(D81:W81&lt;&gt;"")*$D$3:$W$3))</f>
        <v/>
      </c>
      <c r="Z81" s="10" t="str">
        <f aca="false">IF($Y81="","",SUMPRODUCT(($D81:$W81=$D$2:$W$2)*($D81:$W81&lt;&gt;"")*$D$3:$W$3*($D$4:$W$4=Z$6)))</f>
        <v/>
      </c>
      <c r="AA81" s="10" t="str">
        <f aca="false">IF($Y81="","",SUMPRODUCT(($D81:$W81=$D$2:$W$2)*($D81:$W81&lt;&gt;"")*$D$3:$W$3*($D$4:$W$4=AA$6)))</f>
        <v/>
      </c>
      <c r="AB81" s="10" t="str">
        <f aca="false">IF($Y81="","",SUMPRODUCT(($D81:$W81=$D$2:$W$2)*($D81:$W81&lt;&gt;"")*$D$3:$W$3*($D$4:$W$4=AB$6)))</f>
        <v/>
      </c>
      <c r="AC81" s="10" t="str">
        <f aca="false">IF($Y81="","",SUMPRODUCT(($D81:$W81=$D$2:$W$2)*($D81:$W81&lt;&gt;"")*$D$3:$W$3*($D$4:$W$4=AC$6)))</f>
        <v/>
      </c>
    </row>
    <row r="82" customFormat="false" ht="15" hidden="false" customHeight="false" outlineLevel="0" collapsed="false">
      <c r="A82" s="5" t="n">
        <v>76</v>
      </c>
      <c r="B82" s="5" t="str">
        <f aca="false">IF(학생명단!B82="","",학생명단!B82)</f>
        <v/>
      </c>
      <c r="C82" s="19" t="str">
        <f aca="false">IF(학생명단!C82="","",학생명단!C82)</f>
        <v/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0" t="str">
        <f aca="false">IF(COUNTA(D82:W82)=0,"",SUMPRODUCT((D82:W82=$D$2:$W$2)*(D82:W82&lt;&gt;"")))</f>
        <v/>
      </c>
      <c r="Y82" s="26" t="str">
        <f aca="false">IF(COUNTA(D82:W82)=0,"",SUMPRODUCT((D82:W82=$D$2:$W$2)*(D82:W82&lt;&gt;"")*$D$3:$W$3))</f>
        <v/>
      </c>
      <c r="Z82" s="10" t="str">
        <f aca="false">IF($Y82="","",SUMPRODUCT(($D82:$W82=$D$2:$W$2)*($D82:$W82&lt;&gt;"")*$D$3:$W$3*($D$4:$W$4=Z$6)))</f>
        <v/>
      </c>
      <c r="AA82" s="10" t="str">
        <f aca="false">IF($Y82="","",SUMPRODUCT(($D82:$W82=$D$2:$W$2)*($D82:$W82&lt;&gt;"")*$D$3:$W$3*($D$4:$W$4=AA$6)))</f>
        <v/>
      </c>
      <c r="AB82" s="10" t="str">
        <f aca="false">IF($Y82="","",SUMPRODUCT(($D82:$W82=$D$2:$W$2)*($D82:$W82&lt;&gt;"")*$D$3:$W$3*($D$4:$W$4=AB$6)))</f>
        <v/>
      </c>
      <c r="AC82" s="10" t="str">
        <f aca="false">IF($Y82="","",SUMPRODUCT(($D82:$W82=$D$2:$W$2)*($D82:$W82&lt;&gt;"")*$D$3:$W$3*($D$4:$W$4=AC$6)))</f>
        <v/>
      </c>
    </row>
    <row r="83" customFormat="false" ht="15" hidden="false" customHeight="false" outlineLevel="0" collapsed="false">
      <c r="A83" s="5" t="n">
        <v>77</v>
      </c>
      <c r="B83" s="5" t="str">
        <f aca="false">IF(학생명단!B83="","",학생명단!B83)</f>
        <v/>
      </c>
      <c r="C83" s="19" t="str">
        <f aca="false">IF(학생명단!C83="","",학생명단!C83)</f>
        <v/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0" t="str">
        <f aca="false">IF(COUNTA(D83:W83)=0,"",SUMPRODUCT((D83:W83=$D$2:$W$2)*(D83:W83&lt;&gt;"")))</f>
        <v/>
      </c>
      <c r="Y83" s="26" t="str">
        <f aca="false">IF(COUNTA(D83:W83)=0,"",SUMPRODUCT((D83:W83=$D$2:$W$2)*(D83:W83&lt;&gt;"")*$D$3:$W$3))</f>
        <v/>
      </c>
      <c r="Z83" s="10" t="str">
        <f aca="false">IF($Y83="","",SUMPRODUCT(($D83:$W83=$D$2:$W$2)*($D83:$W83&lt;&gt;"")*$D$3:$W$3*($D$4:$W$4=Z$6)))</f>
        <v/>
      </c>
      <c r="AA83" s="10" t="str">
        <f aca="false">IF($Y83="","",SUMPRODUCT(($D83:$W83=$D$2:$W$2)*($D83:$W83&lt;&gt;"")*$D$3:$W$3*($D$4:$W$4=AA$6)))</f>
        <v/>
      </c>
      <c r="AB83" s="10" t="str">
        <f aca="false">IF($Y83="","",SUMPRODUCT(($D83:$W83=$D$2:$W$2)*($D83:$W83&lt;&gt;"")*$D$3:$W$3*($D$4:$W$4=AB$6)))</f>
        <v/>
      </c>
      <c r="AC83" s="10" t="str">
        <f aca="false">IF($Y83="","",SUMPRODUCT(($D83:$W83=$D$2:$W$2)*($D83:$W83&lt;&gt;"")*$D$3:$W$3*($D$4:$W$4=AC$6)))</f>
        <v/>
      </c>
    </row>
    <row r="84" customFormat="false" ht="15" hidden="false" customHeight="false" outlineLevel="0" collapsed="false">
      <c r="A84" s="5" t="n">
        <v>78</v>
      </c>
      <c r="B84" s="5" t="str">
        <f aca="false">IF(학생명단!B84="","",학생명단!B84)</f>
        <v/>
      </c>
      <c r="C84" s="19" t="str">
        <f aca="false">IF(학생명단!C84="","",학생명단!C84)</f>
        <v/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0" t="str">
        <f aca="false">IF(COUNTA(D84:W84)=0,"",SUMPRODUCT((D84:W84=$D$2:$W$2)*(D84:W84&lt;&gt;"")))</f>
        <v/>
      </c>
      <c r="Y84" s="26" t="str">
        <f aca="false">IF(COUNTA(D84:W84)=0,"",SUMPRODUCT((D84:W84=$D$2:$W$2)*(D84:W84&lt;&gt;"")*$D$3:$W$3))</f>
        <v/>
      </c>
      <c r="Z84" s="10" t="str">
        <f aca="false">IF($Y84="","",SUMPRODUCT(($D84:$W84=$D$2:$W$2)*($D84:$W84&lt;&gt;"")*$D$3:$W$3*($D$4:$W$4=Z$6)))</f>
        <v/>
      </c>
      <c r="AA84" s="10" t="str">
        <f aca="false">IF($Y84="","",SUMPRODUCT(($D84:$W84=$D$2:$W$2)*($D84:$W84&lt;&gt;"")*$D$3:$W$3*($D$4:$W$4=AA$6)))</f>
        <v/>
      </c>
      <c r="AB84" s="10" t="str">
        <f aca="false">IF($Y84="","",SUMPRODUCT(($D84:$W84=$D$2:$W$2)*($D84:$W84&lt;&gt;"")*$D$3:$W$3*($D$4:$W$4=AB$6)))</f>
        <v/>
      </c>
      <c r="AC84" s="10" t="str">
        <f aca="false">IF($Y84="","",SUMPRODUCT(($D84:$W84=$D$2:$W$2)*($D84:$W84&lt;&gt;"")*$D$3:$W$3*($D$4:$W$4=AC$6)))</f>
        <v/>
      </c>
    </row>
    <row r="85" customFormat="false" ht="15" hidden="false" customHeight="false" outlineLevel="0" collapsed="false">
      <c r="A85" s="5" t="n">
        <v>79</v>
      </c>
      <c r="B85" s="5" t="str">
        <f aca="false">IF(학생명단!B85="","",학생명단!B85)</f>
        <v/>
      </c>
      <c r="C85" s="19" t="str">
        <f aca="false">IF(학생명단!C85="","",학생명단!C85)</f>
        <v/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0" t="str">
        <f aca="false">IF(COUNTA(D85:W85)=0,"",SUMPRODUCT((D85:W85=$D$2:$W$2)*(D85:W85&lt;&gt;"")))</f>
        <v/>
      </c>
      <c r="Y85" s="26" t="str">
        <f aca="false">IF(COUNTA(D85:W85)=0,"",SUMPRODUCT((D85:W85=$D$2:$W$2)*(D85:W85&lt;&gt;"")*$D$3:$W$3))</f>
        <v/>
      </c>
      <c r="Z85" s="10" t="str">
        <f aca="false">IF($Y85="","",SUMPRODUCT(($D85:$W85=$D$2:$W$2)*($D85:$W85&lt;&gt;"")*$D$3:$W$3*($D$4:$W$4=Z$6)))</f>
        <v/>
      </c>
      <c r="AA85" s="10" t="str">
        <f aca="false">IF($Y85="","",SUMPRODUCT(($D85:$W85=$D$2:$W$2)*($D85:$W85&lt;&gt;"")*$D$3:$W$3*($D$4:$W$4=AA$6)))</f>
        <v/>
      </c>
      <c r="AB85" s="10" t="str">
        <f aca="false">IF($Y85="","",SUMPRODUCT(($D85:$W85=$D$2:$W$2)*($D85:$W85&lt;&gt;"")*$D$3:$W$3*($D$4:$W$4=AB$6)))</f>
        <v/>
      </c>
      <c r="AC85" s="10" t="str">
        <f aca="false">IF($Y85="","",SUMPRODUCT(($D85:$W85=$D$2:$W$2)*($D85:$W85&lt;&gt;"")*$D$3:$W$3*($D$4:$W$4=AC$6)))</f>
        <v/>
      </c>
    </row>
    <row r="86" customFormat="false" ht="15" hidden="false" customHeight="false" outlineLevel="0" collapsed="false">
      <c r="A86" s="5" t="n">
        <v>80</v>
      </c>
      <c r="B86" s="5" t="str">
        <f aca="false">IF(학생명단!B86="","",학생명단!B86)</f>
        <v/>
      </c>
      <c r="C86" s="19" t="str">
        <f aca="false">IF(학생명단!C86="","",학생명단!C86)</f>
        <v/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0" t="str">
        <f aca="false">IF(COUNTA(D86:W86)=0,"",SUMPRODUCT((D86:W86=$D$2:$W$2)*(D86:W86&lt;&gt;"")))</f>
        <v/>
      </c>
      <c r="Y86" s="26" t="str">
        <f aca="false">IF(COUNTA(D86:W86)=0,"",SUMPRODUCT((D86:W86=$D$2:$W$2)*(D86:W86&lt;&gt;"")*$D$3:$W$3))</f>
        <v/>
      </c>
      <c r="Z86" s="10" t="str">
        <f aca="false">IF($Y86="","",SUMPRODUCT(($D86:$W86=$D$2:$W$2)*($D86:$W86&lt;&gt;"")*$D$3:$W$3*($D$4:$W$4=Z$6)))</f>
        <v/>
      </c>
      <c r="AA86" s="10" t="str">
        <f aca="false">IF($Y86="","",SUMPRODUCT(($D86:$W86=$D$2:$W$2)*($D86:$W86&lt;&gt;"")*$D$3:$W$3*($D$4:$W$4=AA$6)))</f>
        <v/>
      </c>
      <c r="AB86" s="10" t="str">
        <f aca="false">IF($Y86="","",SUMPRODUCT(($D86:$W86=$D$2:$W$2)*($D86:$W86&lt;&gt;"")*$D$3:$W$3*($D$4:$W$4=AB$6)))</f>
        <v/>
      </c>
      <c r="AC86" s="10" t="str">
        <f aca="false">IF($Y86="","",SUMPRODUCT(($D86:$W86=$D$2:$W$2)*($D86:$W86&lt;&gt;"")*$D$3:$W$3*($D$4:$W$4=AC$6)))</f>
        <v/>
      </c>
    </row>
  </sheetData>
  <mergeCells count="6">
    <mergeCell ref="A1:C1"/>
    <mergeCell ref="D1:AC1"/>
    <mergeCell ref="A2:C2"/>
    <mergeCell ref="A3:C3"/>
    <mergeCell ref="A4:C4"/>
    <mergeCell ref="A5:C5"/>
  </mergeCells>
  <conditionalFormatting sqref="D7:W86">
    <cfRule type="expression" priority="2" aboveAverage="0" equalAverage="0" bottom="0" percent="0" rank="0" text="" dxfId="0">
      <formula>AND(D7&lt;&gt;"",D$2&lt;&gt;"",D7&lt;&gt;D$2)</formula>
    </cfRule>
  </conditionalFormatting>
  <conditionalFormatting sqref="D2:W2">
    <cfRule type="expression" priority="3" aboveAverage="0" equalAverage="0" bottom="0" percent="0" rank="0" text="" dxfId="1">
      <formula>D2=""</formula>
    </cfRule>
  </conditionalFormatting>
  <dataValidations count="4">
    <dataValidation allowBlank="true" errorStyle="stop" operator="between" showDropDown="false" showErrorMessage="false" showInputMessage="false" sqref="D4:W4" type="list">
      <formula1>설정!$B$19:$B$22</formula1>
      <formula2>0</formula2>
    </dataValidation>
    <dataValidation allowBlank="true" errorStyle="stop" operator="between" showDropDown="false" showErrorMessage="false" showInputMessage="false" sqref="D5:W5" type="list">
      <formula1>"하,중,상,최상"</formula1>
      <formula2>0</formula2>
    </dataValidation>
    <dataValidation allowBlank="true" error="객관식은 1~5 사이 정수만 입력" errorStyle="stop" errorTitle="입력 오류" operator="between" showDropDown="false" showErrorMessage="true" showInputMessage="false" sqref="D2:Q2 D7:Q86" type="whole">
      <formula1>1</formula1>
      <formula2>5</formula2>
    </dataValidation>
    <dataValidation allowBlank="true" error="단답형은 0~999 사이 정수만 입력" errorStyle="stop" errorTitle="입력 오류" operator="between" showDropDown="false" showErrorMessage="true" showInputMessage="false" sqref="R2:W2 R7:W86" type="whole">
      <formula1>0</formula1>
      <formula2>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23" min="4" style="0" width="6.2"/>
    <col collapsed="false" customWidth="true" hidden="false" outlineLevel="0" max="24" min="24" style="0" width="7"/>
    <col collapsed="false" customWidth="true" hidden="false" outlineLevel="0" max="25" min="25" style="0" width="8"/>
    <col collapsed="false" customWidth="true" hidden="false" outlineLevel="0" max="28" min="26" style="0" width="10"/>
  </cols>
  <sheetData>
    <row r="1" customFormat="false" ht="33.75" hidden="false" customHeight="true" outlineLevel="0" collapsed="false">
      <c r="A1" s="1" t="s">
        <v>95</v>
      </c>
      <c r="B1" s="1"/>
      <c r="C1" s="1"/>
      <c r="D1" s="16" t="s">
        <v>62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customFormat="false" ht="15" hidden="false" customHeight="true" outlineLevel="0" collapsed="false">
      <c r="A2" s="17" t="s">
        <v>63</v>
      </c>
      <c r="B2" s="17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customFormat="false" ht="15" hidden="false" customHeight="true" outlineLevel="0" collapsed="false">
      <c r="A3" s="17" t="s">
        <v>64</v>
      </c>
      <c r="B3" s="17"/>
      <c r="C3" s="17"/>
      <c r="D3" s="14" t="n">
        <v>5</v>
      </c>
      <c r="E3" s="14" t="n">
        <v>5</v>
      </c>
      <c r="F3" s="14" t="n">
        <v>5</v>
      </c>
      <c r="G3" s="14" t="n">
        <v>5</v>
      </c>
      <c r="H3" s="14" t="n">
        <v>5</v>
      </c>
      <c r="I3" s="14" t="n">
        <v>5</v>
      </c>
      <c r="J3" s="14" t="n">
        <v>5</v>
      </c>
      <c r="K3" s="14" t="n">
        <v>5</v>
      </c>
      <c r="L3" s="14" t="n">
        <v>5</v>
      </c>
      <c r="M3" s="14" t="n">
        <v>5</v>
      </c>
      <c r="N3" s="14" t="n">
        <v>5</v>
      </c>
      <c r="O3" s="14" t="n">
        <v>5</v>
      </c>
      <c r="P3" s="14" t="n">
        <v>5</v>
      </c>
      <c r="Q3" s="14" t="n">
        <v>5</v>
      </c>
      <c r="R3" s="14" t="n">
        <v>5</v>
      </c>
      <c r="S3" s="14" t="n">
        <v>5</v>
      </c>
      <c r="T3" s="14" t="n">
        <v>5</v>
      </c>
      <c r="U3" s="14" t="n">
        <v>5</v>
      </c>
      <c r="V3" s="14" t="n">
        <v>5</v>
      </c>
      <c r="W3" s="14" t="n">
        <v>5</v>
      </c>
      <c r="X3" s="19" t="n">
        <f aca="false">COUNT(D2:W2)</f>
        <v>0</v>
      </c>
      <c r="Y3" s="20" t="n">
        <f aca="false">SUM(D3:W3)</f>
        <v>100</v>
      </c>
      <c r="Z3" s="19" t="n">
        <f aca="false">SUMIF($D$4:$W$4,Z$6,$D$3:$W$3)</f>
        <v>40</v>
      </c>
      <c r="AA3" s="19" t="n">
        <f aca="false">SUMIF($D$4:$W$4,AA$6,$D$3:$W$3)</f>
        <v>30</v>
      </c>
      <c r="AB3" s="19" t="n">
        <f aca="false">SUMIF($D$4:$W$4,AB$6,$D$3:$W$3)</f>
        <v>30</v>
      </c>
    </row>
    <row r="4" customFormat="false" ht="42" hidden="false" customHeight="true" outlineLevel="0" collapsed="false">
      <c r="A4" s="17" t="s">
        <v>65</v>
      </c>
      <c r="B4" s="17"/>
      <c r="C4" s="17"/>
      <c r="D4" s="21" t="s">
        <v>41</v>
      </c>
      <c r="E4" s="21" t="s">
        <v>41</v>
      </c>
      <c r="F4" s="21" t="s">
        <v>41</v>
      </c>
      <c r="G4" s="21" t="s">
        <v>41</v>
      </c>
      <c r="H4" s="21" t="s">
        <v>41</v>
      </c>
      <c r="I4" s="21" t="s">
        <v>41</v>
      </c>
      <c r="J4" s="21" t="s">
        <v>41</v>
      </c>
      <c r="K4" s="21" t="s">
        <v>41</v>
      </c>
      <c r="L4" s="21" t="s">
        <v>43</v>
      </c>
      <c r="M4" s="21" t="s">
        <v>43</v>
      </c>
      <c r="N4" s="21" t="s">
        <v>43</v>
      </c>
      <c r="O4" s="21" t="s">
        <v>43</v>
      </c>
      <c r="P4" s="21" t="s">
        <v>43</v>
      </c>
      <c r="Q4" s="21" t="s">
        <v>43</v>
      </c>
      <c r="R4" s="21" t="s">
        <v>45</v>
      </c>
      <c r="S4" s="21" t="s">
        <v>45</v>
      </c>
      <c r="T4" s="21" t="s">
        <v>45</v>
      </c>
      <c r="U4" s="21" t="s">
        <v>45</v>
      </c>
      <c r="V4" s="21" t="s">
        <v>45</v>
      </c>
      <c r="W4" s="21" t="s">
        <v>45</v>
      </c>
    </row>
    <row r="5" customFormat="false" ht="22.35" hidden="false" customHeight="true" outlineLevel="0" collapsed="false">
      <c r="A5" s="17" t="s">
        <v>66</v>
      </c>
      <c r="B5" s="17"/>
      <c r="C5" s="17"/>
      <c r="D5" s="6" t="s">
        <v>67</v>
      </c>
      <c r="E5" s="6" t="s">
        <v>67</v>
      </c>
      <c r="F5" s="6" t="s">
        <v>67</v>
      </c>
      <c r="G5" s="6" t="s">
        <v>67</v>
      </c>
      <c r="H5" s="6" t="s">
        <v>67</v>
      </c>
      <c r="I5" s="6" t="s">
        <v>68</v>
      </c>
      <c r="J5" s="6" t="s">
        <v>68</v>
      </c>
      <c r="K5" s="6" t="s">
        <v>68</v>
      </c>
      <c r="L5" s="6" t="s">
        <v>68</v>
      </c>
      <c r="M5" s="6" t="s">
        <v>68</v>
      </c>
      <c r="N5" s="6" t="s">
        <v>68</v>
      </c>
      <c r="O5" s="6" t="s">
        <v>69</v>
      </c>
      <c r="P5" s="6" t="s">
        <v>69</v>
      </c>
      <c r="Q5" s="6" t="s">
        <v>69</v>
      </c>
      <c r="R5" s="6" t="s">
        <v>67</v>
      </c>
      <c r="S5" s="6" t="s">
        <v>68</v>
      </c>
      <c r="T5" s="6" t="s">
        <v>68</v>
      </c>
      <c r="U5" s="6" t="s">
        <v>69</v>
      </c>
      <c r="V5" s="6" t="s">
        <v>69</v>
      </c>
      <c r="W5" s="6" t="s">
        <v>70</v>
      </c>
      <c r="X5" s="22" t="s">
        <v>71</v>
      </c>
      <c r="Y5" s="22" t="s">
        <v>72</v>
      </c>
      <c r="Z5" s="22" t="s">
        <v>72</v>
      </c>
      <c r="AA5" s="22" t="s">
        <v>72</v>
      </c>
      <c r="AB5" s="22" t="s">
        <v>72</v>
      </c>
    </row>
    <row r="6" customFormat="false" ht="30" hidden="false" customHeight="true" outlineLevel="0" collapsed="false">
      <c r="A6" s="13" t="s">
        <v>50</v>
      </c>
      <c r="B6" s="4" t="s">
        <v>51</v>
      </c>
      <c r="C6" s="4" t="s">
        <v>52</v>
      </c>
      <c r="D6" s="23" t="s">
        <v>73</v>
      </c>
      <c r="E6" s="23" t="s">
        <v>74</v>
      </c>
      <c r="F6" s="23" t="s">
        <v>75</v>
      </c>
      <c r="G6" s="23" t="s">
        <v>76</v>
      </c>
      <c r="H6" s="23" t="s">
        <v>77</v>
      </c>
      <c r="I6" s="23" t="s">
        <v>78</v>
      </c>
      <c r="J6" s="23" t="s">
        <v>79</v>
      </c>
      <c r="K6" s="23" t="s">
        <v>80</v>
      </c>
      <c r="L6" s="23" t="s">
        <v>81</v>
      </c>
      <c r="M6" s="23" t="s">
        <v>82</v>
      </c>
      <c r="N6" s="23" t="s">
        <v>83</v>
      </c>
      <c r="O6" s="23" t="s">
        <v>84</v>
      </c>
      <c r="P6" s="23" t="s">
        <v>85</v>
      </c>
      <c r="Q6" s="23" t="s">
        <v>86</v>
      </c>
      <c r="R6" s="24" t="s">
        <v>87</v>
      </c>
      <c r="S6" s="24" t="s">
        <v>88</v>
      </c>
      <c r="T6" s="24" t="s">
        <v>89</v>
      </c>
      <c r="U6" s="24" t="s">
        <v>90</v>
      </c>
      <c r="V6" s="24" t="s">
        <v>91</v>
      </c>
      <c r="W6" s="24" t="s">
        <v>92</v>
      </c>
      <c r="X6" s="4" t="s">
        <v>93</v>
      </c>
      <c r="Y6" s="4" t="s">
        <v>94</v>
      </c>
      <c r="Z6" s="25" t="str">
        <f aca="false">설정!B24</f>
        <v>도형의 방정식</v>
      </c>
      <c r="AA6" s="25" t="str">
        <f aca="false">설정!B25</f>
        <v>집합과 명제</v>
      </c>
      <c r="AB6" s="25" t="str">
        <f aca="false">설정!B26</f>
        <v>함수와 그래프</v>
      </c>
    </row>
    <row r="7" customFormat="false" ht="15" hidden="false" customHeight="false" outlineLevel="0" collapsed="false">
      <c r="A7" s="5" t="n">
        <v>1</v>
      </c>
      <c r="B7" s="5" t="str">
        <f aca="false">IF(학생명단!B7="","",학생명단!B7)</f>
        <v>홍길동(예시)</v>
      </c>
      <c r="C7" s="19" t="str">
        <f aca="false">IF(학생명단!C7="","",학생명단!C7)</f>
        <v>OO중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0" t="str">
        <f aca="false">IF(COUNTA(D7:W7)=0,"",SUMPRODUCT((D7:W7=$D$2:$W$2)*(D7:W7&lt;&gt;"")))</f>
        <v/>
      </c>
      <c r="Y7" s="26" t="str">
        <f aca="false">IF(COUNTA(D7:W7)=0,"",SUMPRODUCT((D7:W7=$D$2:$W$2)*(D7:W7&lt;&gt;"")*$D$3:$W$3))</f>
        <v/>
      </c>
      <c r="Z7" s="10" t="str">
        <f aca="false">IF($Y7="","",SUMPRODUCT(($D7:$W7=$D$2:$W$2)*($D7:$W7&lt;&gt;"")*$D$3:$W$3*($D$4:$W$4=Z$6)))</f>
        <v/>
      </c>
      <c r="AA7" s="10" t="str">
        <f aca="false">IF($Y7="","",SUMPRODUCT(($D7:$W7=$D$2:$W$2)*($D7:$W7&lt;&gt;"")*$D$3:$W$3*($D$4:$W$4=AA$6)))</f>
        <v/>
      </c>
      <c r="AB7" s="10" t="str">
        <f aca="false">IF($Y7="","",SUMPRODUCT(($D7:$W7=$D$2:$W$2)*($D7:$W7&lt;&gt;"")*$D$3:$W$3*($D$4:$W$4=AB$6)))</f>
        <v/>
      </c>
    </row>
    <row r="8" customFormat="false" ht="15" hidden="false" customHeight="false" outlineLevel="0" collapsed="false">
      <c r="A8" s="5" t="n">
        <v>2</v>
      </c>
      <c r="B8" s="5" t="str">
        <f aca="false">IF(학생명단!B8="","",학생명단!B8)</f>
        <v/>
      </c>
      <c r="C8" s="19" t="str">
        <f aca="false">IF(학생명단!C8="","",학생명단!C8)</f>
        <v/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0" t="str">
        <f aca="false">IF(COUNTA(D8:W8)=0,"",SUMPRODUCT((D8:W8=$D$2:$W$2)*(D8:W8&lt;&gt;"")))</f>
        <v/>
      </c>
      <c r="Y8" s="26" t="str">
        <f aca="false">IF(COUNTA(D8:W8)=0,"",SUMPRODUCT((D8:W8=$D$2:$W$2)*(D8:W8&lt;&gt;"")*$D$3:$W$3))</f>
        <v/>
      </c>
      <c r="Z8" s="10" t="str">
        <f aca="false">IF($Y8="","",SUMPRODUCT(($D8:$W8=$D$2:$W$2)*($D8:$W8&lt;&gt;"")*$D$3:$W$3*($D$4:$W$4=Z$6)))</f>
        <v/>
      </c>
      <c r="AA8" s="10" t="str">
        <f aca="false">IF($Y8="","",SUMPRODUCT(($D8:$W8=$D$2:$W$2)*($D8:$W8&lt;&gt;"")*$D$3:$W$3*($D$4:$W$4=AA$6)))</f>
        <v/>
      </c>
      <c r="AB8" s="10" t="str">
        <f aca="false">IF($Y8="","",SUMPRODUCT(($D8:$W8=$D$2:$W$2)*($D8:$W8&lt;&gt;"")*$D$3:$W$3*($D$4:$W$4=AB$6)))</f>
        <v/>
      </c>
    </row>
    <row r="9" customFormat="false" ht="15" hidden="false" customHeight="false" outlineLevel="0" collapsed="false">
      <c r="A9" s="5" t="n">
        <v>3</v>
      </c>
      <c r="B9" s="5" t="str">
        <f aca="false">IF(학생명단!B9="","",학생명단!B9)</f>
        <v/>
      </c>
      <c r="C9" s="19" t="str">
        <f aca="false">IF(학생명단!C9="","",학생명단!C9)</f>
        <v/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0" t="str">
        <f aca="false">IF(COUNTA(D9:W9)=0,"",SUMPRODUCT((D9:W9=$D$2:$W$2)*(D9:W9&lt;&gt;"")))</f>
        <v/>
      </c>
      <c r="Y9" s="26" t="str">
        <f aca="false">IF(COUNTA(D9:W9)=0,"",SUMPRODUCT((D9:W9=$D$2:$W$2)*(D9:W9&lt;&gt;"")*$D$3:$W$3))</f>
        <v/>
      </c>
      <c r="Z9" s="10" t="str">
        <f aca="false">IF($Y9="","",SUMPRODUCT(($D9:$W9=$D$2:$W$2)*($D9:$W9&lt;&gt;"")*$D$3:$W$3*($D$4:$W$4=Z$6)))</f>
        <v/>
      </c>
      <c r="AA9" s="10" t="str">
        <f aca="false">IF($Y9="","",SUMPRODUCT(($D9:$W9=$D$2:$W$2)*($D9:$W9&lt;&gt;"")*$D$3:$W$3*($D$4:$W$4=AA$6)))</f>
        <v/>
      </c>
      <c r="AB9" s="10" t="str">
        <f aca="false">IF($Y9="","",SUMPRODUCT(($D9:$W9=$D$2:$W$2)*($D9:$W9&lt;&gt;"")*$D$3:$W$3*($D$4:$W$4=AB$6)))</f>
        <v/>
      </c>
    </row>
    <row r="10" customFormat="false" ht="15" hidden="false" customHeight="false" outlineLevel="0" collapsed="false">
      <c r="A10" s="5" t="n">
        <v>4</v>
      </c>
      <c r="B10" s="5" t="str">
        <f aca="false">IF(학생명단!B10="","",학생명단!B10)</f>
        <v/>
      </c>
      <c r="C10" s="19" t="str">
        <f aca="false">IF(학생명단!C10="","",학생명단!C10)</f>
        <v/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0" t="str">
        <f aca="false">IF(COUNTA(D10:W10)=0,"",SUMPRODUCT((D10:W10=$D$2:$W$2)*(D10:W10&lt;&gt;"")))</f>
        <v/>
      </c>
      <c r="Y10" s="26" t="str">
        <f aca="false">IF(COUNTA(D10:W10)=0,"",SUMPRODUCT((D10:W10=$D$2:$W$2)*(D10:W10&lt;&gt;"")*$D$3:$W$3))</f>
        <v/>
      </c>
      <c r="Z10" s="10" t="str">
        <f aca="false">IF($Y10="","",SUMPRODUCT(($D10:$W10=$D$2:$W$2)*($D10:$W10&lt;&gt;"")*$D$3:$W$3*($D$4:$W$4=Z$6)))</f>
        <v/>
      </c>
      <c r="AA10" s="10" t="str">
        <f aca="false">IF($Y10="","",SUMPRODUCT(($D10:$W10=$D$2:$W$2)*($D10:$W10&lt;&gt;"")*$D$3:$W$3*($D$4:$W$4=AA$6)))</f>
        <v/>
      </c>
      <c r="AB10" s="10" t="str">
        <f aca="false">IF($Y10="","",SUMPRODUCT(($D10:$W10=$D$2:$W$2)*($D10:$W10&lt;&gt;"")*$D$3:$W$3*($D$4:$W$4=AB$6)))</f>
        <v/>
      </c>
    </row>
    <row r="11" customFormat="false" ht="15" hidden="false" customHeight="false" outlineLevel="0" collapsed="false">
      <c r="A11" s="5" t="n">
        <v>5</v>
      </c>
      <c r="B11" s="5" t="str">
        <f aca="false">IF(학생명단!B11="","",학생명단!B11)</f>
        <v/>
      </c>
      <c r="C11" s="19" t="str">
        <f aca="false">IF(학생명단!C11="","",학생명단!C11)</f>
        <v/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0" t="str">
        <f aca="false">IF(COUNTA(D11:W11)=0,"",SUMPRODUCT((D11:W11=$D$2:$W$2)*(D11:W11&lt;&gt;"")))</f>
        <v/>
      </c>
      <c r="Y11" s="26" t="str">
        <f aca="false">IF(COUNTA(D11:W11)=0,"",SUMPRODUCT((D11:W11=$D$2:$W$2)*(D11:W11&lt;&gt;"")*$D$3:$W$3))</f>
        <v/>
      </c>
      <c r="Z11" s="10" t="str">
        <f aca="false">IF($Y11="","",SUMPRODUCT(($D11:$W11=$D$2:$W$2)*($D11:$W11&lt;&gt;"")*$D$3:$W$3*($D$4:$W$4=Z$6)))</f>
        <v/>
      </c>
      <c r="AA11" s="10" t="str">
        <f aca="false">IF($Y11="","",SUMPRODUCT(($D11:$W11=$D$2:$W$2)*($D11:$W11&lt;&gt;"")*$D$3:$W$3*($D$4:$W$4=AA$6)))</f>
        <v/>
      </c>
      <c r="AB11" s="10" t="str">
        <f aca="false">IF($Y11="","",SUMPRODUCT(($D11:$W11=$D$2:$W$2)*($D11:$W11&lt;&gt;"")*$D$3:$W$3*($D$4:$W$4=AB$6)))</f>
        <v/>
      </c>
    </row>
    <row r="12" customFormat="false" ht="15" hidden="false" customHeight="false" outlineLevel="0" collapsed="false">
      <c r="A12" s="5" t="n">
        <v>6</v>
      </c>
      <c r="B12" s="5" t="str">
        <f aca="false">IF(학생명단!B12="","",학생명단!B12)</f>
        <v/>
      </c>
      <c r="C12" s="19" t="str">
        <f aca="false">IF(학생명단!C12="","",학생명단!C12)</f>
        <v/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0" t="str">
        <f aca="false">IF(COUNTA(D12:W12)=0,"",SUMPRODUCT((D12:W12=$D$2:$W$2)*(D12:W12&lt;&gt;"")))</f>
        <v/>
      </c>
      <c r="Y12" s="26" t="str">
        <f aca="false">IF(COUNTA(D12:W12)=0,"",SUMPRODUCT((D12:W12=$D$2:$W$2)*(D12:W12&lt;&gt;"")*$D$3:$W$3))</f>
        <v/>
      </c>
      <c r="Z12" s="10" t="str">
        <f aca="false">IF($Y12="","",SUMPRODUCT(($D12:$W12=$D$2:$W$2)*($D12:$W12&lt;&gt;"")*$D$3:$W$3*($D$4:$W$4=Z$6)))</f>
        <v/>
      </c>
      <c r="AA12" s="10" t="str">
        <f aca="false">IF($Y12="","",SUMPRODUCT(($D12:$W12=$D$2:$W$2)*($D12:$W12&lt;&gt;"")*$D$3:$W$3*($D$4:$W$4=AA$6)))</f>
        <v/>
      </c>
      <c r="AB12" s="10" t="str">
        <f aca="false">IF($Y12="","",SUMPRODUCT(($D12:$W12=$D$2:$W$2)*($D12:$W12&lt;&gt;"")*$D$3:$W$3*($D$4:$W$4=AB$6)))</f>
        <v/>
      </c>
    </row>
    <row r="13" customFormat="false" ht="15" hidden="false" customHeight="false" outlineLevel="0" collapsed="false">
      <c r="A13" s="5" t="n">
        <v>7</v>
      </c>
      <c r="B13" s="5" t="str">
        <f aca="false">IF(학생명단!B13="","",학생명단!B13)</f>
        <v/>
      </c>
      <c r="C13" s="19" t="str">
        <f aca="false">IF(학생명단!C13="","",학생명단!C13)</f>
        <v/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0" t="str">
        <f aca="false">IF(COUNTA(D13:W13)=0,"",SUMPRODUCT((D13:W13=$D$2:$W$2)*(D13:W13&lt;&gt;"")))</f>
        <v/>
      </c>
      <c r="Y13" s="26" t="str">
        <f aca="false">IF(COUNTA(D13:W13)=0,"",SUMPRODUCT((D13:W13=$D$2:$W$2)*(D13:W13&lt;&gt;"")*$D$3:$W$3))</f>
        <v/>
      </c>
      <c r="Z13" s="10" t="str">
        <f aca="false">IF($Y13="","",SUMPRODUCT(($D13:$W13=$D$2:$W$2)*($D13:$W13&lt;&gt;"")*$D$3:$W$3*($D$4:$W$4=Z$6)))</f>
        <v/>
      </c>
      <c r="AA13" s="10" t="str">
        <f aca="false">IF($Y13="","",SUMPRODUCT(($D13:$W13=$D$2:$W$2)*($D13:$W13&lt;&gt;"")*$D$3:$W$3*($D$4:$W$4=AA$6)))</f>
        <v/>
      </c>
      <c r="AB13" s="10" t="str">
        <f aca="false">IF($Y13="","",SUMPRODUCT(($D13:$W13=$D$2:$W$2)*($D13:$W13&lt;&gt;"")*$D$3:$W$3*($D$4:$W$4=AB$6)))</f>
        <v/>
      </c>
    </row>
    <row r="14" customFormat="false" ht="15" hidden="false" customHeight="false" outlineLevel="0" collapsed="false">
      <c r="A14" s="5" t="n">
        <v>8</v>
      </c>
      <c r="B14" s="5" t="str">
        <f aca="false">IF(학생명단!B14="","",학생명단!B14)</f>
        <v/>
      </c>
      <c r="C14" s="19" t="str">
        <f aca="false">IF(학생명단!C14="","",학생명단!C14)</f>
        <v/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0" t="str">
        <f aca="false">IF(COUNTA(D14:W14)=0,"",SUMPRODUCT((D14:W14=$D$2:$W$2)*(D14:W14&lt;&gt;"")))</f>
        <v/>
      </c>
      <c r="Y14" s="26" t="str">
        <f aca="false">IF(COUNTA(D14:W14)=0,"",SUMPRODUCT((D14:W14=$D$2:$W$2)*(D14:W14&lt;&gt;"")*$D$3:$W$3))</f>
        <v/>
      </c>
      <c r="Z14" s="10" t="str">
        <f aca="false">IF($Y14="","",SUMPRODUCT(($D14:$W14=$D$2:$W$2)*($D14:$W14&lt;&gt;"")*$D$3:$W$3*($D$4:$W$4=Z$6)))</f>
        <v/>
      </c>
      <c r="AA14" s="10" t="str">
        <f aca="false">IF($Y14="","",SUMPRODUCT(($D14:$W14=$D$2:$W$2)*($D14:$W14&lt;&gt;"")*$D$3:$W$3*($D$4:$W$4=AA$6)))</f>
        <v/>
      </c>
      <c r="AB14" s="10" t="str">
        <f aca="false">IF($Y14="","",SUMPRODUCT(($D14:$W14=$D$2:$W$2)*($D14:$W14&lt;&gt;"")*$D$3:$W$3*($D$4:$W$4=AB$6)))</f>
        <v/>
      </c>
    </row>
    <row r="15" customFormat="false" ht="15" hidden="false" customHeight="false" outlineLevel="0" collapsed="false">
      <c r="A15" s="5" t="n">
        <v>9</v>
      </c>
      <c r="B15" s="5" t="str">
        <f aca="false">IF(학생명단!B15="","",학생명단!B15)</f>
        <v/>
      </c>
      <c r="C15" s="19" t="str">
        <f aca="false">IF(학생명단!C15="","",학생명단!C15)</f>
        <v/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0" t="str">
        <f aca="false">IF(COUNTA(D15:W15)=0,"",SUMPRODUCT((D15:W15=$D$2:$W$2)*(D15:W15&lt;&gt;"")))</f>
        <v/>
      </c>
      <c r="Y15" s="26" t="str">
        <f aca="false">IF(COUNTA(D15:W15)=0,"",SUMPRODUCT((D15:W15=$D$2:$W$2)*(D15:W15&lt;&gt;"")*$D$3:$W$3))</f>
        <v/>
      </c>
      <c r="Z15" s="10" t="str">
        <f aca="false">IF($Y15="","",SUMPRODUCT(($D15:$W15=$D$2:$W$2)*($D15:$W15&lt;&gt;"")*$D$3:$W$3*($D$4:$W$4=Z$6)))</f>
        <v/>
      </c>
      <c r="AA15" s="10" t="str">
        <f aca="false">IF($Y15="","",SUMPRODUCT(($D15:$W15=$D$2:$W$2)*($D15:$W15&lt;&gt;"")*$D$3:$W$3*($D$4:$W$4=AA$6)))</f>
        <v/>
      </c>
      <c r="AB15" s="10" t="str">
        <f aca="false">IF($Y15="","",SUMPRODUCT(($D15:$W15=$D$2:$W$2)*($D15:$W15&lt;&gt;"")*$D$3:$W$3*($D$4:$W$4=AB$6)))</f>
        <v/>
      </c>
    </row>
    <row r="16" customFormat="false" ht="15" hidden="false" customHeight="false" outlineLevel="0" collapsed="false">
      <c r="A16" s="5" t="n">
        <v>10</v>
      </c>
      <c r="B16" s="5" t="str">
        <f aca="false">IF(학생명단!B16="","",학생명단!B16)</f>
        <v/>
      </c>
      <c r="C16" s="19" t="str">
        <f aca="false">IF(학생명단!C16="","",학생명단!C16)</f>
        <v/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0" t="str">
        <f aca="false">IF(COUNTA(D16:W16)=0,"",SUMPRODUCT((D16:W16=$D$2:$W$2)*(D16:W16&lt;&gt;"")))</f>
        <v/>
      </c>
      <c r="Y16" s="26" t="str">
        <f aca="false">IF(COUNTA(D16:W16)=0,"",SUMPRODUCT((D16:W16=$D$2:$W$2)*(D16:W16&lt;&gt;"")*$D$3:$W$3))</f>
        <v/>
      </c>
      <c r="Z16" s="10" t="str">
        <f aca="false">IF($Y16="","",SUMPRODUCT(($D16:$W16=$D$2:$W$2)*($D16:$W16&lt;&gt;"")*$D$3:$W$3*($D$4:$W$4=Z$6)))</f>
        <v/>
      </c>
      <c r="AA16" s="10" t="str">
        <f aca="false">IF($Y16="","",SUMPRODUCT(($D16:$W16=$D$2:$W$2)*($D16:$W16&lt;&gt;"")*$D$3:$W$3*($D$4:$W$4=AA$6)))</f>
        <v/>
      </c>
      <c r="AB16" s="10" t="str">
        <f aca="false">IF($Y16="","",SUMPRODUCT(($D16:$W16=$D$2:$W$2)*($D16:$W16&lt;&gt;"")*$D$3:$W$3*($D$4:$W$4=AB$6)))</f>
        <v/>
      </c>
    </row>
    <row r="17" customFormat="false" ht="15" hidden="false" customHeight="false" outlineLevel="0" collapsed="false">
      <c r="A17" s="5" t="n">
        <v>11</v>
      </c>
      <c r="B17" s="5" t="str">
        <f aca="false">IF(학생명단!B17="","",학생명단!B17)</f>
        <v/>
      </c>
      <c r="C17" s="19" t="str">
        <f aca="false">IF(학생명단!C17="","",학생명단!C17)</f>
        <v/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0" t="str">
        <f aca="false">IF(COUNTA(D17:W17)=0,"",SUMPRODUCT((D17:W17=$D$2:$W$2)*(D17:W17&lt;&gt;"")))</f>
        <v/>
      </c>
      <c r="Y17" s="26" t="str">
        <f aca="false">IF(COUNTA(D17:W17)=0,"",SUMPRODUCT((D17:W17=$D$2:$W$2)*(D17:W17&lt;&gt;"")*$D$3:$W$3))</f>
        <v/>
      </c>
      <c r="Z17" s="10" t="str">
        <f aca="false">IF($Y17="","",SUMPRODUCT(($D17:$W17=$D$2:$W$2)*($D17:$W17&lt;&gt;"")*$D$3:$W$3*($D$4:$W$4=Z$6)))</f>
        <v/>
      </c>
      <c r="AA17" s="10" t="str">
        <f aca="false">IF($Y17="","",SUMPRODUCT(($D17:$W17=$D$2:$W$2)*($D17:$W17&lt;&gt;"")*$D$3:$W$3*($D$4:$W$4=AA$6)))</f>
        <v/>
      </c>
      <c r="AB17" s="10" t="str">
        <f aca="false">IF($Y17="","",SUMPRODUCT(($D17:$W17=$D$2:$W$2)*($D17:$W17&lt;&gt;"")*$D$3:$W$3*($D$4:$W$4=AB$6)))</f>
        <v/>
      </c>
    </row>
    <row r="18" customFormat="false" ht="15" hidden="false" customHeight="false" outlineLevel="0" collapsed="false">
      <c r="A18" s="5" t="n">
        <v>12</v>
      </c>
      <c r="B18" s="5" t="str">
        <f aca="false">IF(학생명단!B18="","",학생명단!B18)</f>
        <v/>
      </c>
      <c r="C18" s="19" t="str">
        <f aca="false">IF(학생명단!C18="","",학생명단!C18)</f>
        <v/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0" t="str">
        <f aca="false">IF(COUNTA(D18:W18)=0,"",SUMPRODUCT((D18:W18=$D$2:$W$2)*(D18:W18&lt;&gt;"")))</f>
        <v/>
      </c>
      <c r="Y18" s="26" t="str">
        <f aca="false">IF(COUNTA(D18:W18)=0,"",SUMPRODUCT((D18:W18=$D$2:$W$2)*(D18:W18&lt;&gt;"")*$D$3:$W$3))</f>
        <v/>
      </c>
      <c r="Z18" s="10" t="str">
        <f aca="false">IF($Y18="","",SUMPRODUCT(($D18:$W18=$D$2:$W$2)*($D18:$W18&lt;&gt;"")*$D$3:$W$3*($D$4:$W$4=Z$6)))</f>
        <v/>
      </c>
      <c r="AA18" s="10" t="str">
        <f aca="false">IF($Y18="","",SUMPRODUCT(($D18:$W18=$D$2:$W$2)*($D18:$W18&lt;&gt;"")*$D$3:$W$3*($D$4:$W$4=AA$6)))</f>
        <v/>
      </c>
      <c r="AB18" s="10" t="str">
        <f aca="false">IF($Y18="","",SUMPRODUCT(($D18:$W18=$D$2:$W$2)*($D18:$W18&lt;&gt;"")*$D$3:$W$3*($D$4:$W$4=AB$6)))</f>
        <v/>
      </c>
    </row>
    <row r="19" customFormat="false" ht="15" hidden="false" customHeight="false" outlineLevel="0" collapsed="false">
      <c r="A19" s="5" t="n">
        <v>13</v>
      </c>
      <c r="B19" s="5" t="str">
        <f aca="false">IF(학생명단!B19="","",학생명단!B19)</f>
        <v/>
      </c>
      <c r="C19" s="19" t="str">
        <f aca="false">IF(학생명단!C19="","",학생명단!C19)</f>
        <v/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0" t="str">
        <f aca="false">IF(COUNTA(D19:W19)=0,"",SUMPRODUCT((D19:W19=$D$2:$W$2)*(D19:W19&lt;&gt;"")))</f>
        <v/>
      </c>
      <c r="Y19" s="26" t="str">
        <f aca="false">IF(COUNTA(D19:W19)=0,"",SUMPRODUCT((D19:W19=$D$2:$W$2)*(D19:W19&lt;&gt;"")*$D$3:$W$3))</f>
        <v/>
      </c>
      <c r="Z19" s="10" t="str">
        <f aca="false">IF($Y19="","",SUMPRODUCT(($D19:$W19=$D$2:$W$2)*($D19:$W19&lt;&gt;"")*$D$3:$W$3*($D$4:$W$4=Z$6)))</f>
        <v/>
      </c>
      <c r="AA19" s="10" t="str">
        <f aca="false">IF($Y19="","",SUMPRODUCT(($D19:$W19=$D$2:$W$2)*($D19:$W19&lt;&gt;"")*$D$3:$W$3*($D$4:$W$4=AA$6)))</f>
        <v/>
      </c>
      <c r="AB19" s="10" t="str">
        <f aca="false">IF($Y19="","",SUMPRODUCT(($D19:$W19=$D$2:$W$2)*($D19:$W19&lt;&gt;"")*$D$3:$W$3*($D$4:$W$4=AB$6)))</f>
        <v/>
      </c>
    </row>
    <row r="20" customFormat="false" ht="15" hidden="false" customHeight="false" outlineLevel="0" collapsed="false">
      <c r="A20" s="5" t="n">
        <v>14</v>
      </c>
      <c r="B20" s="5" t="str">
        <f aca="false">IF(학생명단!B20="","",학생명단!B20)</f>
        <v/>
      </c>
      <c r="C20" s="19" t="str">
        <f aca="false">IF(학생명단!C20="","",학생명단!C20)</f>
        <v/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0" t="str">
        <f aca="false">IF(COUNTA(D20:W20)=0,"",SUMPRODUCT((D20:W20=$D$2:$W$2)*(D20:W20&lt;&gt;"")))</f>
        <v/>
      </c>
      <c r="Y20" s="26" t="str">
        <f aca="false">IF(COUNTA(D20:W20)=0,"",SUMPRODUCT((D20:W20=$D$2:$W$2)*(D20:W20&lt;&gt;"")*$D$3:$W$3))</f>
        <v/>
      </c>
      <c r="Z20" s="10" t="str">
        <f aca="false">IF($Y20="","",SUMPRODUCT(($D20:$W20=$D$2:$W$2)*($D20:$W20&lt;&gt;"")*$D$3:$W$3*($D$4:$W$4=Z$6)))</f>
        <v/>
      </c>
      <c r="AA20" s="10" t="str">
        <f aca="false">IF($Y20="","",SUMPRODUCT(($D20:$W20=$D$2:$W$2)*($D20:$W20&lt;&gt;"")*$D$3:$W$3*($D$4:$W$4=AA$6)))</f>
        <v/>
      </c>
      <c r="AB20" s="10" t="str">
        <f aca="false">IF($Y20="","",SUMPRODUCT(($D20:$W20=$D$2:$W$2)*($D20:$W20&lt;&gt;"")*$D$3:$W$3*($D$4:$W$4=AB$6)))</f>
        <v/>
      </c>
    </row>
    <row r="21" customFormat="false" ht="15" hidden="false" customHeight="false" outlineLevel="0" collapsed="false">
      <c r="A21" s="5" t="n">
        <v>15</v>
      </c>
      <c r="B21" s="5" t="str">
        <f aca="false">IF(학생명단!B21="","",학생명단!B21)</f>
        <v/>
      </c>
      <c r="C21" s="19" t="str">
        <f aca="false">IF(학생명단!C21="","",학생명단!C21)</f>
        <v/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0" t="str">
        <f aca="false">IF(COUNTA(D21:W21)=0,"",SUMPRODUCT((D21:W21=$D$2:$W$2)*(D21:W21&lt;&gt;"")))</f>
        <v/>
      </c>
      <c r="Y21" s="26" t="str">
        <f aca="false">IF(COUNTA(D21:W21)=0,"",SUMPRODUCT((D21:W21=$D$2:$W$2)*(D21:W21&lt;&gt;"")*$D$3:$W$3))</f>
        <v/>
      </c>
      <c r="Z21" s="10" t="str">
        <f aca="false">IF($Y21="","",SUMPRODUCT(($D21:$W21=$D$2:$W$2)*($D21:$W21&lt;&gt;"")*$D$3:$W$3*($D$4:$W$4=Z$6)))</f>
        <v/>
      </c>
      <c r="AA21" s="10" t="str">
        <f aca="false">IF($Y21="","",SUMPRODUCT(($D21:$W21=$D$2:$W$2)*($D21:$W21&lt;&gt;"")*$D$3:$W$3*($D$4:$W$4=AA$6)))</f>
        <v/>
      </c>
      <c r="AB21" s="10" t="str">
        <f aca="false">IF($Y21="","",SUMPRODUCT(($D21:$W21=$D$2:$W$2)*($D21:$W21&lt;&gt;"")*$D$3:$W$3*($D$4:$W$4=AB$6)))</f>
        <v/>
      </c>
    </row>
    <row r="22" customFormat="false" ht="15" hidden="false" customHeight="false" outlineLevel="0" collapsed="false">
      <c r="A22" s="5" t="n">
        <v>16</v>
      </c>
      <c r="B22" s="5" t="str">
        <f aca="false">IF(학생명단!B22="","",학생명단!B22)</f>
        <v/>
      </c>
      <c r="C22" s="19" t="str">
        <f aca="false">IF(학생명단!C22="","",학생명단!C22)</f>
        <v/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0" t="str">
        <f aca="false">IF(COUNTA(D22:W22)=0,"",SUMPRODUCT((D22:W22=$D$2:$W$2)*(D22:W22&lt;&gt;"")))</f>
        <v/>
      </c>
      <c r="Y22" s="26" t="str">
        <f aca="false">IF(COUNTA(D22:W22)=0,"",SUMPRODUCT((D22:W22=$D$2:$W$2)*(D22:W22&lt;&gt;"")*$D$3:$W$3))</f>
        <v/>
      </c>
      <c r="Z22" s="10" t="str">
        <f aca="false">IF($Y22="","",SUMPRODUCT(($D22:$W22=$D$2:$W$2)*($D22:$W22&lt;&gt;"")*$D$3:$W$3*($D$4:$W$4=Z$6)))</f>
        <v/>
      </c>
      <c r="AA22" s="10" t="str">
        <f aca="false">IF($Y22="","",SUMPRODUCT(($D22:$W22=$D$2:$W$2)*($D22:$W22&lt;&gt;"")*$D$3:$W$3*($D$4:$W$4=AA$6)))</f>
        <v/>
      </c>
      <c r="AB22" s="10" t="str">
        <f aca="false">IF($Y22="","",SUMPRODUCT(($D22:$W22=$D$2:$W$2)*($D22:$W22&lt;&gt;"")*$D$3:$W$3*($D$4:$W$4=AB$6)))</f>
        <v/>
      </c>
    </row>
    <row r="23" customFormat="false" ht="15" hidden="false" customHeight="false" outlineLevel="0" collapsed="false">
      <c r="A23" s="5" t="n">
        <v>17</v>
      </c>
      <c r="B23" s="5" t="str">
        <f aca="false">IF(학생명단!B23="","",학생명단!B23)</f>
        <v/>
      </c>
      <c r="C23" s="19" t="str">
        <f aca="false">IF(학생명단!C23="","",학생명단!C23)</f>
        <v/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0" t="str">
        <f aca="false">IF(COUNTA(D23:W23)=0,"",SUMPRODUCT((D23:W23=$D$2:$W$2)*(D23:W23&lt;&gt;"")))</f>
        <v/>
      </c>
      <c r="Y23" s="26" t="str">
        <f aca="false">IF(COUNTA(D23:W23)=0,"",SUMPRODUCT((D23:W23=$D$2:$W$2)*(D23:W23&lt;&gt;"")*$D$3:$W$3))</f>
        <v/>
      </c>
      <c r="Z23" s="10" t="str">
        <f aca="false">IF($Y23="","",SUMPRODUCT(($D23:$W23=$D$2:$W$2)*($D23:$W23&lt;&gt;"")*$D$3:$W$3*($D$4:$W$4=Z$6)))</f>
        <v/>
      </c>
      <c r="AA23" s="10" t="str">
        <f aca="false">IF($Y23="","",SUMPRODUCT(($D23:$W23=$D$2:$W$2)*($D23:$W23&lt;&gt;"")*$D$3:$W$3*($D$4:$W$4=AA$6)))</f>
        <v/>
      </c>
      <c r="AB23" s="10" t="str">
        <f aca="false">IF($Y23="","",SUMPRODUCT(($D23:$W23=$D$2:$W$2)*($D23:$W23&lt;&gt;"")*$D$3:$W$3*($D$4:$W$4=AB$6)))</f>
        <v/>
      </c>
    </row>
    <row r="24" customFormat="false" ht="15" hidden="false" customHeight="false" outlineLevel="0" collapsed="false">
      <c r="A24" s="5" t="n">
        <v>18</v>
      </c>
      <c r="B24" s="5" t="str">
        <f aca="false">IF(학생명단!B24="","",학생명단!B24)</f>
        <v/>
      </c>
      <c r="C24" s="19" t="str">
        <f aca="false">IF(학생명단!C24="","",학생명단!C24)</f>
        <v/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0" t="str">
        <f aca="false">IF(COUNTA(D24:W24)=0,"",SUMPRODUCT((D24:W24=$D$2:$W$2)*(D24:W24&lt;&gt;"")))</f>
        <v/>
      </c>
      <c r="Y24" s="26" t="str">
        <f aca="false">IF(COUNTA(D24:W24)=0,"",SUMPRODUCT((D24:W24=$D$2:$W$2)*(D24:W24&lt;&gt;"")*$D$3:$W$3))</f>
        <v/>
      </c>
      <c r="Z24" s="10" t="str">
        <f aca="false">IF($Y24="","",SUMPRODUCT(($D24:$W24=$D$2:$W$2)*($D24:$W24&lt;&gt;"")*$D$3:$W$3*($D$4:$W$4=Z$6)))</f>
        <v/>
      </c>
      <c r="AA24" s="10" t="str">
        <f aca="false">IF($Y24="","",SUMPRODUCT(($D24:$W24=$D$2:$W$2)*($D24:$W24&lt;&gt;"")*$D$3:$W$3*($D$4:$W$4=AA$6)))</f>
        <v/>
      </c>
      <c r="AB24" s="10" t="str">
        <f aca="false">IF($Y24="","",SUMPRODUCT(($D24:$W24=$D$2:$W$2)*($D24:$W24&lt;&gt;"")*$D$3:$W$3*($D$4:$W$4=AB$6)))</f>
        <v/>
      </c>
    </row>
    <row r="25" customFormat="false" ht="15" hidden="false" customHeight="false" outlineLevel="0" collapsed="false">
      <c r="A25" s="5" t="n">
        <v>19</v>
      </c>
      <c r="B25" s="5" t="str">
        <f aca="false">IF(학생명단!B25="","",학생명단!B25)</f>
        <v/>
      </c>
      <c r="C25" s="19" t="str">
        <f aca="false">IF(학생명단!C25="","",학생명단!C25)</f>
        <v/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0" t="str">
        <f aca="false">IF(COUNTA(D25:W25)=0,"",SUMPRODUCT((D25:W25=$D$2:$W$2)*(D25:W25&lt;&gt;"")))</f>
        <v/>
      </c>
      <c r="Y25" s="26" t="str">
        <f aca="false">IF(COUNTA(D25:W25)=0,"",SUMPRODUCT((D25:W25=$D$2:$W$2)*(D25:W25&lt;&gt;"")*$D$3:$W$3))</f>
        <v/>
      </c>
      <c r="Z25" s="10" t="str">
        <f aca="false">IF($Y25="","",SUMPRODUCT(($D25:$W25=$D$2:$W$2)*($D25:$W25&lt;&gt;"")*$D$3:$W$3*($D$4:$W$4=Z$6)))</f>
        <v/>
      </c>
      <c r="AA25" s="10" t="str">
        <f aca="false">IF($Y25="","",SUMPRODUCT(($D25:$W25=$D$2:$W$2)*($D25:$W25&lt;&gt;"")*$D$3:$W$3*($D$4:$W$4=AA$6)))</f>
        <v/>
      </c>
      <c r="AB25" s="10" t="str">
        <f aca="false">IF($Y25="","",SUMPRODUCT(($D25:$W25=$D$2:$W$2)*($D25:$W25&lt;&gt;"")*$D$3:$W$3*($D$4:$W$4=AB$6)))</f>
        <v/>
      </c>
    </row>
    <row r="26" customFormat="false" ht="15" hidden="false" customHeight="false" outlineLevel="0" collapsed="false">
      <c r="A26" s="5" t="n">
        <v>20</v>
      </c>
      <c r="B26" s="5" t="str">
        <f aca="false">IF(학생명단!B26="","",학생명단!B26)</f>
        <v/>
      </c>
      <c r="C26" s="19" t="str">
        <f aca="false">IF(학생명단!C26="","",학생명단!C26)</f>
        <v/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0" t="str">
        <f aca="false">IF(COUNTA(D26:W26)=0,"",SUMPRODUCT((D26:W26=$D$2:$W$2)*(D26:W26&lt;&gt;"")))</f>
        <v/>
      </c>
      <c r="Y26" s="26" t="str">
        <f aca="false">IF(COUNTA(D26:W26)=0,"",SUMPRODUCT((D26:W26=$D$2:$W$2)*(D26:W26&lt;&gt;"")*$D$3:$W$3))</f>
        <v/>
      </c>
      <c r="Z26" s="10" t="str">
        <f aca="false">IF($Y26="","",SUMPRODUCT(($D26:$W26=$D$2:$W$2)*($D26:$W26&lt;&gt;"")*$D$3:$W$3*($D$4:$W$4=Z$6)))</f>
        <v/>
      </c>
      <c r="AA26" s="10" t="str">
        <f aca="false">IF($Y26="","",SUMPRODUCT(($D26:$W26=$D$2:$W$2)*($D26:$W26&lt;&gt;"")*$D$3:$W$3*($D$4:$W$4=AA$6)))</f>
        <v/>
      </c>
      <c r="AB26" s="10" t="str">
        <f aca="false">IF($Y26="","",SUMPRODUCT(($D26:$W26=$D$2:$W$2)*($D26:$W26&lt;&gt;"")*$D$3:$W$3*($D$4:$W$4=AB$6)))</f>
        <v/>
      </c>
    </row>
    <row r="27" customFormat="false" ht="15" hidden="false" customHeight="false" outlineLevel="0" collapsed="false">
      <c r="A27" s="5" t="n">
        <v>21</v>
      </c>
      <c r="B27" s="5" t="str">
        <f aca="false">IF(학생명단!B27="","",학생명단!B27)</f>
        <v/>
      </c>
      <c r="C27" s="19" t="str">
        <f aca="false">IF(학생명단!C27="","",학생명단!C27)</f>
        <v/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0" t="str">
        <f aca="false">IF(COUNTA(D27:W27)=0,"",SUMPRODUCT((D27:W27=$D$2:$W$2)*(D27:W27&lt;&gt;"")))</f>
        <v/>
      </c>
      <c r="Y27" s="26" t="str">
        <f aca="false">IF(COUNTA(D27:W27)=0,"",SUMPRODUCT((D27:W27=$D$2:$W$2)*(D27:W27&lt;&gt;"")*$D$3:$W$3))</f>
        <v/>
      </c>
      <c r="Z27" s="10" t="str">
        <f aca="false">IF($Y27="","",SUMPRODUCT(($D27:$W27=$D$2:$W$2)*($D27:$W27&lt;&gt;"")*$D$3:$W$3*($D$4:$W$4=Z$6)))</f>
        <v/>
      </c>
      <c r="AA27" s="10" t="str">
        <f aca="false">IF($Y27="","",SUMPRODUCT(($D27:$W27=$D$2:$W$2)*($D27:$W27&lt;&gt;"")*$D$3:$W$3*($D$4:$W$4=AA$6)))</f>
        <v/>
      </c>
      <c r="AB27" s="10" t="str">
        <f aca="false">IF($Y27="","",SUMPRODUCT(($D27:$W27=$D$2:$W$2)*($D27:$W27&lt;&gt;"")*$D$3:$W$3*($D$4:$W$4=AB$6)))</f>
        <v/>
      </c>
    </row>
    <row r="28" customFormat="false" ht="15" hidden="false" customHeight="false" outlineLevel="0" collapsed="false">
      <c r="A28" s="5" t="n">
        <v>22</v>
      </c>
      <c r="B28" s="5" t="str">
        <f aca="false">IF(학생명단!B28="","",학생명단!B28)</f>
        <v/>
      </c>
      <c r="C28" s="19" t="str">
        <f aca="false">IF(학생명단!C28="","",학생명단!C28)</f>
        <v/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0" t="str">
        <f aca="false">IF(COUNTA(D28:W28)=0,"",SUMPRODUCT((D28:W28=$D$2:$W$2)*(D28:W28&lt;&gt;"")))</f>
        <v/>
      </c>
      <c r="Y28" s="26" t="str">
        <f aca="false">IF(COUNTA(D28:W28)=0,"",SUMPRODUCT((D28:W28=$D$2:$W$2)*(D28:W28&lt;&gt;"")*$D$3:$W$3))</f>
        <v/>
      </c>
      <c r="Z28" s="10" t="str">
        <f aca="false">IF($Y28="","",SUMPRODUCT(($D28:$W28=$D$2:$W$2)*($D28:$W28&lt;&gt;"")*$D$3:$W$3*($D$4:$W$4=Z$6)))</f>
        <v/>
      </c>
      <c r="AA28" s="10" t="str">
        <f aca="false">IF($Y28="","",SUMPRODUCT(($D28:$W28=$D$2:$W$2)*($D28:$W28&lt;&gt;"")*$D$3:$W$3*($D$4:$W$4=AA$6)))</f>
        <v/>
      </c>
      <c r="AB28" s="10" t="str">
        <f aca="false">IF($Y28="","",SUMPRODUCT(($D28:$W28=$D$2:$W$2)*($D28:$W28&lt;&gt;"")*$D$3:$W$3*($D$4:$W$4=AB$6)))</f>
        <v/>
      </c>
    </row>
    <row r="29" customFormat="false" ht="15" hidden="false" customHeight="false" outlineLevel="0" collapsed="false">
      <c r="A29" s="5" t="n">
        <v>23</v>
      </c>
      <c r="B29" s="5" t="str">
        <f aca="false">IF(학생명단!B29="","",학생명단!B29)</f>
        <v/>
      </c>
      <c r="C29" s="19" t="str">
        <f aca="false">IF(학생명단!C29="","",학생명단!C29)</f>
        <v/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0" t="str">
        <f aca="false">IF(COUNTA(D29:W29)=0,"",SUMPRODUCT((D29:W29=$D$2:$W$2)*(D29:W29&lt;&gt;"")))</f>
        <v/>
      </c>
      <c r="Y29" s="26" t="str">
        <f aca="false">IF(COUNTA(D29:W29)=0,"",SUMPRODUCT((D29:W29=$D$2:$W$2)*(D29:W29&lt;&gt;"")*$D$3:$W$3))</f>
        <v/>
      </c>
      <c r="Z29" s="10" t="str">
        <f aca="false">IF($Y29="","",SUMPRODUCT(($D29:$W29=$D$2:$W$2)*($D29:$W29&lt;&gt;"")*$D$3:$W$3*($D$4:$W$4=Z$6)))</f>
        <v/>
      </c>
      <c r="AA29" s="10" t="str">
        <f aca="false">IF($Y29="","",SUMPRODUCT(($D29:$W29=$D$2:$W$2)*($D29:$W29&lt;&gt;"")*$D$3:$W$3*($D$4:$W$4=AA$6)))</f>
        <v/>
      </c>
      <c r="AB29" s="10" t="str">
        <f aca="false">IF($Y29="","",SUMPRODUCT(($D29:$W29=$D$2:$W$2)*($D29:$W29&lt;&gt;"")*$D$3:$W$3*($D$4:$W$4=AB$6)))</f>
        <v/>
      </c>
    </row>
    <row r="30" customFormat="false" ht="15" hidden="false" customHeight="false" outlineLevel="0" collapsed="false">
      <c r="A30" s="5" t="n">
        <v>24</v>
      </c>
      <c r="B30" s="5" t="str">
        <f aca="false">IF(학생명단!B30="","",학생명단!B30)</f>
        <v/>
      </c>
      <c r="C30" s="19" t="str">
        <f aca="false">IF(학생명단!C30="","",학생명단!C30)</f>
        <v/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0" t="str">
        <f aca="false">IF(COUNTA(D30:W30)=0,"",SUMPRODUCT((D30:W30=$D$2:$W$2)*(D30:W30&lt;&gt;"")))</f>
        <v/>
      </c>
      <c r="Y30" s="26" t="str">
        <f aca="false">IF(COUNTA(D30:W30)=0,"",SUMPRODUCT((D30:W30=$D$2:$W$2)*(D30:W30&lt;&gt;"")*$D$3:$W$3))</f>
        <v/>
      </c>
      <c r="Z30" s="10" t="str">
        <f aca="false">IF($Y30="","",SUMPRODUCT(($D30:$W30=$D$2:$W$2)*($D30:$W30&lt;&gt;"")*$D$3:$W$3*($D$4:$W$4=Z$6)))</f>
        <v/>
      </c>
      <c r="AA30" s="10" t="str">
        <f aca="false">IF($Y30="","",SUMPRODUCT(($D30:$W30=$D$2:$W$2)*($D30:$W30&lt;&gt;"")*$D$3:$W$3*($D$4:$W$4=AA$6)))</f>
        <v/>
      </c>
      <c r="AB30" s="10" t="str">
        <f aca="false">IF($Y30="","",SUMPRODUCT(($D30:$W30=$D$2:$W$2)*($D30:$W30&lt;&gt;"")*$D$3:$W$3*($D$4:$W$4=AB$6)))</f>
        <v/>
      </c>
    </row>
    <row r="31" customFormat="false" ht="15" hidden="false" customHeight="false" outlineLevel="0" collapsed="false">
      <c r="A31" s="5" t="n">
        <v>25</v>
      </c>
      <c r="B31" s="5" t="str">
        <f aca="false">IF(학생명단!B31="","",학생명단!B31)</f>
        <v/>
      </c>
      <c r="C31" s="19" t="str">
        <f aca="false">IF(학생명단!C31="","",학생명단!C31)</f>
        <v/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0" t="str">
        <f aca="false">IF(COUNTA(D31:W31)=0,"",SUMPRODUCT((D31:W31=$D$2:$W$2)*(D31:W31&lt;&gt;"")))</f>
        <v/>
      </c>
      <c r="Y31" s="26" t="str">
        <f aca="false">IF(COUNTA(D31:W31)=0,"",SUMPRODUCT((D31:W31=$D$2:$W$2)*(D31:W31&lt;&gt;"")*$D$3:$W$3))</f>
        <v/>
      </c>
      <c r="Z31" s="10" t="str">
        <f aca="false">IF($Y31="","",SUMPRODUCT(($D31:$W31=$D$2:$W$2)*($D31:$W31&lt;&gt;"")*$D$3:$W$3*($D$4:$W$4=Z$6)))</f>
        <v/>
      </c>
      <c r="AA31" s="10" t="str">
        <f aca="false">IF($Y31="","",SUMPRODUCT(($D31:$W31=$D$2:$W$2)*($D31:$W31&lt;&gt;"")*$D$3:$W$3*($D$4:$W$4=AA$6)))</f>
        <v/>
      </c>
      <c r="AB31" s="10" t="str">
        <f aca="false">IF($Y31="","",SUMPRODUCT(($D31:$W31=$D$2:$W$2)*($D31:$W31&lt;&gt;"")*$D$3:$W$3*($D$4:$W$4=AB$6)))</f>
        <v/>
      </c>
    </row>
    <row r="32" customFormat="false" ht="15" hidden="false" customHeight="false" outlineLevel="0" collapsed="false">
      <c r="A32" s="5" t="n">
        <v>26</v>
      </c>
      <c r="B32" s="5" t="str">
        <f aca="false">IF(학생명단!B32="","",학생명단!B32)</f>
        <v/>
      </c>
      <c r="C32" s="19" t="str">
        <f aca="false">IF(학생명단!C32="","",학생명단!C32)</f>
        <v/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0" t="str">
        <f aca="false">IF(COUNTA(D32:W32)=0,"",SUMPRODUCT((D32:W32=$D$2:$W$2)*(D32:W32&lt;&gt;"")))</f>
        <v/>
      </c>
      <c r="Y32" s="26" t="str">
        <f aca="false">IF(COUNTA(D32:W32)=0,"",SUMPRODUCT((D32:W32=$D$2:$W$2)*(D32:W32&lt;&gt;"")*$D$3:$W$3))</f>
        <v/>
      </c>
      <c r="Z32" s="10" t="str">
        <f aca="false">IF($Y32="","",SUMPRODUCT(($D32:$W32=$D$2:$W$2)*($D32:$W32&lt;&gt;"")*$D$3:$W$3*($D$4:$W$4=Z$6)))</f>
        <v/>
      </c>
      <c r="AA32" s="10" t="str">
        <f aca="false">IF($Y32="","",SUMPRODUCT(($D32:$W32=$D$2:$W$2)*($D32:$W32&lt;&gt;"")*$D$3:$W$3*($D$4:$W$4=AA$6)))</f>
        <v/>
      </c>
      <c r="AB32" s="10" t="str">
        <f aca="false">IF($Y32="","",SUMPRODUCT(($D32:$W32=$D$2:$W$2)*($D32:$W32&lt;&gt;"")*$D$3:$W$3*($D$4:$W$4=AB$6)))</f>
        <v/>
      </c>
    </row>
    <row r="33" customFormat="false" ht="15" hidden="false" customHeight="false" outlineLevel="0" collapsed="false">
      <c r="A33" s="5" t="n">
        <v>27</v>
      </c>
      <c r="B33" s="5" t="str">
        <f aca="false">IF(학생명단!B33="","",학생명단!B33)</f>
        <v/>
      </c>
      <c r="C33" s="19" t="str">
        <f aca="false">IF(학생명단!C33="","",학생명단!C33)</f>
        <v/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0" t="str">
        <f aca="false">IF(COUNTA(D33:W33)=0,"",SUMPRODUCT((D33:W33=$D$2:$W$2)*(D33:W33&lt;&gt;"")))</f>
        <v/>
      </c>
      <c r="Y33" s="26" t="str">
        <f aca="false">IF(COUNTA(D33:W33)=0,"",SUMPRODUCT((D33:W33=$D$2:$W$2)*(D33:W33&lt;&gt;"")*$D$3:$W$3))</f>
        <v/>
      </c>
      <c r="Z33" s="10" t="str">
        <f aca="false">IF($Y33="","",SUMPRODUCT(($D33:$W33=$D$2:$W$2)*($D33:$W33&lt;&gt;"")*$D$3:$W$3*($D$4:$W$4=Z$6)))</f>
        <v/>
      </c>
      <c r="AA33" s="10" t="str">
        <f aca="false">IF($Y33="","",SUMPRODUCT(($D33:$W33=$D$2:$W$2)*($D33:$W33&lt;&gt;"")*$D$3:$W$3*($D$4:$W$4=AA$6)))</f>
        <v/>
      </c>
      <c r="AB33" s="10" t="str">
        <f aca="false">IF($Y33="","",SUMPRODUCT(($D33:$W33=$D$2:$W$2)*($D33:$W33&lt;&gt;"")*$D$3:$W$3*($D$4:$W$4=AB$6)))</f>
        <v/>
      </c>
    </row>
    <row r="34" customFormat="false" ht="15" hidden="false" customHeight="false" outlineLevel="0" collapsed="false">
      <c r="A34" s="5" t="n">
        <v>28</v>
      </c>
      <c r="B34" s="5" t="str">
        <f aca="false">IF(학생명단!B34="","",학생명단!B34)</f>
        <v/>
      </c>
      <c r="C34" s="19" t="str">
        <f aca="false">IF(학생명단!C34="","",학생명단!C34)</f>
        <v/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0" t="str">
        <f aca="false">IF(COUNTA(D34:W34)=0,"",SUMPRODUCT((D34:W34=$D$2:$W$2)*(D34:W34&lt;&gt;"")))</f>
        <v/>
      </c>
      <c r="Y34" s="26" t="str">
        <f aca="false">IF(COUNTA(D34:W34)=0,"",SUMPRODUCT((D34:W34=$D$2:$W$2)*(D34:W34&lt;&gt;"")*$D$3:$W$3))</f>
        <v/>
      </c>
      <c r="Z34" s="10" t="str">
        <f aca="false">IF($Y34="","",SUMPRODUCT(($D34:$W34=$D$2:$W$2)*($D34:$W34&lt;&gt;"")*$D$3:$W$3*($D$4:$W$4=Z$6)))</f>
        <v/>
      </c>
      <c r="AA34" s="10" t="str">
        <f aca="false">IF($Y34="","",SUMPRODUCT(($D34:$W34=$D$2:$W$2)*($D34:$W34&lt;&gt;"")*$D$3:$W$3*($D$4:$W$4=AA$6)))</f>
        <v/>
      </c>
      <c r="AB34" s="10" t="str">
        <f aca="false">IF($Y34="","",SUMPRODUCT(($D34:$W34=$D$2:$W$2)*($D34:$W34&lt;&gt;"")*$D$3:$W$3*($D$4:$W$4=AB$6)))</f>
        <v/>
      </c>
    </row>
    <row r="35" customFormat="false" ht="15" hidden="false" customHeight="false" outlineLevel="0" collapsed="false">
      <c r="A35" s="5" t="n">
        <v>29</v>
      </c>
      <c r="B35" s="5" t="str">
        <f aca="false">IF(학생명단!B35="","",학생명단!B35)</f>
        <v/>
      </c>
      <c r="C35" s="19" t="str">
        <f aca="false">IF(학생명단!C35="","",학생명단!C35)</f>
        <v/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0" t="str">
        <f aca="false">IF(COUNTA(D35:W35)=0,"",SUMPRODUCT((D35:W35=$D$2:$W$2)*(D35:W35&lt;&gt;"")))</f>
        <v/>
      </c>
      <c r="Y35" s="26" t="str">
        <f aca="false">IF(COUNTA(D35:W35)=0,"",SUMPRODUCT((D35:W35=$D$2:$W$2)*(D35:W35&lt;&gt;"")*$D$3:$W$3))</f>
        <v/>
      </c>
      <c r="Z35" s="10" t="str">
        <f aca="false">IF($Y35="","",SUMPRODUCT(($D35:$W35=$D$2:$W$2)*($D35:$W35&lt;&gt;"")*$D$3:$W$3*($D$4:$W$4=Z$6)))</f>
        <v/>
      </c>
      <c r="AA35" s="10" t="str">
        <f aca="false">IF($Y35="","",SUMPRODUCT(($D35:$W35=$D$2:$W$2)*($D35:$W35&lt;&gt;"")*$D$3:$W$3*($D$4:$W$4=AA$6)))</f>
        <v/>
      </c>
      <c r="AB35" s="10" t="str">
        <f aca="false">IF($Y35="","",SUMPRODUCT(($D35:$W35=$D$2:$W$2)*($D35:$W35&lt;&gt;"")*$D$3:$W$3*($D$4:$W$4=AB$6)))</f>
        <v/>
      </c>
    </row>
    <row r="36" customFormat="false" ht="15" hidden="false" customHeight="false" outlineLevel="0" collapsed="false">
      <c r="A36" s="5" t="n">
        <v>30</v>
      </c>
      <c r="B36" s="5" t="str">
        <f aca="false">IF(학생명단!B36="","",학생명단!B36)</f>
        <v/>
      </c>
      <c r="C36" s="19" t="str">
        <f aca="false">IF(학생명단!C36="","",학생명단!C36)</f>
        <v/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0" t="str">
        <f aca="false">IF(COUNTA(D36:W36)=0,"",SUMPRODUCT((D36:W36=$D$2:$W$2)*(D36:W36&lt;&gt;"")))</f>
        <v/>
      </c>
      <c r="Y36" s="26" t="str">
        <f aca="false">IF(COUNTA(D36:W36)=0,"",SUMPRODUCT((D36:W36=$D$2:$W$2)*(D36:W36&lt;&gt;"")*$D$3:$W$3))</f>
        <v/>
      </c>
      <c r="Z36" s="10" t="str">
        <f aca="false">IF($Y36="","",SUMPRODUCT(($D36:$W36=$D$2:$W$2)*($D36:$W36&lt;&gt;"")*$D$3:$W$3*($D$4:$W$4=Z$6)))</f>
        <v/>
      </c>
      <c r="AA36" s="10" t="str">
        <f aca="false">IF($Y36="","",SUMPRODUCT(($D36:$W36=$D$2:$W$2)*($D36:$W36&lt;&gt;"")*$D$3:$W$3*($D$4:$W$4=AA$6)))</f>
        <v/>
      </c>
      <c r="AB36" s="10" t="str">
        <f aca="false">IF($Y36="","",SUMPRODUCT(($D36:$W36=$D$2:$W$2)*($D36:$W36&lt;&gt;"")*$D$3:$W$3*($D$4:$W$4=AB$6)))</f>
        <v/>
      </c>
    </row>
    <row r="37" customFormat="false" ht="15" hidden="false" customHeight="false" outlineLevel="0" collapsed="false">
      <c r="A37" s="5" t="n">
        <v>31</v>
      </c>
      <c r="B37" s="5" t="str">
        <f aca="false">IF(학생명단!B37="","",학생명단!B37)</f>
        <v/>
      </c>
      <c r="C37" s="19" t="str">
        <f aca="false">IF(학생명단!C37="","",학생명단!C37)</f>
        <v/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0" t="str">
        <f aca="false">IF(COUNTA(D37:W37)=0,"",SUMPRODUCT((D37:W37=$D$2:$W$2)*(D37:W37&lt;&gt;"")))</f>
        <v/>
      </c>
      <c r="Y37" s="26" t="str">
        <f aca="false">IF(COUNTA(D37:W37)=0,"",SUMPRODUCT((D37:W37=$D$2:$W$2)*(D37:W37&lt;&gt;"")*$D$3:$W$3))</f>
        <v/>
      </c>
      <c r="Z37" s="10" t="str">
        <f aca="false">IF($Y37="","",SUMPRODUCT(($D37:$W37=$D$2:$W$2)*($D37:$W37&lt;&gt;"")*$D$3:$W$3*($D$4:$W$4=Z$6)))</f>
        <v/>
      </c>
      <c r="AA37" s="10" t="str">
        <f aca="false">IF($Y37="","",SUMPRODUCT(($D37:$W37=$D$2:$W$2)*($D37:$W37&lt;&gt;"")*$D$3:$W$3*($D$4:$W$4=AA$6)))</f>
        <v/>
      </c>
      <c r="AB37" s="10" t="str">
        <f aca="false">IF($Y37="","",SUMPRODUCT(($D37:$W37=$D$2:$W$2)*($D37:$W37&lt;&gt;"")*$D$3:$W$3*($D$4:$W$4=AB$6)))</f>
        <v/>
      </c>
    </row>
    <row r="38" customFormat="false" ht="15" hidden="false" customHeight="false" outlineLevel="0" collapsed="false">
      <c r="A38" s="5" t="n">
        <v>32</v>
      </c>
      <c r="B38" s="5" t="str">
        <f aca="false">IF(학생명단!B38="","",학생명단!B38)</f>
        <v/>
      </c>
      <c r="C38" s="19" t="str">
        <f aca="false">IF(학생명단!C38="","",학생명단!C38)</f>
        <v/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0" t="str">
        <f aca="false">IF(COUNTA(D38:W38)=0,"",SUMPRODUCT((D38:W38=$D$2:$W$2)*(D38:W38&lt;&gt;"")))</f>
        <v/>
      </c>
      <c r="Y38" s="26" t="str">
        <f aca="false">IF(COUNTA(D38:W38)=0,"",SUMPRODUCT((D38:W38=$D$2:$W$2)*(D38:W38&lt;&gt;"")*$D$3:$W$3))</f>
        <v/>
      </c>
      <c r="Z38" s="10" t="str">
        <f aca="false">IF($Y38="","",SUMPRODUCT(($D38:$W38=$D$2:$W$2)*($D38:$W38&lt;&gt;"")*$D$3:$W$3*($D$4:$W$4=Z$6)))</f>
        <v/>
      </c>
      <c r="AA38" s="10" t="str">
        <f aca="false">IF($Y38="","",SUMPRODUCT(($D38:$W38=$D$2:$W$2)*($D38:$W38&lt;&gt;"")*$D$3:$W$3*($D$4:$W$4=AA$6)))</f>
        <v/>
      </c>
      <c r="AB38" s="10" t="str">
        <f aca="false">IF($Y38="","",SUMPRODUCT(($D38:$W38=$D$2:$W$2)*($D38:$W38&lt;&gt;"")*$D$3:$W$3*($D$4:$W$4=AB$6)))</f>
        <v/>
      </c>
    </row>
    <row r="39" customFormat="false" ht="15" hidden="false" customHeight="false" outlineLevel="0" collapsed="false">
      <c r="A39" s="5" t="n">
        <v>33</v>
      </c>
      <c r="B39" s="5" t="str">
        <f aca="false">IF(학생명단!B39="","",학생명단!B39)</f>
        <v/>
      </c>
      <c r="C39" s="19" t="str">
        <f aca="false">IF(학생명단!C39="","",학생명단!C39)</f>
        <v/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0" t="str">
        <f aca="false">IF(COUNTA(D39:W39)=0,"",SUMPRODUCT((D39:W39=$D$2:$W$2)*(D39:W39&lt;&gt;"")))</f>
        <v/>
      </c>
      <c r="Y39" s="26" t="str">
        <f aca="false">IF(COUNTA(D39:W39)=0,"",SUMPRODUCT((D39:W39=$D$2:$W$2)*(D39:W39&lt;&gt;"")*$D$3:$W$3))</f>
        <v/>
      </c>
      <c r="Z39" s="10" t="str">
        <f aca="false">IF($Y39="","",SUMPRODUCT(($D39:$W39=$D$2:$W$2)*($D39:$W39&lt;&gt;"")*$D$3:$W$3*($D$4:$W$4=Z$6)))</f>
        <v/>
      </c>
      <c r="AA39" s="10" t="str">
        <f aca="false">IF($Y39="","",SUMPRODUCT(($D39:$W39=$D$2:$W$2)*($D39:$W39&lt;&gt;"")*$D$3:$W$3*($D$4:$W$4=AA$6)))</f>
        <v/>
      </c>
      <c r="AB39" s="10" t="str">
        <f aca="false">IF($Y39="","",SUMPRODUCT(($D39:$W39=$D$2:$W$2)*($D39:$W39&lt;&gt;"")*$D$3:$W$3*($D$4:$W$4=AB$6)))</f>
        <v/>
      </c>
    </row>
    <row r="40" customFormat="false" ht="15" hidden="false" customHeight="false" outlineLevel="0" collapsed="false">
      <c r="A40" s="5" t="n">
        <v>34</v>
      </c>
      <c r="B40" s="5" t="str">
        <f aca="false">IF(학생명단!B40="","",학생명단!B40)</f>
        <v/>
      </c>
      <c r="C40" s="19" t="str">
        <f aca="false">IF(학생명단!C40="","",학생명단!C40)</f>
        <v/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0" t="str">
        <f aca="false">IF(COUNTA(D40:W40)=0,"",SUMPRODUCT((D40:W40=$D$2:$W$2)*(D40:W40&lt;&gt;"")))</f>
        <v/>
      </c>
      <c r="Y40" s="26" t="str">
        <f aca="false">IF(COUNTA(D40:W40)=0,"",SUMPRODUCT((D40:W40=$D$2:$W$2)*(D40:W40&lt;&gt;"")*$D$3:$W$3))</f>
        <v/>
      </c>
      <c r="Z40" s="10" t="str">
        <f aca="false">IF($Y40="","",SUMPRODUCT(($D40:$W40=$D$2:$W$2)*($D40:$W40&lt;&gt;"")*$D$3:$W$3*($D$4:$W$4=Z$6)))</f>
        <v/>
      </c>
      <c r="AA40" s="10" t="str">
        <f aca="false">IF($Y40="","",SUMPRODUCT(($D40:$W40=$D$2:$W$2)*($D40:$W40&lt;&gt;"")*$D$3:$W$3*($D$4:$W$4=AA$6)))</f>
        <v/>
      </c>
      <c r="AB40" s="10" t="str">
        <f aca="false">IF($Y40="","",SUMPRODUCT(($D40:$W40=$D$2:$W$2)*($D40:$W40&lt;&gt;"")*$D$3:$W$3*($D$4:$W$4=AB$6)))</f>
        <v/>
      </c>
    </row>
    <row r="41" customFormat="false" ht="15" hidden="false" customHeight="false" outlineLevel="0" collapsed="false">
      <c r="A41" s="5" t="n">
        <v>35</v>
      </c>
      <c r="B41" s="5" t="str">
        <f aca="false">IF(학생명단!B41="","",학생명단!B41)</f>
        <v/>
      </c>
      <c r="C41" s="19" t="str">
        <f aca="false">IF(학생명단!C41="","",학생명단!C41)</f>
        <v/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0" t="str">
        <f aca="false">IF(COUNTA(D41:W41)=0,"",SUMPRODUCT((D41:W41=$D$2:$W$2)*(D41:W41&lt;&gt;"")))</f>
        <v/>
      </c>
      <c r="Y41" s="26" t="str">
        <f aca="false">IF(COUNTA(D41:W41)=0,"",SUMPRODUCT((D41:W41=$D$2:$W$2)*(D41:W41&lt;&gt;"")*$D$3:$W$3))</f>
        <v/>
      </c>
      <c r="Z41" s="10" t="str">
        <f aca="false">IF($Y41="","",SUMPRODUCT(($D41:$W41=$D$2:$W$2)*($D41:$W41&lt;&gt;"")*$D$3:$W$3*($D$4:$W$4=Z$6)))</f>
        <v/>
      </c>
      <c r="AA41" s="10" t="str">
        <f aca="false">IF($Y41="","",SUMPRODUCT(($D41:$W41=$D$2:$W$2)*($D41:$W41&lt;&gt;"")*$D$3:$W$3*($D$4:$W$4=AA$6)))</f>
        <v/>
      </c>
      <c r="AB41" s="10" t="str">
        <f aca="false">IF($Y41="","",SUMPRODUCT(($D41:$W41=$D$2:$W$2)*($D41:$W41&lt;&gt;"")*$D$3:$W$3*($D$4:$W$4=AB$6)))</f>
        <v/>
      </c>
    </row>
    <row r="42" customFormat="false" ht="15" hidden="false" customHeight="false" outlineLevel="0" collapsed="false">
      <c r="A42" s="5" t="n">
        <v>36</v>
      </c>
      <c r="B42" s="5" t="str">
        <f aca="false">IF(학생명단!B42="","",학생명단!B42)</f>
        <v/>
      </c>
      <c r="C42" s="19" t="str">
        <f aca="false">IF(학생명단!C42="","",학생명단!C42)</f>
        <v/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0" t="str">
        <f aca="false">IF(COUNTA(D42:W42)=0,"",SUMPRODUCT((D42:W42=$D$2:$W$2)*(D42:W42&lt;&gt;"")))</f>
        <v/>
      </c>
      <c r="Y42" s="26" t="str">
        <f aca="false">IF(COUNTA(D42:W42)=0,"",SUMPRODUCT((D42:W42=$D$2:$W$2)*(D42:W42&lt;&gt;"")*$D$3:$W$3))</f>
        <v/>
      </c>
      <c r="Z42" s="10" t="str">
        <f aca="false">IF($Y42="","",SUMPRODUCT(($D42:$W42=$D$2:$W$2)*($D42:$W42&lt;&gt;"")*$D$3:$W$3*($D$4:$W$4=Z$6)))</f>
        <v/>
      </c>
      <c r="AA42" s="10" t="str">
        <f aca="false">IF($Y42="","",SUMPRODUCT(($D42:$W42=$D$2:$W$2)*($D42:$W42&lt;&gt;"")*$D$3:$W$3*($D$4:$W$4=AA$6)))</f>
        <v/>
      </c>
      <c r="AB42" s="10" t="str">
        <f aca="false">IF($Y42="","",SUMPRODUCT(($D42:$W42=$D$2:$W$2)*($D42:$W42&lt;&gt;"")*$D$3:$W$3*($D$4:$W$4=AB$6)))</f>
        <v/>
      </c>
    </row>
    <row r="43" customFormat="false" ht="15" hidden="false" customHeight="false" outlineLevel="0" collapsed="false">
      <c r="A43" s="5" t="n">
        <v>37</v>
      </c>
      <c r="B43" s="5" t="str">
        <f aca="false">IF(학생명단!B43="","",학생명단!B43)</f>
        <v/>
      </c>
      <c r="C43" s="19" t="str">
        <f aca="false">IF(학생명단!C43="","",학생명단!C43)</f>
        <v/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0" t="str">
        <f aca="false">IF(COUNTA(D43:W43)=0,"",SUMPRODUCT((D43:W43=$D$2:$W$2)*(D43:W43&lt;&gt;"")))</f>
        <v/>
      </c>
      <c r="Y43" s="26" t="str">
        <f aca="false">IF(COUNTA(D43:W43)=0,"",SUMPRODUCT((D43:W43=$D$2:$W$2)*(D43:W43&lt;&gt;"")*$D$3:$W$3))</f>
        <v/>
      </c>
      <c r="Z43" s="10" t="str">
        <f aca="false">IF($Y43="","",SUMPRODUCT(($D43:$W43=$D$2:$W$2)*($D43:$W43&lt;&gt;"")*$D$3:$W$3*($D$4:$W$4=Z$6)))</f>
        <v/>
      </c>
      <c r="AA43" s="10" t="str">
        <f aca="false">IF($Y43="","",SUMPRODUCT(($D43:$W43=$D$2:$W$2)*($D43:$W43&lt;&gt;"")*$D$3:$W$3*($D$4:$W$4=AA$6)))</f>
        <v/>
      </c>
      <c r="AB43" s="10" t="str">
        <f aca="false">IF($Y43="","",SUMPRODUCT(($D43:$W43=$D$2:$W$2)*($D43:$W43&lt;&gt;"")*$D$3:$W$3*($D$4:$W$4=AB$6)))</f>
        <v/>
      </c>
    </row>
    <row r="44" customFormat="false" ht="15" hidden="false" customHeight="false" outlineLevel="0" collapsed="false">
      <c r="A44" s="5" t="n">
        <v>38</v>
      </c>
      <c r="B44" s="5" t="str">
        <f aca="false">IF(학생명단!B44="","",학생명단!B44)</f>
        <v/>
      </c>
      <c r="C44" s="19" t="str">
        <f aca="false">IF(학생명단!C44="","",학생명단!C44)</f>
        <v/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0" t="str">
        <f aca="false">IF(COUNTA(D44:W44)=0,"",SUMPRODUCT((D44:W44=$D$2:$W$2)*(D44:W44&lt;&gt;"")))</f>
        <v/>
      </c>
      <c r="Y44" s="26" t="str">
        <f aca="false">IF(COUNTA(D44:W44)=0,"",SUMPRODUCT((D44:W44=$D$2:$W$2)*(D44:W44&lt;&gt;"")*$D$3:$W$3))</f>
        <v/>
      </c>
      <c r="Z44" s="10" t="str">
        <f aca="false">IF($Y44="","",SUMPRODUCT(($D44:$W44=$D$2:$W$2)*($D44:$W44&lt;&gt;"")*$D$3:$W$3*($D$4:$W$4=Z$6)))</f>
        <v/>
      </c>
      <c r="AA44" s="10" t="str">
        <f aca="false">IF($Y44="","",SUMPRODUCT(($D44:$W44=$D$2:$W$2)*($D44:$W44&lt;&gt;"")*$D$3:$W$3*($D$4:$W$4=AA$6)))</f>
        <v/>
      </c>
      <c r="AB44" s="10" t="str">
        <f aca="false">IF($Y44="","",SUMPRODUCT(($D44:$W44=$D$2:$W$2)*($D44:$W44&lt;&gt;"")*$D$3:$W$3*($D$4:$W$4=AB$6)))</f>
        <v/>
      </c>
    </row>
    <row r="45" customFormat="false" ht="15" hidden="false" customHeight="false" outlineLevel="0" collapsed="false">
      <c r="A45" s="5" t="n">
        <v>39</v>
      </c>
      <c r="B45" s="5" t="str">
        <f aca="false">IF(학생명단!B45="","",학생명단!B45)</f>
        <v/>
      </c>
      <c r="C45" s="19" t="str">
        <f aca="false">IF(학생명단!C45="","",학생명단!C45)</f>
        <v/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0" t="str">
        <f aca="false">IF(COUNTA(D45:W45)=0,"",SUMPRODUCT((D45:W45=$D$2:$W$2)*(D45:W45&lt;&gt;"")))</f>
        <v/>
      </c>
      <c r="Y45" s="26" t="str">
        <f aca="false">IF(COUNTA(D45:W45)=0,"",SUMPRODUCT((D45:W45=$D$2:$W$2)*(D45:W45&lt;&gt;"")*$D$3:$W$3))</f>
        <v/>
      </c>
      <c r="Z45" s="10" t="str">
        <f aca="false">IF($Y45="","",SUMPRODUCT(($D45:$W45=$D$2:$W$2)*($D45:$W45&lt;&gt;"")*$D$3:$W$3*($D$4:$W$4=Z$6)))</f>
        <v/>
      </c>
      <c r="AA45" s="10" t="str">
        <f aca="false">IF($Y45="","",SUMPRODUCT(($D45:$W45=$D$2:$W$2)*($D45:$W45&lt;&gt;"")*$D$3:$W$3*($D$4:$W$4=AA$6)))</f>
        <v/>
      </c>
      <c r="AB45" s="10" t="str">
        <f aca="false">IF($Y45="","",SUMPRODUCT(($D45:$W45=$D$2:$W$2)*($D45:$W45&lt;&gt;"")*$D$3:$W$3*($D$4:$W$4=AB$6)))</f>
        <v/>
      </c>
    </row>
    <row r="46" customFormat="false" ht="15" hidden="false" customHeight="false" outlineLevel="0" collapsed="false">
      <c r="A46" s="5" t="n">
        <v>40</v>
      </c>
      <c r="B46" s="5" t="str">
        <f aca="false">IF(학생명단!B46="","",학생명단!B46)</f>
        <v/>
      </c>
      <c r="C46" s="19" t="str">
        <f aca="false">IF(학생명단!C46="","",학생명단!C46)</f>
        <v/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0" t="str">
        <f aca="false">IF(COUNTA(D46:W46)=0,"",SUMPRODUCT((D46:W46=$D$2:$W$2)*(D46:W46&lt;&gt;"")))</f>
        <v/>
      </c>
      <c r="Y46" s="26" t="str">
        <f aca="false">IF(COUNTA(D46:W46)=0,"",SUMPRODUCT((D46:W46=$D$2:$W$2)*(D46:W46&lt;&gt;"")*$D$3:$W$3))</f>
        <v/>
      </c>
      <c r="Z46" s="10" t="str">
        <f aca="false">IF($Y46="","",SUMPRODUCT(($D46:$W46=$D$2:$W$2)*($D46:$W46&lt;&gt;"")*$D$3:$W$3*($D$4:$W$4=Z$6)))</f>
        <v/>
      </c>
      <c r="AA46" s="10" t="str">
        <f aca="false">IF($Y46="","",SUMPRODUCT(($D46:$W46=$D$2:$W$2)*($D46:$W46&lt;&gt;"")*$D$3:$W$3*($D$4:$W$4=AA$6)))</f>
        <v/>
      </c>
      <c r="AB46" s="10" t="str">
        <f aca="false">IF($Y46="","",SUMPRODUCT(($D46:$W46=$D$2:$W$2)*($D46:$W46&lt;&gt;"")*$D$3:$W$3*($D$4:$W$4=AB$6)))</f>
        <v/>
      </c>
    </row>
    <row r="47" customFormat="false" ht="15" hidden="false" customHeight="false" outlineLevel="0" collapsed="false">
      <c r="A47" s="5" t="n">
        <v>41</v>
      </c>
      <c r="B47" s="5" t="str">
        <f aca="false">IF(학생명단!B47="","",학생명단!B47)</f>
        <v/>
      </c>
      <c r="C47" s="19" t="str">
        <f aca="false">IF(학생명단!C47="","",학생명단!C47)</f>
        <v/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0" t="str">
        <f aca="false">IF(COUNTA(D47:W47)=0,"",SUMPRODUCT((D47:W47=$D$2:$W$2)*(D47:W47&lt;&gt;"")))</f>
        <v/>
      </c>
      <c r="Y47" s="26" t="str">
        <f aca="false">IF(COUNTA(D47:W47)=0,"",SUMPRODUCT((D47:W47=$D$2:$W$2)*(D47:W47&lt;&gt;"")*$D$3:$W$3))</f>
        <v/>
      </c>
      <c r="Z47" s="10" t="str">
        <f aca="false">IF($Y47="","",SUMPRODUCT(($D47:$W47=$D$2:$W$2)*($D47:$W47&lt;&gt;"")*$D$3:$W$3*($D$4:$W$4=Z$6)))</f>
        <v/>
      </c>
      <c r="AA47" s="10" t="str">
        <f aca="false">IF($Y47="","",SUMPRODUCT(($D47:$W47=$D$2:$W$2)*($D47:$W47&lt;&gt;"")*$D$3:$W$3*($D$4:$W$4=AA$6)))</f>
        <v/>
      </c>
      <c r="AB47" s="10" t="str">
        <f aca="false">IF($Y47="","",SUMPRODUCT(($D47:$W47=$D$2:$W$2)*($D47:$W47&lt;&gt;"")*$D$3:$W$3*($D$4:$W$4=AB$6)))</f>
        <v/>
      </c>
    </row>
    <row r="48" customFormat="false" ht="15" hidden="false" customHeight="false" outlineLevel="0" collapsed="false">
      <c r="A48" s="5" t="n">
        <v>42</v>
      </c>
      <c r="B48" s="5" t="str">
        <f aca="false">IF(학생명단!B48="","",학생명단!B48)</f>
        <v/>
      </c>
      <c r="C48" s="19" t="str">
        <f aca="false">IF(학생명단!C48="","",학생명단!C48)</f>
        <v/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0" t="str">
        <f aca="false">IF(COUNTA(D48:W48)=0,"",SUMPRODUCT((D48:W48=$D$2:$W$2)*(D48:W48&lt;&gt;"")))</f>
        <v/>
      </c>
      <c r="Y48" s="26" t="str">
        <f aca="false">IF(COUNTA(D48:W48)=0,"",SUMPRODUCT((D48:W48=$D$2:$W$2)*(D48:W48&lt;&gt;"")*$D$3:$W$3))</f>
        <v/>
      </c>
      <c r="Z48" s="10" t="str">
        <f aca="false">IF($Y48="","",SUMPRODUCT(($D48:$W48=$D$2:$W$2)*($D48:$W48&lt;&gt;"")*$D$3:$W$3*($D$4:$W$4=Z$6)))</f>
        <v/>
      </c>
      <c r="AA48" s="10" t="str">
        <f aca="false">IF($Y48="","",SUMPRODUCT(($D48:$W48=$D$2:$W$2)*($D48:$W48&lt;&gt;"")*$D$3:$W$3*($D$4:$W$4=AA$6)))</f>
        <v/>
      </c>
      <c r="AB48" s="10" t="str">
        <f aca="false">IF($Y48="","",SUMPRODUCT(($D48:$W48=$D$2:$W$2)*($D48:$W48&lt;&gt;"")*$D$3:$W$3*($D$4:$W$4=AB$6)))</f>
        <v/>
      </c>
    </row>
    <row r="49" customFormat="false" ht="15" hidden="false" customHeight="false" outlineLevel="0" collapsed="false">
      <c r="A49" s="5" t="n">
        <v>43</v>
      </c>
      <c r="B49" s="5" t="str">
        <f aca="false">IF(학생명단!B49="","",학생명단!B49)</f>
        <v/>
      </c>
      <c r="C49" s="19" t="str">
        <f aca="false">IF(학생명단!C49="","",학생명단!C49)</f>
        <v/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0" t="str">
        <f aca="false">IF(COUNTA(D49:W49)=0,"",SUMPRODUCT((D49:W49=$D$2:$W$2)*(D49:W49&lt;&gt;"")))</f>
        <v/>
      </c>
      <c r="Y49" s="26" t="str">
        <f aca="false">IF(COUNTA(D49:W49)=0,"",SUMPRODUCT((D49:W49=$D$2:$W$2)*(D49:W49&lt;&gt;"")*$D$3:$W$3))</f>
        <v/>
      </c>
      <c r="Z49" s="10" t="str">
        <f aca="false">IF($Y49="","",SUMPRODUCT(($D49:$W49=$D$2:$W$2)*($D49:$W49&lt;&gt;"")*$D$3:$W$3*($D$4:$W$4=Z$6)))</f>
        <v/>
      </c>
      <c r="AA49" s="10" t="str">
        <f aca="false">IF($Y49="","",SUMPRODUCT(($D49:$W49=$D$2:$W$2)*($D49:$W49&lt;&gt;"")*$D$3:$W$3*($D$4:$W$4=AA$6)))</f>
        <v/>
      </c>
      <c r="AB49" s="10" t="str">
        <f aca="false">IF($Y49="","",SUMPRODUCT(($D49:$W49=$D$2:$W$2)*($D49:$W49&lt;&gt;"")*$D$3:$W$3*($D$4:$W$4=AB$6)))</f>
        <v/>
      </c>
    </row>
    <row r="50" customFormat="false" ht="15" hidden="false" customHeight="false" outlineLevel="0" collapsed="false">
      <c r="A50" s="5" t="n">
        <v>44</v>
      </c>
      <c r="B50" s="5" t="str">
        <f aca="false">IF(학생명단!B50="","",학생명단!B50)</f>
        <v/>
      </c>
      <c r="C50" s="19" t="str">
        <f aca="false">IF(학생명단!C50="","",학생명단!C50)</f>
        <v/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0" t="str">
        <f aca="false">IF(COUNTA(D50:W50)=0,"",SUMPRODUCT((D50:W50=$D$2:$W$2)*(D50:W50&lt;&gt;"")))</f>
        <v/>
      </c>
      <c r="Y50" s="26" t="str">
        <f aca="false">IF(COUNTA(D50:W50)=0,"",SUMPRODUCT((D50:W50=$D$2:$W$2)*(D50:W50&lt;&gt;"")*$D$3:$W$3))</f>
        <v/>
      </c>
      <c r="Z50" s="10" t="str">
        <f aca="false">IF($Y50="","",SUMPRODUCT(($D50:$W50=$D$2:$W$2)*($D50:$W50&lt;&gt;"")*$D$3:$W$3*($D$4:$W$4=Z$6)))</f>
        <v/>
      </c>
      <c r="AA50" s="10" t="str">
        <f aca="false">IF($Y50="","",SUMPRODUCT(($D50:$W50=$D$2:$W$2)*($D50:$W50&lt;&gt;"")*$D$3:$W$3*($D$4:$W$4=AA$6)))</f>
        <v/>
      </c>
      <c r="AB50" s="10" t="str">
        <f aca="false">IF($Y50="","",SUMPRODUCT(($D50:$W50=$D$2:$W$2)*($D50:$W50&lt;&gt;"")*$D$3:$W$3*($D$4:$W$4=AB$6)))</f>
        <v/>
      </c>
    </row>
    <row r="51" customFormat="false" ht="15" hidden="false" customHeight="false" outlineLevel="0" collapsed="false">
      <c r="A51" s="5" t="n">
        <v>45</v>
      </c>
      <c r="B51" s="5" t="str">
        <f aca="false">IF(학생명단!B51="","",학생명단!B51)</f>
        <v/>
      </c>
      <c r="C51" s="19" t="str">
        <f aca="false">IF(학생명단!C51="","",학생명단!C51)</f>
        <v/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0" t="str">
        <f aca="false">IF(COUNTA(D51:W51)=0,"",SUMPRODUCT((D51:W51=$D$2:$W$2)*(D51:W51&lt;&gt;"")))</f>
        <v/>
      </c>
      <c r="Y51" s="26" t="str">
        <f aca="false">IF(COUNTA(D51:W51)=0,"",SUMPRODUCT((D51:W51=$D$2:$W$2)*(D51:W51&lt;&gt;"")*$D$3:$W$3))</f>
        <v/>
      </c>
      <c r="Z51" s="10" t="str">
        <f aca="false">IF($Y51="","",SUMPRODUCT(($D51:$W51=$D$2:$W$2)*($D51:$W51&lt;&gt;"")*$D$3:$W$3*($D$4:$W$4=Z$6)))</f>
        <v/>
      </c>
      <c r="AA51" s="10" t="str">
        <f aca="false">IF($Y51="","",SUMPRODUCT(($D51:$W51=$D$2:$W$2)*($D51:$W51&lt;&gt;"")*$D$3:$W$3*($D$4:$W$4=AA$6)))</f>
        <v/>
      </c>
      <c r="AB51" s="10" t="str">
        <f aca="false">IF($Y51="","",SUMPRODUCT(($D51:$W51=$D$2:$W$2)*($D51:$W51&lt;&gt;"")*$D$3:$W$3*($D$4:$W$4=AB$6)))</f>
        <v/>
      </c>
    </row>
    <row r="52" customFormat="false" ht="15" hidden="false" customHeight="false" outlineLevel="0" collapsed="false">
      <c r="A52" s="5" t="n">
        <v>46</v>
      </c>
      <c r="B52" s="5" t="str">
        <f aca="false">IF(학생명단!B52="","",학생명단!B52)</f>
        <v/>
      </c>
      <c r="C52" s="19" t="str">
        <f aca="false">IF(학생명단!C52="","",학생명단!C52)</f>
        <v/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0" t="str">
        <f aca="false">IF(COUNTA(D52:W52)=0,"",SUMPRODUCT((D52:W52=$D$2:$W$2)*(D52:W52&lt;&gt;"")))</f>
        <v/>
      </c>
      <c r="Y52" s="26" t="str">
        <f aca="false">IF(COUNTA(D52:W52)=0,"",SUMPRODUCT((D52:W52=$D$2:$W$2)*(D52:W52&lt;&gt;"")*$D$3:$W$3))</f>
        <v/>
      </c>
      <c r="Z52" s="10" t="str">
        <f aca="false">IF($Y52="","",SUMPRODUCT(($D52:$W52=$D$2:$W$2)*($D52:$W52&lt;&gt;"")*$D$3:$W$3*($D$4:$W$4=Z$6)))</f>
        <v/>
      </c>
      <c r="AA52" s="10" t="str">
        <f aca="false">IF($Y52="","",SUMPRODUCT(($D52:$W52=$D$2:$W$2)*($D52:$W52&lt;&gt;"")*$D$3:$W$3*($D$4:$W$4=AA$6)))</f>
        <v/>
      </c>
      <c r="AB52" s="10" t="str">
        <f aca="false">IF($Y52="","",SUMPRODUCT(($D52:$W52=$D$2:$W$2)*($D52:$W52&lt;&gt;"")*$D$3:$W$3*($D$4:$W$4=AB$6)))</f>
        <v/>
      </c>
    </row>
    <row r="53" customFormat="false" ht="15" hidden="false" customHeight="false" outlineLevel="0" collapsed="false">
      <c r="A53" s="5" t="n">
        <v>47</v>
      </c>
      <c r="B53" s="5" t="str">
        <f aca="false">IF(학생명단!B53="","",학생명단!B53)</f>
        <v/>
      </c>
      <c r="C53" s="19" t="str">
        <f aca="false">IF(학생명단!C53="","",학생명단!C53)</f>
        <v/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0" t="str">
        <f aca="false">IF(COUNTA(D53:W53)=0,"",SUMPRODUCT((D53:W53=$D$2:$W$2)*(D53:W53&lt;&gt;"")))</f>
        <v/>
      </c>
      <c r="Y53" s="26" t="str">
        <f aca="false">IF(COUNTA(D53:W53)=0,"",SUMPRODUCT((D53:W53=$D$2:$W$2)*(D53:W53&lt;&gt;"")*$D$3:$W$3))</f>
        <v/>
      </c>
      <c r="Z53" s="10" t="str">
        <f aca="false">IF($Y53="","",SUMPRODUCT(($D53:$W53=$D$2:$W$2)*($D53:$W53&lt;&gt;"")*$D$3:$W$3*($D$4:$W$4=Z$6)))</f>
        <v/>
      </c>
      <c r="AA53" s="10" t="str">
        <f aca="false">IF($Y53="","",SUMPRODUCT(($D53:$W53=$D$2:$W$2)*($D53:$W53&lt;&gt;"")*$D$3:$W$3*($D$4:$W$4=AA$6)))</f>
        <v/>
      </c>
      <c r="AB53" s="10" t="str">
        <f aca="false">IF($Y53="","",SUMPRODUCT(($D53:$W53=$D$2:$W$2)*($D53:$W53&lt;&gt;"")*$D$3:$W$3*($D$4:$W$4=AB$6)))</f>
        <v/>
      </c>
    </row>
    <row r="54" customFormat="false" ht="15" hidden="false" customHeight="false" outlineLevel="0" collapsed="false">
      <c r="A54" s="5" t="n">
        <v>48</v>
      </c>
      <c r="B54" s="5" t="str">
        <f aca="false">IF(학생명단!B54="","",학생명단!B54)</f>
        <v/>
      </c>
      <c r="C54" s="19" t="str">
        <f aca="false">IF(학생명단!C54="","",학생명단!C54)</f>
        <v/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0" t="str">
        <f aca="false">IF(COUNTA(D54:W54)=0,"",SUMPRODUCT((D54:W54=$D$2:$W$2)*(D54:W54&lt;&gt;"")))</f>
        <v/>
      </c>
      <c r="Y54" s="26" t="str">
        <f aca="false">IF(COUNTA(D54:W54)=0,"",SUMPRODUCT((D54:W54=$D$2:$W$2)*(D54:W54&lt;&gt;"")*$D$3:$W$3))</f>
        <v/>
      </c>
      <c r="Z54" s="10" t="str">
        <f aca="false">IF($Y54="","",SUMPRODUCT(($D54:$W54=$D$2:$W$2)*($D54:$W54&lt;&gt;"")*$D$3:$W$3*($D$4:$W$4=Z$6)))</f>
        <v/>
      </c>
      <c r="AA54" s="10" t="str">
        <f aca="false">IF($Y54="","",SUMPRODUCT(($D54:$W54=$D$2:$W$2)*($D54:$W54&lt;&gt;"")*$D$3:$W$3*($D$4:$W$4=AA$6)))</f>
        <v/>
      </c>
      <c r="AB54" s="10" t="str">
        <f aca="false">IF($Y54="","",SUMPRODUCT(($D54:$W54=$D$2:$W$2)*($D54:$W54&lt;&gt;"")*$D$3:$W$3*($D$4:$W$4=AB$6)))</f>
        <v/>
      </c>
    </row>
    <row r="55" customFormat="false" ht="15" hidden="false" customHeight="false" outlineLevel="0" collapsed="false">
      <c r="A55" s="5" t="n">
        <v>49</v>
      </c>
      <c r="B55" s="5" t="str">
        <f aca="false">IF(학생명단!B55="","",학생명단!B55)</f>
        <v/>
      </c>
      <c r="C55" s="19" t="str">
        <f aca="false">IF(학생명단!C55="","",학생명단!C55)</f>
        <v/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0" t="str">
        <f aca="false">IF(COUNTA(D55:W55)=0,"",SUMPRODUCT((D55:W55=$D$2:$W$2)*(D55:W55&lt;&gt;"")))</f>
        <v/>
      </c>
      <c r="Y55" s="26" t="str">
        <f aca="false">IF(COUNTA(D55:W55)=0,"",SUMPRODUCT((D55:W55=$D$2:$W$2)*(D55:W55&lt;&gt;"")*$D$3:$W$3))</f>
        <v/>
      </c>
      <c r="Z55" s="10" t="str">
        <f aca="false">IF($Y55="","",SUMPRODUCT(($D55:$W55=$D$2:$W$2)*($D55:$W55&lt;&gt;"")*$D$3:$W$3*($D$4:$W$4=Z$6)))</f>
        <v/>
      </c>
      <c r="AA55" s="10" t="str">
        <f aca="false">IF($Y55="","",SUMPRODUCT(($D55:$W55=$D$2:$W$2)*($D55:$W55&lt;&gt;"")*$D$3:$W$3*($D$4:$W$4=AA$6)))</f>
        <v/>
      </c>
      <c r="AB55" s="10" t="str">
        <f aca="false">IF($Y55="","",SUMPRODUCT(($D55:$W55=$D$2:$W$2)*($D55:$W55&lt;&gt;"")*$D$3:$W$3*($D$4:$W$4=AB$6)))</f>
        <v/>
      </c>
    </row>
    <row r="56" customFormat="false" ht="15" hidden="false" customHeight="false" outlineLevel="0" collapsed="false">
      <c r="A56" s="5" t="n">
        <v>50</v>
      </c>
      <c r="B56" s="5" t="str">
        <f aca="false">IF(학생명단!B56="","",학생명단!B56)</f>
        <v/>
      </c>
      <c r="C56" s="19" t="str">
        <f aca="false">IF(학생명단!C56="","",학생명단!C56)</f>
        <v/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0" t="str">
        <f aca="false">IF(COUNTA(D56:W56)=0,"",SUMPRODUCT((D56:W56=$D$2:$W$2)*(D56:W56&lt;&gt;"")))</f>
        <v/>
      </c>
      <c r="Y56" s="26" t="str">
        <f aca="false">IF(COUNTA(D56:W56)=0,"",SUMPRODUCT((D56:W56=$D$2:$W$2)*(D56:W56&lt;&gt;"")*$D$3:$W$3))</f>
        <v/>
      </c>
      <c r="Z56" s="10" t="str">
        <f aca="false">IF($Y56="","",SUMPRODUCT(($D56:$W56=$D$2:$W$2)*($D56:$W56&lt;&gt;"")*$D$3:$W$3*($D$4:$W$4=Z$6)))</f>
        <v/>
      </c>
      <c r="AA56" s="10" t="str">
        <f aca="false">IF($Y56="","",SUMPRODUCT(($D56:$W56=$D$2:$W$2)*($D56:$W56&lt;&gt;"")*$D$3:$W$3*($D$4:$W$4=AA$6)))</f>
        <v/>
      </c>
      <c r="AB56" s="10" t="str">
        <f aca="false">IF($Y56="","",SUMPRODUCT(($D56:$W56=$D$2:$W$2)*($D56:$W56&lt;&gt;"")*$D$3:$W$3*($D$4:$W$4=AB$6)))</f>
        <v/>
      </c>
    </row>
    <row r="57" customFormat="false" ht="15" hidden="false" customHeight="false" outlineLevel="0" collapsed="false">
      <c r="A57" s="5" t="n">
        <v>51</v>
      </c>
      <c r="B57" s="5" t="str">
        <f aca="false">IF(학생명단!B57="","",학생명단!B57)</f>
        <v/>
      </c>
      <c r="C57" s="19" t="str">
        <f aca="false">IF(학생명단!C57="","",학생명단!C57)</f>
        <v/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0" t="str">
        <f aca="false">IF(COUNTA(D57:W57)=0,"",SUMPRODUCT((D57:W57=$D$2:$W$2)*(D57:W57&lt;&gt;"")))</f>
        <v/>
      </c>
      <c r="Y57" s="26" t="str">
        <f aca="false">IF(COUNTA(D57:W57)=0,"",SUMPRODUCT((D57:W57=$D$2:$W$2)*(D57:W57&lt;&gt;"")*$D$3:$W$3))</f>
        <v/>
      </c>
      <c r="Z57" s="10" t="str">
        <f aca="false">IF($Y57="","",SUMPRODUCT(($D57:$W57=$D$2:$W$2)*($D57:$W57&lt;&gt;"")*$D$3:$W$3*($D$4:$W$4=Z$6)))</f>
        <v/>
      </c>
      <c r="AA57" s="10" t="str">
        <f aca="false">IF($Y57="","",SUMPRODUCT(($D57:$W57=$D$2:$W$2)*($D57:$W57&lt;&gt;"")*$D$3:$W$3*($D$4:$W$4=AA$6)))</f>
        <v/>
      </c>
      <c r="AB57" s="10" t="str">
        <f aca="false">IF($Y57="","",SUMPRODUCT(($D57:$W57=$D$2:$W$2)*($D57:$W57&lt;&gt;"")*$D$3:$W$3*($D$4:$W$4=AB$6)))</f>
        <v/>
      </c>
    </row>
    <row r="58" customFormat="false" ht="15" hidden="false" customHeight="false" outlineLevel="0" collapsed="false">
      <c r="A58" s="5" t="n">
        <v>52</v>
      </c>
      <c r="B58" s="5" t="str">
        <f aca="false">IF(학생명단!B58="","",학생명단!B58)</f>
        <v/>
      </c>
      <c r="C58" s="19" t="str">
        <f aca="false">IF(학생명단!C58="","",학생명단!C58)</f>
        <v/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0" t="str">
        <f aca="false">IF(COUNTA(D58:W58)=0,"",SUMPRODUCT((D58:W58=$D$2:$W$2)*(D58:W58&lt;&gt;"")))</f>
        <v/>
      </c>
      <c r="Y58" s="26" t="str">
        <f aca="false">IF(COUNTA(D58:W58)=0,"",SUMPRODUCT((D58:W58=$D$2:$W$2)*(D58:W58&lt;&gt;"")*$D$3:$W$3))</f>
        <v/>
      </c>
      <c r="Z58" s="10" t="str">
        <f aca="false">IF($Y58="","",SUMPRODUCT(($D58:$W58=$D$2:$W$2)*($D58:$W58&lt;&gt;"")*$D$3:$W$3*($D$4:$W$4=Z$6)))</f>
        <v/>
      </c>
      <c r="AA58" s="10" t="str">
        <f aca="false">IF($Y58="","",SUMPRODUCT(($D58:$W58=$D$2:$W$2)*($D58:$W58&lt;&gt;"")*$D$3:$W$3*($D$4:$W$4=AA$6)))</f>
        <v/>
      </c>
      <c r="AB58" s="10" t="str">
        <f aca="false">IF($Y58="","",SUMPRODUCT(($D58:$W58=$D$2:$W$2)*($D58:$W58&lt;&gt;"")*$D$3:$W$3*($D$4:$W$4=AB$6)))</f>
        <v/>
      </c>
    </row>
    <row r="59" customFormat="false" ht="15" hidden="false" customHeight="false" outlineLevel="0" collapsed="false">
      <c r="A59" s="5" t="n">
        <v>53</v>
      </c>
      <c r="B59" s="5" t="str">
        <f aca="false">IF(학생명단!B59="","",학생명단!B59)</f>
        <v/>
      </c>
      <c r="C59" s="19" t="str">
        <f aca="false">IF(학생명단!C59="","",학생명단!C59)</f>
        <v/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0" t="str">
        <f aca="false">IF(COUNTA(D59:W59)=0,"",SUMPRODUCT((D59:W59=$D$2:$W$2)*(D59:W59&lt;&gt;"")))</f>
        <v/>
      </c>
      <c r="Y59" s="26" t="str">
        <f aca="false">IF(COUNTA(D59:W59)=0,"",SUMPRODUCT((D59:W59=$D$2:$W$2)*(D59:W59&lt;&gt;"")*$D$3:$W$3))</f>
        <v/>
      </c>
      <c r="Z59" s="10" t="str">
        <f aca="false">IF($Y59="","",SUMPRODUCT(($D59:$W59=$D$2:$W$2)*($D59:$W59&lt;&gt;"")*$D$3:$W$3*($D$4:$W$4=Z$6)))</f>
        <v/>
      </c>
      <c r="AA59" s="10" t="str">
        <f aca="false">IF($Y59="","",SUMPRODUCT(($D59:$W59=$D$2:$W$2)*($D59:$W59&lt;&gt;"")*$D$3:$W$3*($D$4:$W$4=AA$6)))</f>
        <v/>
      </c>
      <c r="AB59" s="10" t="str">
        <f aca="false">IF($Y59="","",SUMPRODUCT(($D59:$W59=$D$2:$W$2)*($D59:$W59&lt;&gt;"")*$D$3:$W$3*($D$4:$W$4=AB$6)))</f>
        <v/>
      </c>
    </row>
    <row r="60" customFormat="false" ht="15" hidden="false" customHeight="false" outlineLevel="0" collapsed="false">
      <c r="A60" s="5" t="n">
        <v>54</v>
      </c>
      <c r="B60" s="5" t="str">
        <f aca="false">IF(학생명단!B60="","",학생명단!B60)</f>
        <v/>
      </c>
      <c r="C60" s="19" t="str">
        <f aca="false">IF(학생명단!C60="","",학생명단!C60)</f>
        <v/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0" t="str">
        <f aca="false">IF(COUNTA(D60:W60)=0,"",SUMPRODUCT((D60:W60=$D$2:$W$2)*(D60:W60&lt;&gt;"")))</f>
        <v/>
      </c>
      <c r="Y60" s="26" t="str">
        <f aca="false">IF(COUNTA(D60:W60)=0,"",SUMPRODUCT((D60:W60=$D$2:$W$2)*(D60:W60&lt;&gt;"")*$D$3:$W$3))</f>
        <v/>
      </c>
      <c r="Z60" s="10" t="str">
        <f aca="false">IF($Y60="","",SUMPRODUCT(($D60:$W60=$D$2:$W$2)*($D60:$W60&lt;&gt;"")*$D$3:$W$3*($D$4:$W$4=Z$6)))</f>
        <v/>
      </c>
      <c r="AA60" s="10" t="str">
        <f aca="false">IF($Y60="","",SUMPRODUCT(($D60:$W60=$D$2:$W$2)*($D60:$W60&lt;&gt;"")*$D$3:$W$3*($D$4:$W$4=AA$6)))</f>
        <v/>
      </c>
      <c r="AB60" s="10" t="str">
        <f aca="false">IF($Y60="","",SUMPRODUCT(($D60:$W60=$D$2:$W$2)*($D60:$W60&lt;&gt;"")*$D$3:$W$3*($D$4:$W$4=AB$6)))</f>
        <v/>
      </c>
    </row>
    <row r="61" customFormat="false" ht="15" hidden="false" customHeight="false" outlineLevel="0" collapsed="false">
      <c r="A61" s="5" t="n">
        <v>55</v>
      </c>
      <c r="B61" s="5" t="str">
        <f aca="false">IF(학생명단!B61="","",학생명단!B61)</f>
        <v/>
      </c>
      <c r="C61" s="19" t="str">
        <f aca="false">IF(학생명단!C61="","",학생명단!C61)</f>
        <v/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0" t="str">
        <f aca="false">IF(COUNTA(D61:W61)=0,"",SUMPRODUCT((D61:W61=$D$2:$W$2)*(D61:W61&lt;&gt;"")))</f>
        <v/>
      </c>
      <c r="Y61" s="26" t="str">
        <f aca="false">IF(COUNTA(D61:W61)=0,"",SUMPRODUCT((D61:W61=$D$2:$W$2)*(D61:W61&lt;&gt;"")*$D$3:$W$3))</f>
        <v/>
      </c>
      <c r="Z61" s="10" t="str">
        <f aca="false">IF($Y61="","",SUMPRODUCT(($D61:$W61=$D$2:$W$2)*($D61:$W61&lt;&gt;"")*$D$3:$W$3*($D$4:$W$4=Z$6)))</f>
        <v/>
      </c>
      <c r="AA61" s="10" t="str">
        <f aca="false">IF($Y61="","",SUMPRODUCT(($D61:$W61=$D$2:$W$2)*($D61:$W61&lt;&gt;"")*$D$3:$W$3*($D$4:$W$4=AA$6)))</f>
        <v/>
      </c>
      <c r="AB61" s="10" t="str">
        <f aca="false">IF($Y61="","",SUMPRODUCT(($D61:$W61=$D$2:$W$2)*($D61:$W61&lt;&gt;"")*$D$3:$W$3*($D$4:$W$4=AB$6)))</f>
        <v/>
      </c>
    </row>
    <row r="62" customFormat="false" ht="15" hidden="false" customHeight="false" outlineLevel="0" collapsed="false">
      <c r="A62" s="5" t="n">
        <v>56</v>
      </c>
      <c r="B62" s="5" t="str">
        <f aca="false">IF(학생명단!B62="","",학생명단!B62)</f>
        <v/>
      </c>
      <c r="C62" s="19" t="str">
        <f aca="false">IF(학생명단!C62="","",학생명단!C62)</f>
        <v/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0" t="str">
        <f aca="false">IF(COUNTA(D62:W62)=0,"",SUMPRODUCT((D62:W62=$D$2:$W$2)*(D62:W62&lt;&gt;"")))</f>
        <v/>
      </c>
      <c r="Y62" s="26" t="str">
        <f aca="false">IF(COUNTA(D62:W62)=0,"",SUMPRODUCT((D62:W62=$D$2:$W$2)*(D62:W62&lt;&gt;"")*$D$3:$W$3))</f>
        <v/>
      </c>
      <c r="Z62" s="10" t="str">
        <f aca="false">IF($Y62="","",SUMPRODUCT(($D62:$W62=$D$2:$W$2)*($D62:$W62&lt;&gt;"")*$D$3:$W$3*($D$4:$W$4=Z$6)))</f>
        <v/>
      </c>
      <c r="AA62" s="10" t="str">
        <f aca="false">IF($Y62="","",SUMPRODUCT(($D62:$W62=$D$2:$W$2)*($D62:$W62&lt;&gt;"")*$D$3:$W$3*($D$4:$W$4=AA$6)))</f>
        <v/>
      </c>
      <c r="AB62" s="10" t="str">
        <f aca="false">IF($Y62="","",SUMPRODUCT(($D62:$W62=$D$2:$W$2)*($D62:$W62&lt;&gt;"")*$D$3:$W$3*($D$4:$W$4=AB$6)))</f>
        <v/>
      </c>
    </row>
    <row r="63" customFormat="false" ht="15" hidden="false" customHeight="false" outlineLevel="0" collapsed="false">
      <c r="A63" s="5" t="n">
        <v>57</v>
      </c>
      <c r="B63" s="5" t="str">
        <f aca="false">IF(학생명단!B63="","",학생명단!B63)</f>
        <v/>
      </c>
      <c r="C63" s="19" t="str">
        <f aca="false">IF(학생명단!C63="","",학생명단!C63)</f>
        <v/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0" t="str">
        <f aca="false">IF(COUNTA(D63:W63)=0,"",SUMPRODUCT((D63:W63=$D$2:$W$2)*(D63:W63&lt;&gt;"")))</f>
        <v/>
      </c>
      <c r="Y63" s="26" t="str">
        <f aca="false">IF(COUNTA(D63:W63)=0,"",SUMPRODUCT((D63:W63=$D$2:$W$2)*(D63:W63&lt;&gt;"")*$D$3:$W$3))</f>
        <v/>
      </c>
      <c r="Z63" s="10" t="str">
        <f aca="false">IF($Y63="","",SUMPRODUCT(($D63:$W63=$D$2:$W$2)*($D63:$W63&lt;&gt;"")*$D$3:$W$3*($D$4:$W$4=Z$6)))</f>
        <v/>
      </c>
      <c r="AA63" s="10" t="str">
        <f aca="false">IF($Y63="","",SUMPRODUCT(($D63:$W63=$D$2:$W$2)*($D63:$W63&lt;&gt;"")*$D$3:$W$3*($D$4:$W$4=AA$6)))</f>
        <v/>
      </c>
      <c r="AB63" s="10" t="str">
        <f aca="false">IF($Y63="","",SUMPRODUCT(($D63:$W63=$D$2:$W$2)*($D63:$W63&lt;&gt;"")*$D$3:$W$3*($D$4:$W$4=AB$6)))</f>
        <v/>
      </c>
    </row>
    <row r="64" customFormat="false" ht="15" hidden="false" customHeight="false" outlineLevel="0" collapsed="false">
      <c r="A64" s="5" t="n">
        <v>58</v>
      </c>
      <c r="B64" s="5" t="str">
        <f aca="false">IF(학생명단!B64="","",학생명단!B64)</f>
        <v/>
      </c>
      <c r="C64" s="19" t="str">
        <f aca="false">IF(학생명단!C64="","",학생명단!C64)</f>
        <v/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0" t="str">
        <f aca="false">IF(COUNTA(D64:W64)=0,"",SUMPRODUCT((D64:W64=$D$2:$W$2)*(D64:W64&lt;&gt;"")))</f>
        <v/>
      </c>
      <c r="Y64" s="26" t="str">
        <f aca="false">IF(COUNTA(D64:W64)=0,"",SUMPRODUCT((D64:W64=$D$2:$W$2)*(D64:W64&lt;&gt;"")*$D$3:$W$3))</f>
        <v/>
      </c>
      <c r="Z64" s="10" t="str">
        <f aca="false">IF($Y64="","",SUMPRODUCT(($D64:$W64=$D$2:$W$2)*($D64:$W64&lt;&gt;"")*$D$3:$W$3*($D$4:$W$4=Z$6)))</f>
        <v/>
      </c>
      <c r="AA64" s="10" t="str">
        <f aca="false">IF($Y64="","",SUMPRODUCT(($D64:$W64=$D$2:$W$2)*($D64:$W64&lt;&gt;"")*$D$3:$W$3*($D$4:$W$4=AA$6)))</f>
        <v/>
      </c>
      <c r="AB64" s="10" t="str">
        <f aca="false">IF($Y64="","",SUMPRODUCT(($D64:$W64=$D$2:$W$2)*($D64:$W64&lt;&gt;"")*$D$3:$W$3*($D$4:$W$4=AB$6)))</f>
        <v/>
      </c>
    </row>
    <row r="65" customFormat="false" ht="15" hidden="false" customHeight="false" outlineLevel="0" collapsed="false">
      <c r="A65" s="5" t="n">
        <v>59</v>
      </c>
      <c r="B65" s="5" t="str">
        <f aca="false">IF(학생명단!B65="","",학생명단!B65)</f>
        <v/>
      </c>
      <c r="C65" s="19" t="str">
        <f aca="false">IF(학생명단!C65="","",학생명단!C65)</f>
        <v/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0" t="str">
        <f aca="false">IF(COUNTA(D65:W65)=0,"",SUMPRODUCT((D65:W65=$D$2:$W$2)*(D65:W65&lt;&gt;"")))</f>
        <v/>
      </c>
      <c r="Y65" s="26" t="str">
        <f aca="false">IF(COUNTA(D65:W65)=0,"",SUMPRODUCT((D65:W65=$D$2:$W$2)*(D65:W65&lt;&gt;"")*$D$3:$W$3))</f>
        <v/>
      </c>
      <c r="Z65" s="10" t="str">
        <f aca="false">IF($Y65="","",SUMPRODUCT(($D65:$W65=$D$2:$W$2)*($D65:$W65&lt;&gt;"")*$D$3:$W$3*($D$4:$W$4=Z$6)))</f>
        <v/>
      </c>
      <c r="AA65" s="10" t="str">
        <f aca="false">IF($Y65="","",SUMPRODUCT(($D65:$W65=$D$2:$W$2)*($D65:$W65&lt;&gt;"")*$D$3:$W$3*($D$4:$W$4=AA$6)))</f>
        <v/>
      </c>
      <c r="AB65" s="10" t="str">
        <f aca="false">IF($Y65="","",SUMPRODUCT(($D65:$W65=$D$2:$W$2)*($D65:$W65&lt;&gt;"")*$D$3:$W$3*($D$4:$W$4=AB$6)))</f>
        <v/>
      </c>
    </row>
    <row r="66" customFormat="false" ht="15" hidden="false" customHeight="false" outlineLevel="0" collapsed="false">
      <c r="A66" s="5" t="n">
        <v>60</v>
      </c>
      <c r="B66" s="5" t="str">
        <f aca="false">IF(학생명단!B66="","",학생명단!B66)</f>
        <v/>
      </c>
      <c r="C66" s="19" t="str">
        <f aca="false">IF(학생명단!C66="","",학생명단!C66)</f>
        <v/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0" t="str">
        <f aca="false">IF(COUNTA(D66:W66)=0,"",SUMPRODUCT((D66:W66=$D$2:$W$2)*(D66:W66&lt;&gt;"")))</f>
        <v/>
      </c>
      <c r="Y66" s="26" t="str">
        <f aca="false">IF(COUNTA(D66:W66)=0,"",SUMPRODUCT((D66:W66=$D$2:$W$2)*(D66:W66&lt;&gt;"")*$D$3:$W$3))</f>
        <v/>
      </c>
      <c r="Z66" s="10" t="str">
        <f aca="false">IF($Y66="","",SUMPRODUCT(($D66:$W66=$D$2:$W$2)*($D66:$W66&lt;&gt;"")*$D$3:$W$3*($D$4:$W$4=Z$6)))</f>
        <v/>
      </c>
      <c r="AA66" s="10" t="str">
        <f aca="false">IF($Y66="","",SUMPRODUCT(($D66:$W66=$D$2:$W$2)*($D66:$W66&lt;&gt;"")*$D$3:$W$3*($D$4:$W$4=AA$6)))</f>
        <v/>
      </c>
      <c r="AB66" s="10" t="str">
        <f aca="false">IF($Y66="","",SUMPRODUCT(($D66:$W66=$D$2:$W$2)*($D66:$W66&lt;&gt;"")*$D$3:$W$3*($D$4:$W$4=AB$6)))</f>
        <v/>
      </c>
    </row>
    <row r="67" customFormat="false" ht="15" hidden="false" customHeight="false" outlineLevel="0" collapsed="false">
      <c r="A67" s="5" t="n">
        <v>61</v>
      </c>
      <c r="B67" s="5" t="str">
        <f aca="false">IF(학생명단!B67="","",학생명단!B67)</f>
        <v/>
      </c>
      <c r="C67" s="19" t="str">
        <f aca="false">IF(학생명단!C67="","",학생명단!C67)</f>
        <v/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0" t="str">
        <f aca="false">IF(COUNTA(D67:W67)=0,"",SUMPRODUCT((D67:W67=$D$2:$W$2)*(D67:W67&lt;&gt;"")))</f>
        <v/>
      </c>
      <c r="Y67" s="26" t="str">
        <f aca="false">IF(COUNTA(D67:W67)=0,"",SUMPRODUCT((D67:W67=$D$2:$W$2)*(D67:W67&lt;&gt;"")*$D$3:$W$3))</f>
        <v/>
      </c>
      <c r="Z67" s="10" t="str">
        <f aca="false">IF($Y67="","",SUMPRODUCT(($D67:$W67=$D$2:$W$2)*($D67:$W67&lt;&gt;"")*$D$3:$W$3*($D$4:$W$4=Z$6)))</f>
        <v/>
      </c>
      <c r="AA67" s="10" t="str">
        <f aca="false">IF($Y67="","",SUMPRODUCT(($D67:$W67=$D$2:$W$2)*($D67:$W67&lt;&gt;"")*$D$3:$W$3*($D$4:$W$4=AA$6)))</f>
        <v/>
      </c>
      <c r="AB67" s="10" t="str">
        <f aca="false">IF($Y67="","",SUMPRODUCT(($D67:$W67=$D$2:$W$2)*($D67:$W67&lt;&gt;"")*$D$3:$W$3*($D$4:$W$4=AB$6)))</f>
        <v/>
      </c>
    </row>
    <row r="68" customFormat="false" ht="15" hidden="false" customHeight="false" outlineLevel="0" collapsed="false">
      <c r="A68" s="5" t="n">
        <v>62</v>
      </c>
      <c r="B68" s="5" t="str">
        <f aca="false">IF(학생명단!B68="","",학생명단!B68)</f>
        <v/>
      </c>
      <c r="C68" s="19" t="str">
        <f aca="false">IF(학생명단!C68="","",학생명단!C68)</f>
        <v/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0" t="str">
        <f aca="false">IF(COUNTA(D68:W68)=0,"",SUMPRODUCT((D68:W68=$D$2:$W$2)*(D68:W68&lt;&gt;"")))</f>
        <v/>
      </c>
      <c r="Y68" s="26" t="str">
        <f aca="false">IF(COUNTA(D68:W68)=0,"",SUMPRODUCT((D68:W68=$D$2:$W$2)*(D68:W68&lt;&gt;"")*$D$3:$W$3))</f>
        <v/>
      </c>
      <c r="Z68" s="10" t="str">
        <f aca="false">IF($Y68="","",SUMPRODUCT(($D68:$W68=$D$2:$W$2)*($D68:$W68&lt;&gt;"")*$D$3:$W$3*($D$4:$W$4=Z$6)))</f>
        <v/>
      </c>
      <c r="AA68" s="10" t="str">
        <f aca="false">IF($Y68="","",SUMPRODUCT(($D68:$W68=$D$2:$W$2)*($D68:$W68&lt;&gt;"")*$D$3:$W$3*($D$4:$W$4=AA$6)))</f>
        <v/>
      </c>
      <c r="AB68" s="10" t="str">
        <f aca="false">IF($Y68="","",SUMPRODUCT(($D68:$W68=$D$2:$W$2)*($D68:$W68&lt;&gt;"")*$D$3:$W$3*($D$4:$W$4=AB$6)))</f>
        <v/>
      </c>
    </row>
    <row r="69" customFormat="false" ht="15" hidden="false" customHeight="false" outlineLevel="0" collapsed="false">
      <c r="A69" s="5" t="n">
        <v>63</v>
      </c>
      <c r="B69" s="5" t="str">
        <f aca="false">IF(학생명단!B69="","",학생명단!B69)</f>
        <v/>
      </c>
      <c r="C69" s="19" t="str">
        <f aca="false">IF(학생명단!C69="","",학생명단!C69)</f>
        <v/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0" t="str">
        <f aca="false">IF(COUNTA(D69:W69)=0,"",SUMPRODUCT((D69:W69=$D$2:$W$2)*(D69:W69&lt;&gt;"")))</f>
        <v/>
      </c>
      <c r="Y69" s="26" t="str">
        <f aca="false">IF(COUNTA(D69:W69)=0,"",SUMPRODUCT((D69:W69=$D$2:$W$2)*(D69:W69&lt;&gt;"")*$D$3:$W$3))</f>
        <v/>
      </c>
      <c r="Z69" s="10" t="str">
        <f aca="false">IF($Y69="","",SUMPRODUCT(($D69:$W69=$D$2:$W$2)*($D69:$W69&lt;&gt;"")*$D$3:$W$3*($D$4:$W$4=Z$6)))</f>
        <v/>
      </c>
      <c r="AA69" s="10" t="str">
        <f aca="false">IF($Y69="","",SUMPRODUCT(($D69:$W69=$D$2:$W$2)*($D69:$W69&lt;&gt;"")*$D$3:$W$3*($D$4:$W$4=AA$6)))</f>
        <v/>
      </c>
      <c r="AB69" s="10" t="str">
        <f aca="false">IF($Y69="","",SUMPRODUCT(($D69:$W69=$D$2:$W$2)*($D69:$W69&lt;&gt;"")*$D$3:$W$3*($D$4:$W$4=AB$6)))</f>
        <v/>
      </c>
    </row>
    <row r="70" customFormat="false" ht="15" hidden="false" customHeight="false" outlineLevel="0" collapsed="false">
      <c r="A70" s="5" t="n">
        <v>64</v>
      </c>
      <c r="B70" s="5" t="str">
        <f aca="false">IF(학생명단!B70="","",학생명단!B70)</f>
        <v/>
      </c>
      <c r="C70" s="19" t="str">
        <f aca="false">IF(학생명단!C70="","",학생명단!C70)</f>
        <v/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0" t="str">
        <f aca="false">IF(COUNTA(D70:W70)=0,"",SUMPRODUCT((D70:W70=$D$2:$W$2)*(D70:W70&lt;&gt;"")))</f>
        <v/>
      </c>
      <c r="Y70" s="26" t="str">
        <f aca="false">IF(COUNTA(D70:W70)=0,"",SUMPRODUCT((D70:W70=$D$2:$W$2)*(D70:W70&lt;&gt;"")*$D$3:$W$3))</f>
        <v/>
      </c>
      <c r="Z70" s="10" t="str">
        <f aca="false">IF($Y70="","",SUMPRODUCT(($D70:$W70=$D$2:$W$2)*($D70:$W70&lt;&gt;"")*$D$3:$W$3*($D$4:$W$4=Z$6)))</f>
        <v/>
      </c>
      <c r="AA70" s="10" t="str">
        <f aca="false">IF($Y70="","",SUMPRODUCT(($D70:$W70=$D$2:$W$2)*($D70:$W70&lt;&gt;"")*$D$3:$W$3*($D$4:$W$4=AA$6)))</f>
        <v/>
      </c>
      <c r="AB70" s="10" t="str">
        <f aca="false">IF($Y70="","",SUMPRODUCT(($D70:$W70=$D$2:$W$2)*($D70:$W70&lt;&gt;"")*$D$3:$W$3*($D$4:$W$4=AB$6)))</f>
        <v/>
      </c>
    </row>
    <row r="71" customFormat="false" ht="15" hidden="false" customHeight="false" outlineLevel="0" collapsed="false">
      <c r="A71" s="5" t="n">
        <v>65</v>
      </c>
      <c r="B71" s="5" t="str">
        <f aca="false">IF(학생명단!B71="","",학생명단!B71)</f>
        <v/>
      </c>
      <c r="C71" s="19" t="str">
        <f aca="false">IF(학생명단!C71="","",학생명단!C71)</f>
        <v/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0" t="str">
        <f aca="false">IF(COUNTA(D71:W71)=0,"",SUMPRODUCT((D71:W71=$D$2:$W$2)*(D71:W71&lt;&gt;"")))</f>
        <v/>
      </c>
      <c r="Y71" s="26" t="str">
        <f aca="false">IF(COUNTA(D71:W71)=0,"",SUMPRODUCT((D71:W71=$D$2:$W$2)*(D71:W71&lt;&gt;"")*$D$3:$W$3))</f>
        <v/>
      </c>
      <c r="Z71" s="10" t="str">
        <f aca="false">IF($Y71="","",SUMPRODUCT(($D71:$W71=$D$2:$W$2)*($D71:$W71&lt;&gt;"")*$D$3:$W$3*($D$4:$W$4=Z$6)))</f>
        <v/>
      </c>
      <c r="AA71" s="10" t="str">
        <f aca="false">IF($Y71="","",SUMPRODUCT(($D71:$W71=$D$2:$W$2)*($D71:$W71&lt;&gt;"")*$D$3:$W$3*($D$4:$W$4=AA$6)))</f>
        <v/>
      </c>
      <c r="AB71" s="10" t="str">
        <f aca="false">IF($Y71="","",SUMPRODUCT(($D71:$W71=$D$2:$W$2)*($D71:$W71&lt;&gt;"")*$D$3:$W$3*($D$4:$W$4=AB$6)))</f>
        <v/>
      </c>
    </row>
    <row r="72" customFormat="false" ht="15" hidden="false" customHeight="false" outlineLevel="0" collapsed="false">
      <c r="A72" s="5" t="n">
        <v>66</v>
      </c>
      <c r="B72" s="5" t="str">
        <f aca="false">IF(학생명단!B72="","",학생명단!B72)</f>
        <v/>
      </c>
      <c r="C72" s="19" t="str">
        <f aca="false">IF(학생명단!C72="","",학생명단!C72)</f>
        <v/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0" t="str">
        <f aca="false">IF(COUNTA(D72:W72)=0,"",SUMPRODUCT((D72:W72=$D$2:$W$2)*(D72:W72&lt;&gt;"")))</f>
        <v/>
      </c>
      <c r="Y72" s="26" t="str">
        <f aca="false">IF(COUNTA(D72:W72)=0,"",SUMPRODUCT((D72:W72=$D$2:$W$2)*(D72:W72&lt;&gt;"")*$D$3:$W$3))</f>
        <v/>
      </c>
      <c r="Z72" s="10" t="str">
        <f aca="false">IF($Y72="","",SUMPRODUCT(($D72:$W72=$D$2:$W$2)*($D72:$W72&lt;&gt;"")*$D$3:$W$3*($D$4:$W$4=Z$6)))</f>
        <v/>
      </c>
      <c r="AA72" s="10" t="str">
        <f aca="false">IF($Y72="","",SUMPRODUCT(($D72:$W72=$D$2:$W$2)*($D72:$W72&lt;&gt;"")*$D$3:$W$3*($D$4:$W$4=AA$6)))</f>
        <v/>
      </c>
      <c r="AB72" s="10" t="str">
        <f aca="false">IF($Y72="","",SUMPRODUCT(($D72:$W72=$D$2:$W$2)*($D72:$W72&lt;&gt;"")*$D$3:$W$3*($D$4:$W$4=AB$6)))</f>
        <v/>
      </c>
    </row>
    <row r="73" customFormat="false" ht="15" hidden="false" customHeight="false" outlineLevel="0" collapsed="false">
      <c r="A73" s="5" t="n">
        <v>67</v>
      </c>
      <c r="B73" s="5" t="str">
        <f aca="false">IF(학생명단!B73="","",학생명단!B73)</f>
        <v/>
      </c>
      <c r="C73" s="19" t="str">
        <f aca="false">IF(학생명단!C73="","",학생명단!C73)</f>
        <v/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0" t="str">
        <f aca="false">IF(COUNTA(D73:W73)=0,"",SUMPRODUCT((D73:W73=$D$2:$W$2)*(D73:W73&lt;&gt;"")))</f>
        <v/>
      </c>
      <c r="Y73" s="26" t="str">
        <f aca="false">IF(COUNTA(D73:W73)=0,"",SUMPRODUCT((D73:W73=$D$2:$W$2)*(D73:W73&lt;&gt;"")*$D$3:$W$3))</f>
        <v/>
      </c>
      <c r="Z73" s="10" t="str">
        <f aca="false">IF($Y73="","",SUMPRODUCT(($D73:$W73=$D$2:$W$2)*($D73:$W73&lt;&gt;"")*$D$3:$W$3*($D$4:$W$4=Z$6)))</f>
        <v/>
      </c>
      <c r="AA73" s="10" t="str">
        <f aca="false">IF($Y73="","",SUMPRODUCT(($D73:$W73=$D$2:$W$2)*($D73:$W73&lt;&gt;"")*$D$3:$W$3*($D$4:$W$4=AA$6)))</f>
        <v/>
      </c>
      <c r="AB73" s="10" t="str">
        <f aca="false">IF($Y73="","",SUMPRODUCT(($D73:$W73=$D$2:$W$2)*($D73:$W73&lt;&gt;"")*$D$3:$W$3*($D$4:$W$4=AB$6)))</f>
        <v/>
      </c>
    </row>
    <row r="74" customFormat="false" ht="15" hidden="false" customHeight="false" outlineLevel="0" collapsed="false">
      <c r="A74" s="5" t="n">
        <v>68</v>
      </c>
      <c r="B74" s="5" t="str">
        <f aca="false">IF(학생명단!B74="","",학생명단!B74)</f>
        <v/>
      </c>
      <c r="C74" s="19" t="str">
        <f aca="false">IF(학생명단!C74="","",학생명단!C74)</f>
        <v/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0" t="str">
        <f aca="false">IF(COUNTA(D74:W74)=0,"",SUMPRODUCT((D74:W74=$D$2:$W$2)*(D74:W74&lt;&gt;"")))</f>
        <v/>
      </c>
      <c r="Y74" s="26" t="str">
        <f aca="false">IF(COUNTA(D74:W74)=0,"",SUMPRODUCT((D74:W74=$D$2:$W$2)*(D74:W74&lt;&gt;"")*$D$3:$W$3))</f>
        <v/>
      </c>
      <c r="Z74" s="10" t="str">
        <f aca="false">IF($Y74="","",SUMPRODUCT(($D74:$W74=$D$2:$W$2)*($D74:$W74&lt;&gt;"")*$D$3:$W$3*($D$4:$W$4=Z$6)))</f>
        <v/>
      </c>
      <c r="AA74" s="10" t="str">
        <f aca="false">IF($Y74="","",SUMPRODUCT(($D74:$W74=$D$2:$W$2)*($D74:$W74&lt;&gt;"")*$D$3:$W$3*($D$4:$W$4=AA$6)))</f>
        <v/>
      </c>
      <c r="AB74" s="10" t="str">
        <f aca="false">IF($Y74="","",SUMPRODUCT(($D74:$W74=$D$2:$W$2)*($D74:$W74&lt;&gt;"")*$D$3:$W$3*($D$4:$W$4=AB$6)))</f>
        <v/>
      </c>
    </row>
    <row r="75" customFormat="false" ht="15" hidden="false" customHeight="false" outlineLevel="0" collapsed="false">
      <c r="A75" s="5" t="n">
        <v>69</v>
      </c>
      <c r="B75" s="5" t="str">
        <f aca="false">IF(학생명단!B75="","",학생명단!B75)</f>
        <v/>
      </c>
      <c r="C75" s="19" t="str">
        <f aca="false">IF(학생명단!C75="","",학생명단!C75)</f>
        <v/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0" t="str">
        <f aca="false">IF(COUNTA(D75:W75)=0,"",SUMPRODUCT((D75:W75=$D$2:$W$2)*(D75:W75&lt;&gt;"")))</f>
        <v/>
      </c>
      <c r="Y75" s="26" t="str">
        <f aca="false">IF(COUNTA(D75:W75)=0,"",SUMPRODUCT((D75:W75=$D$2:$W$2)*(D75:W75&lt;&gt;"")*$D$3:$W$3))</f>
        <v/>
      </c>
      <c r="Z75" s="10" t="str">
        <f aca="false">IF($Y75="","",SUMPRODUCT(($D75:$W75=$D$2:$W$2)*($D75:$W75&lt;&gt;"")*$D$3:$W$3*($D$4:$W$4=Z$6)))</f>
        <v/>
      </c>
      <c r="AA75" s="10" t="str">
        <f aca="false">IF($Y75="","",SUMPRODUCT(($D75:$W75=$D$2:$W$2)*($D75:$W75&lt;&gt;"")*$D$3:$W$3*($D$4:$W$4=AA$6)))</f>
        <v/>
      </c>
      <c r="AB75" s="10" t="str">
        <f aca="false">IF($Y75="","",SUMPRODUCT(($D75:$W75=$D$2:$W$2)*($D75:$W75&lt;&gt;"")*$D$3:$W$3*($D$4:$W$4=AB$6)))</f>
        <v/>
      </c>
    </row>
    <row r="76" customFormat="false" ht="15" hidden="false" customHeight="false" outlineLevel="0" collapsed="false">
      <c r="A76" s="5" t="n">
        <v>70</v>
      </c>
      <c r="B76" s="5" t="str">
        <f aca="false">IF(학생명단!B76="","",학생명단!B76)</f>
        <v/>
      </c>
      <c r="C76" s="19" t="str">
        <f aca="false">IF(학생명단!C76="","",학생명단!C76)</f>
        <v/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0" t="str">
        <f aca="false">IF(COUNTA(D76:W76)=0,"",SUMPRODUCT((D76:W76=$D$2:$W$2)*(D76:W76&lt;&gt;"")))</f>
        <v/>
      </c>
      <c r="Y76" s="26" t="str">
        <f aca="false">IF(COUNTA(D76:W76)=0,"",SUMPRODUCT((D76:W76=$D$2:$W$2)*(D76:W76&lt;&gt;"")*$D$3:$W$3))</f>
        <v/>
      </c>
      <c r="Z76" s="10" t="str">
        <f aca="false">IF($Y76="","",SUMPRODUCT(($D76:$W76=$D$2:$W$2)*($D76:$W76&lt;&gt;"")*$D$3:$W$3*($D$4:$W$4=Z$6)))</f>
        <v/>
      </c>
      <c r="AA76" s="10" t="str">
        <f aca="false">IF($Y76="","",SUMPRODUCT(($D76:$W76=$D$2:$W$2)*($D76:$W76&lt;&gt;"")*$D$3:$W$3*($D$4:$W$4=AA$6)))</f>
        <v/>
      </c>
      <c r="AB76" s="10" t="str">
        <f aca="false">IF($Y76="","",SUMPRODUCT(($D76:$W76=$D$2:$W$2)*($D76:$W76&lt;&gt;"")*$D$3:$W$3*($D$4:$W$4=AB$6)))</f>
        <v/>
      </c>
    </row>
    <row r="77" customFormat="false" ht="15" hidden="false" customHeight="false" outlineLevel="0" collapsed="false">
      <c r="A77" s="5" t="n">
        <v>71</v>
      </c>
      <c r="B77" s="5" t="str">
        <f aca="false">IF(학생명단!B77="","",학생명단!B77)</f>
        <v/>
      </c>
      <c r="C77" s="19" t="str">
        <f aca="false">IF(학생명단!C77="","",학생명단!C77)</f>
        <v/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0" t="str">
        <f aca="false">IF(COUNTA(D77:W77)=0,"",SUMPRODUCT((D77:W77=$D$2:$W$2)*(D77:W77&lt;&gt;"")))</f>
        <v/>
      </c>
      <c r="Y77" s="26" t="str">
        <f aca="false">IF(COUNTA(D77:W77)=0,"",SUMPRODUCT((D77:W77=$D$2:$W$2)*(D77:W77&lt;&gt;"")*$D$3:$W$3))</f>
        <v/>
      </c>
      <c r="Z77" s="10" t="str">
        <f aca="false">IF($Y77="","",SUMPRODUCT(($D77:$W77=$D$2:$W$2)*($D77:$W77&lt;&gt;"")*$D$3:$W$3*($D$4:$W$4=Z$6)))</f>
        <v/>
      </c>
      <c r="AA77" s="10" t="str">
        <f aca="false">IF($Y77="","",SUMPRODUCT(($D77:$W77=$D$2:$W$2)*($D77:$W77&lt;&gt;"")*$D$3:$W$3*($D$4:$W$4=AA$6)))</f>
        <v/>
      </c>
      <c r="AB77" s="10" t="str">
        <f aca="false">IF($Y77="","",SUMPRODUCT(($D77:$W77=$D$2:$W$2)*($D77:$W77&lt;&gt;"")*$D$3:$W$3*($D$4:$W$4=AB$6)))</f>
        <v/>
      </c>
    </row>
    <row r="78" customFormat="false" ht="15" hidden="false" customHeight="false" outlineLevel="0" collapsed="false">
      <c r="A78" s="5" t="n">
        <v>72</v>
      </c>
      <c r="B78" s="5" t="str">
        <f aca="false">IF(학생명단!B78="","",학생명단!B78)</f>
        <v/>
      </c>
      <c r="C78" s="19" t="str">
        <f aca="false">IF(학생명단!C78="","",학생명단!C78)</f>
        <v/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0" t="str">
        <f aca="false">IF(COUNTA(D78:W78)=0,"",SUMPRODUCT((D78:W78=$D$2:$W$2)*(D78:W78&lt;&gt;"")))</f>
        <v/>
      </c>
      <c r="Y78" s="26" t="str">
        <f aca="false">IF(COUNTA(D78:W78)=0,"",SUMPRODUCT((D78:W78=$D$2:$W$2)*(D78:W78&lt;&gt;"")*$D$3:$W$3))</f>
        <v/>
      </c>
      <c r="Z78" s="10" t="str">
        <f aca="false">IF($Y78="","",SUMPRODUCT(($D78:$W78=$D$2:$W$2)*($D78:$W78&lt;&gt;"")*$D$3:$W$3*($D$4:$W$4=Z$6)))</f>
        <v/>
      </c>
      <c r="AA78" s="10" t="str">
        <f aca="false">IF($Y78="","",SUMPRODUCT(($D78:$W78=$D$2:$W$2)*($D78:$W78&lt;&gt;"")*$D$3:$W$3*($D$4:$W$4=AA$6)))</f>
        <v/>
      </c>
      <c r="AB78" s="10" t="str">
        <f aca="false">IF($Y78="","",SUMPRODUCT(($D78:$W78=$D$2:$W$2)*($D78:$W78&lt;&gt;"")*$D$3:$W$3*($D$4:$W$4=AB$6)))</f>
        <v/>
      </c>
    </row>
    <row r="79" customFormat="false" ht="15" hidden="false" customHeight="false" outlineLevel="0" collapsed="false">
      <c r="A79" s="5" t="n">
        <v>73</v>
      </c>
      <c r="B79" s="5" t="str">
        <f aca="false">IF(학생명단!B79="","",학생명단!B79)</f>
        <v/>
      </c>
      <c r="C79" s="19" t="str">
        <f aca="false">IF(학생명단!C79="","",학생명단!C79)</f>
        <v/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0" t="str">
        <f aca="false">IF(COUNTA(D79:W79)=0,"",SUMPRODUCT((D79:W79=$D$2:$W$2)*(D79:W79&lt;&gt;"")))</f>
        <v/>
      </c>
      <c r="Y79" s="26" t="str">
        <f aca="false">IF(COUNTA(D79:W79)=0,"",SUMPRODUCT((D79:W79=$D$2:$W$2)*(D79:W79&lt;&gt;"")*$D$3:$W$3))</f>
        <v/>
      </c>
      <c r="Z79" s="10" t="str">
        <f aca="false">IF($Y79="","",SUMPRODUCT(($D79:$W79=$D$2:$W$2)*($D79:$W79&lt;&gt;"")*$D$3:$W$3*($D$4:$W$4=Z$6)))</f>
        <v/>
      </c>
      <c r="AA79" s="10" t="str">
        <f aca="false">IF($Y79="","",SUMPRODUCT(($D79:$W79=$D$2:$W$2)*($D79:$W79&lt;&gt;"")*$D$3:$W$3*($D$4:$W$4=AA$6)))</f>
        <v/>
      </c>
      <c r="AB79" s="10" t="str">
        <f aca="false">IF($Y79="","",SUMPRODUCT(($D79:$W79=$D$2:$W$2)*($D79:$W79&lt;&gt;"")*$D$3:$W$3*($D$4:$W$4=AB$6)))</f>
        <v/>
      </c>
    </row>
    <row r="80" customFormat="false" ht="15" hidden="false" customHeight="false" outlineLevel="0" collapsed="false">
      <c r="A80" s="5" t="n">
        <v>74</v>
      </c>
      <c r="B80" s="5" t="str">
        <f aca="false">IF(학생명단!B80="","",학생명단!B80)</f>
        <v/>
      </c>
      <c r="C80" s="19" t="str">
        <f aca="false">IF(학생명단!C80="","",학생명단!C80)</f>
        <v/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0" t="str">
        <f aca="false">IF(COUNTA(D80:W80)=0,"",SUMPRODUCT((D80:W80=$D$2:$W$2)*(D80:W80&lt;&gt;"")))</f>
        <v/>
      </c>
      <c r="Y80" s="26" t="str">
        <f aca="false">IF(COUNTA(D80:W80)=0,"",SUMPRODUCT((D80:W80=$D$2:$W$2)*(D80:W80&lt;&gt;"")*$D$3:$W$3))</f>
        <v/>
      </c>
      <c r="Z80" s="10" t="str">
        <f aca="false">IF($Y80="","",SUMPRODUCT(($D80:$W80=$D$2:$W$2)*($D80:$W80&lt;&gt;"")*$D$3:$W$3*($D$4:$W$4=Z$6)))</f>
        <v/>
      </c>
      <c r="AA80" s="10" t="str">
        <f aca="false">IF($Y80="","",SUMPRODUCT(($D80:$W80=$D$2:$W$2)*($D80:$W80&lt;&gt;"")*$D$3:$W$3*($D$4:$W$4=AA$6)))</f>
        <v/>
      </c>
      <c r="AB80" s="10" t="str">
        <f aca="false">IF($Y80="","",SUMPRODUCT(($D80:$W80=$D$2:$W$2)*($D80:$W80&lt;&gt;"")*$D$3:$W$3*($D$4:$W$4=AB$6)))</f>
        <v/>
      </c>
    </row>
    <row r="81" customFormat="false" ht="15" hidden="false" customHeight="false" outlineLevel="0" collapsed="false">
      <c r="A81" s="5" t="n">
        <v>75</v>
      </c>
      <c r="B81" s="5" t="str">
        <f aca="false">IF(학생명단!B81="","",학생명단!B81)</f>
        <v/>
      </c>
      <c r="C81" s="19" t="str">
        <f aca="false">IF(학생명단!C81="","",학생명단!C81)</f>
        <v/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0" t="str">
        <f aca="false">IF(COUNTA(D81:W81)=0,"",SUMPRODUCT((D81:W81=$D$2:$W$2)*(D81:W81&lt;&gt;"")))</f>
        <v/>
      </c>
      <c r="Y81" s="26" t="str">
        <f aca="false">IF(COUNTA(D81:W81)=0,"",SUMPRODUCT((D81:W81=$D$2:$W$2)*(D81:W81&lt;&gt;"")*$D$3:$W$3))</f>
        <v/>
      </c>
      <c r="Z81" s="10" t="str">
        <f aca="false">IF($Y81="","",SUMPRODUCT(($D81:$W81=$D$2:$W$2)*($D81:$W81&lt;&gt;"")*$D$3:$W$3*($D$4:$W$4=Z$6)))</f>
        <v/>
      </c>
      <c r="AA81" s="10" t="str">
        <f aca="false">IF($Y81="","",SUMPRODUCT(($D81:$W81=$D$2:$W$2)*($D81:$W81&lt;&gt;"")*$D$3:$W$3*($D$4:$W$4=AA$6)))</f>
        <v/>
      </c>
      <c r="AB81" s="10" t="str">
        <f aca="false">IF($Y81="","",SUMPRODUCT(($D81:$W81=$D$2:$W$2)*($D81:$W81&lt;&gt;"")*$D$3:$W$3*($D$4:$W$4=AB$6)))</f>
        <v/>
      </c>
    </row>
    <row r="82" customFormat="false" ht="15" hidden="false" customHeight="false" outlineLevel="0" collapsed="false">
      <c r="A82" s="5" t="n">
        <v>76</v>
      </c>
      <c r="B82" s="5" t="str">
        <f aca="false">IF(학생명단!B82="","",학생명단!B82)</f>
        <v/>
      </c>
      <c r="C82" s="19" t="str">
        <f aca="false">IF(학생명단!C82="","",학생명단!C82)</f>
        <v/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0" t="str">
        <f aca="false">IF(COUNTA(D82:W82)=0,"",SUMPRODUCT((D82:W82=$D$2:$W$2)*(D82:W82&lt;&gt;"")))</f>
        <v/>
      </c>
      <c r="Y82" s="26" t="str">
        <f aca="false">IF(COUNTA(D82:W82)=0,"",SUMPRODUCT((D82:W82=$D$2:$W$2)*(D82:W82&lt;&gt;"")*$D$3:$W$3))</f>
        <v/>
      </c>
      <c r="Z82" s="10" t="str">
        <f aca="false">IF($Y82="","",SUMPRODUCT(($D82:$W82=$D$2:$W$2)*($D82:$W82&lt;&gt;"")*$D$3:$W$3*($D$4:$W$4=Z$6)))</f>
        <v/>
      </c>
      <c r="AA82" s="10" t="str">
        <f aca="false">IF($Y82="","",SUMPRODUCT(($D82:$W82=$D$2:$W$2)*($D82:$W82&lt;&gt;"")*$D$3:$W$3*($D$4:$W$4=AA$6)))</f>
        <v/>
      </c>
      <c r="AB82" s="10" t="str">
        <f aca="false">IF($Y82="","",SUMPRODUCT(($D82:$W82=$D$2:$W$2)*($D82:$W82&lt;&gt;"")*$D$3:$W$3*($D$4:$W$4=AB$6)))</f>
        <v/>
      </c>
    </row>
    <row r="83" customFormat="false" ht="15" hidden="false" customHeight="false" outlineLevel="0" collapsed="false">
      <c r="A83" s="5" t="n">
        <v>77</v>
      </c>
      <c r="B83" s="5" t="str">
        <f aca="false">IF(학생명단!B83="","",학생명단!B83)</f>
        <v/>
      </c>
      <c r="C83" s="19" t="str">
        <f aca="false">IF(학생명단!C83="","",학생명단!C83)</f>
        <v/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0" t="str">
        <f aca="false">IF(COUNTA(D83:W83)=0,"",SUMPRODUCT((D83:W83=$D$2:$W$2)*(D83:W83&lt;&gt;"")))</f>
        <v/>
      </c>
      <c r="Y83" s="26" t="str">
        <f aca="false">IF(COUNTA(D83:W83)=0,"",SUMPRODUCT((D83:W83=$D$2:$W$2)*(D83:W83&lt;&gt;"")*$D$3:$W$3))</f>
        <v/>
      </c>
      <c r="Z83" s="10" t="str">
        <f aca="false">IF($Y83="","",SUMPRODUCT(($D83:$W83=$D$2:$W$2)*($D83:$W83&lt;&gt;"")*$D$3:$W$3*($D$4:$W$4=Z$6)))</f>
        <v/>
      </c>
      <c r="AA83" s="10" t="str">
        <f aca="false">IF($Y83="","",SUMPRODUCT(($D83:$W83=$D$2:$W$2)*($D83:$W83&lt;&gt;"")*$D$3:$W$3*($D$4:$W$4=AA$6)))</f>
        <v/>
      </c>
      <c r="AB83" s="10" t="str">
        <f aca="false">IF($Y83="","",SUMPRODUCT(($D83:$W83=$D$2:$W$2)*($D83:$W83&lt;&gt;"")*$D$3:$W$3*($D$4:$W$4=AB$6)))</f>
        <v/>
      </c>
    </row>
    <row r="84" customFormat="false" ht="15" hidden="false" customHeight="false" outlineLevel="0" collapsed="false">
      <c r="A84" s="5" t="n">
        <v>78</v>
      </c>
      <c r="B84" s="5" t="str">
        <f aca="false">IF(학생명단!B84="","",학생명단!B84)</f>
        <v/>
      </c>
      <c r="C84" s="19" t="str">
        <f aca="false">IF(학생명단!C84="","",학생명단!C84)</f>
        <v/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0" t="str">
        <f aca="false">IF(COUNTA(D84:W84)=0,"",SUMPRODUCT((D84:W84=$D$2:$W$2)*(D84:W84&lt;&gt;"")))</f>
        <v/>
      </c>
      <c r="Y84" s="26" t="str">
        <f aca="false">IF(COUNTA(D84:W84)=0,"",SUMPRODUCT((D84:W84=$D$2:$W$2)*(D84:W84&lt;&gt;"")*$D$3:$W$3))</f>
        <v/>
      </c>
      <c r="Z84" s="10" t="str">
        <f aca="false">IF($Y84="","",SUMPRODUCT(($D84:$W84=$D$2:$W$2)*($D84:$W84&lt;&gt;"")*$D$3:$W$3*($D$4:$W$4=Z$6)))</f>
        <v/>
      </c>
      <c r="AA84" s="10" t="str">
        <f aca="false">IF($Y84="","",SUMPRODUCT(($D84:$W84=$D$2:$W$2)*($D84:$W84&lt;&gt;"")*$D$3:$W$3*($D$4:$W$4=AA$6)))</f>
        <v/>
      </c>
      <c r="AB84" s="10" t="str">
        <f aca="false">IF($Y84="","",SUMPRODUCT(($D84:$W84=$D$2:$W$2)*($D84:$W84&lt;&gt;"")*$D$3:$W$3*($D$4:$W$4=AB$6)))</f>
        <v/>
      </c>
    </row>
    <row r="85" customFormat="false" ht="15" hidden="false" customHeight="false" outlineLevel="0" collapsed="false">
      <c r="A85" s="5" t="n">
        <v>79</v>
      </c>
      <c r="B85" s="5" t="str">
        <f aca="false">IF(학생명단!B85="","",학생명단!B85)</f>
        <v/>
      </c>
      <c r="C85" s="19" t="str">
        <f aca="false">IF(학생명단!C85="","",학생명단!C85)</f>
        <v/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0" t="str">
        <f aca="false">IF(COUNTA(D85:W85)=0,"",SUMPRODUCT((D85:W85=$D$2:$W$2)*(D85:W85&lt;&gt;"")))</f>
        <v/>
      </c>
      <c r="Y85" s="26" t="str">
        <f aca="false">IF(COUNTA(D85:W85)=0,"",SUMPRODUCT((D85:W85=$D$2:$W$2)*(D85:W85&lt;&gt;"")*$D$3:$W$3))</f>
        <v/>
      </c>
      <c r="Z85" s="10" t="str">
        <f aca="false">IF($Y85="","",SUMPRODUCT(($D85:$W85=$D$2:$W$2)*($D85:$W85&lt;&gt;"")*$D$3:$W$3*($D$4:$W$4=Z$6)))</f>
        <v/>
      </c>
      <c r="AA85" s="10" t="str">
        <f aca="false">IF($Y85="","",SUMPRODUCT(($D85:$W85=$D$2:$W$2)*($D85:$W85&lt;&gt;"")*$D$3:$W$3*($D$4:$W$4=AA$6)))</f>
        <v/>
      </c>
      <c r="AB85" s="10" t="str">
        <f aca="false">IF($Y85="","",SUMPRODUCT(($D85:$W85=$D$2:$W$2)*($D85:$W85&lt;&gt;"")*$D$3:$W$3*($D$4:$W$4=AB$6)))</f>
        <v/>
      </c>
    </row>
    <row r="86" customFormat="false" ht="15" hidden="false" customHeight="false" outlineLevel="0" collapsed="false">
      <c r="A86" s="5" t="n">
        <v>80</v>
      </c>
      <c r="B86" s="5" t="str">
        <f aca="false">IF(학생명단!B86="","",학생명단!B86)</f>
        <v/>
      </c>
      <c r="C86" s="19" t="str">
        <f aca="false">IF(학생명단!C86="","",학생명단!C86)</f>
        <v/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0" t="str">
        <f aca="false">IF(COUNTA(D86:W86)=0,"",SUMPRODUCT((D86:W86=$D$2:$W$2)*(D86:W86&lt;&gt;"")))</f>
        <v/>
      </c>
      <c r="Y86" s="26" t="str">
        <f aca="false">IF(COUNTA(D86:W86)=0,"",SUMPRODUCT((D86:W86=$D$2:$W$2)*(D86:W86&lt;&gt;"")*$D$3:$W$3))</f>
        <v/>
      </c>
      <c r="Z86" s="10" t="str">
        <f aca="false">IF($Y86="","",SUMPRODUCT(($D86:$W86=$D$2:$W$2)*($D86:$W86&lt;&gt;"")*$D$3:$W$3*($D$4:$W$4=Z$6)))</f>
        <v/>
      </c>
      <c r="AA86" s="10" t="str">
        <f aca="false">IF($Y86="","",SUMPRODUCT(($D86:$W86=$D$2:$W$2)*($D86:$W86&lt;&gt;"")*$D$3:$W$3*($D$4:$W$4=AA$6)))</f>
        <v/>
      </c>
      <c r="AB86" s="10" t="str">
        <f aca="false">IF($Y86="","",SUMPRODUCT(($D86:$W86=$D$2:$W$2)*($D86:$W86&lt;&gt;"")*$D$3:$W$3*($D$4:$W$4=AB$6)))</f>
        <v/>
      </c>
    </row>
  </sheetData>
  <mergeCells count="6">
    <mergeCell ref="A1:C1"/>
    <mergeCell ref="D1:AB1"/>
    <mergeCell ref="A2:C2"/>
    <mergeCell ref="A3:C3"/>
    <mergeCell ref="A4:C4"/>
    <mergeCell ref="A5:C5"/>
  </mergeCells>
  <conditionalFormatting sqref="D7:W86">
    <cfRule type="expression" priority="2" aboveAverage="0" equalAverage="0" bottom="0" percent="0" rank="0" text="" dxfId="0">
      <formula>AND(D7&lt;&gt;"",D$2&lt;&gt;"",D7&lt;&gt;D$2)</formula>
    </cfRule>
  </conditionalFormatting>
  <conditionalFormatting sqref="D2:W2">
    <cfRule type="expression" priority="3" aboveAverage="0" equalAverage="0" bottom="0" percent="0" rank="0" text="" dxfId="1">
      <formula>D2=""</formula>
    </cfRule>
  </conditionalFormatting>
  <dataValidations count="4">
    <dataValidation allowBlank="true" errorStyle="stop" operator="between" showDropDown="false" showErrorMessage="false" showInputMessage="false" sqref="D5:W5" type="list">
      <formula1>"하,중,상,최상"</formula1>
      <formula2>0</formula2>
    </dataValidation>
    <dataValidation allowBlank="true" error="객관식은 1~5 사이 정수만 입력" errorStyle="stop" errorTitle="입력 오류" operator="between" showDropDown="false" showErrorMessage="true" showInputMessage="false" sqref="D2:Q2 D7:Q86" type="whole">
      <formula1>1</formula1>
      <formula2>5</formula2>
    </dataValidation>
    <dataValidation allowBlank="true" error="단답형은 0~999 사이 정수만 입력" errorStyle="stop" errorTitle="입력 오류" operator="between" showDropDown="false" showErrorMessage="true" showInputMessage="false" sqref="R2:W2 R7:W86" type="whole">
      <formula1>0</formula1>
      <formula2>999</formula2>
    </dataValidation>
    <dataValidation allowBlank="true" errorStyle="stop" operator="between" showDropDown="false" showErrorMessage="false" showInputMessage="false" sqref="D4:W4" type="list">
      <formula1>설정!$B$24:$B$26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13"/>
    <col collapsed="false" customWidth="true" hidden="true" outlineLevel="0" max="14" min="14" style="0" width="8"/>
    <col collapsed="false" customWidth="true" hidden="false" outlineLevel="0" max="16" min="16" style="0" width="10"/>
    <col collapsed="false" customWidth="true" hidden="false" outlineLevel="0" max="23" min="17" style="0" width="8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0" hidden="false" customHeight="true" outlineLevel="0" collapsed="false">
      <c r="A2" s="2" t="s">
        <v>97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5" customFormat="false" ht="15" hidden="false" customHeight="false" outlineLevel="0" collapsed="false">
      <c r="P5" s="3" t="s">
        <v>98</v>
      </c>
    </row>
    <row r="6" customFormat="false" ht="26.85" hidden="false" customHeight="false" outlineLevel="0" collapsed="false">
      <c r="A6" s="13" t="s">
        <v>50</v>
      </c>
      <c r="B6" s="4" t="s">
        <v>51</v>
      </c>
      <c r="C6" s="4" t="s">
        <v>52</v>
      </c>
      <c r="D6" s="4" t="s">
        <v>53</v>
      </c>
      <c r="E6" s="4" t="s">
        <v>99</v>
      </c>
      <c r="F6" s="4" t="s">
        <v>100</v>
      </c>
      <c r="G6" s="4" t="s">
        <v>101</v>
      </c>
      <c r="H6" s="4" t="s">
        <v>102</v>
      </c>
      <c r="I6" s="4" t="s">
        <v>103</v>
      </c>
      <c r="J6" s="4" t="s">
        <v>104</v>
      </c>
      <c r="K6" s="4" t="s">
        <v>105</v>
      </c>
      <c r="L6" s="4" t="s">
        <v>106</v>
      </c>
      <c r="M6" s="4" t="s">
        <v>55</v>
      </c>
      <c r="N6" s="4" t="s">
        <v>107</v>
      </c>
      <c r="P6" s="4" t="s">
        <v>3</v>
      </c>
      <c r="Q6" s="4" t="s">
        <v>108</v>
      </c>
      <c r="R6" s="4" t="s">
        <v>109</v>
      </c>
      <c r="S6" s="4" t="s">
        <v>110</v>
      </c>
      <c r="T6" s="4" t="s">
        <v>111</v>
      </c>
      <c r="U6" s="4" t="s">
        <v>112</v>
      </c>
      <c r="V6" s="4" t="s">
        <v>113</v>
      </c>
      <c r="W6" s="4" t="s">
        <v>58</v>
      </c>
    </row>
    <row r="7" customFormat="false" ht="15" hidden="false" customHeight="false" outlineLevel="0" collapsed="false">
      <c r="A7" s="5" t="n">
        <v>1</v>
      </c>
      <c r="B7" s="27" t="str">
        <f aca="false">IF(학생명단!B7="","",학생명단!B7)</f>
        <v>홍길동(예시)</v>
      </c>
      <c r="C7" s="27" t="str">
        <f aca="false">IF(학생명단!C7="","",학생명단!C7)</f>
        <v>OO중</v>
      </c>
      <c r="D7" s="27" t="str">
        <f aca="false">IF(학생명단!D7="","",학생명단!D7)</f>
        <v>외부</v>
      </c>
      <c r="E7" s="27" t="str">
        <f aca="false">공수1!Y7</f>
        <v/>
      </c>
      <c r="F7" s="27" t="str">
        <f aca="false">공수2!Y7</f>
        <v/>
      </c>
      <c r="G7" s="28" t="str">
        <f aca="false">IF(AND(E7="",F7=""),"",N(E7)*설정!$C$13+N(F7)*설정!$C$14)</f>
        <v/>
      </c>
      <c r="H7" s="27" t="str">
        <f aca="false">IF(G7="","",COUNTIF($G$7:$G$86,"&gt;"&amp;G7)+1)</f>
        <v/>
      </c>
      <c r="I7" s="27" t="str">
        <f aca="false">IF(H7="","",IF(H7&lt;=설정!$C$6,설정!$B$6,IF(H7&lt;=설정!$C$6+설정!$C$7,설정!$B$7,설정!$B$8)))</f>
        <v/>
      </c>
      <c r="J7" s="29" t="str">
        <f aca="false">IF(G7="","",IF(OR(AND(ISNUMBER($T$7),ABS(G7-$T$7)&lt;=설정!$C$15),AND(ISNUMBER($T$8),ABS(G7-$T$8)&lt;=설정!$C$15)),"경계",""))</f>
        <v/>
      </c>
      <c r="K7" s="14"/>
      <c r="L7" s="26" t="str">
        <f aca="false">IF(K7&lt;&gt;"",K7,I7)</f>
        <v/>
      </c>
      <c r="M7" s="30" t="str">
        <f aca="false">IF(G7="","",IF(E7="","공수1 미응시",IF(F7="","공수2 미응시","")))</f>
        <v/>
      </c>
      <c r="N7" s="10" t="str">
        <f aca="false">IF(H7="","",H7+ROW()/100000)</f>
        <v/>
      </c>
      <c r="P7" s="31" t="str">
        <f aca="false">설정!$B$6</f>
        <v>심화반</v>
      </c>
      <c r="Q7" s="10" t="n">
        <f aca="false">설정!$C$6</f>
        <v>20</v>
      </c>
      <c r="R7" s="10" t="n">
        <f aca="false">COUNTIF($I$7:$I$86,P7)</f>
        <v>0</v>
      </c>
      <c r="S7" s="26" t="n">
        <f aca="false">COUNTIF($L$7:$L$86,P7)</f>
        <v>0</v>
      </c>
      <c r="T7" s="32" t="str">
        <f aca="false">IF(R7=0,"",_xlfn.MINIFS($G$7:$G$86,$I$7:$I$86,P7))</f>
        <v/>
      </c>
      <c r="U7" s="33" t="str">
        <f aca="false">IFERROR(AVERAGEIF($L$7:$L$86,P7,$G$7:$G$86),"")</f>
        <v/>
      </c>
      <c r="V7" s="10" t="n">
        <f aca="false">COUNTIFS($L$7:$L$86,P7,$D$7:$D$86,"재원")</f>
        <v>0</v>
      </c>
      <c r="W7" s="10" t="n">
        <f aca="false">COUNTIFS($L$7:$L$86,P7,$D$7:$D$86,"외부")</f>
        <v>0</v>
      </c>
    </row>
    <row r="8" customFormat="false" ht="15" hidden="false" customHeight="false" outlineLevel="0" collapsed="false">
      <c r="A8" s="5" t="n">
        <v>2</v>
      </c>
      <c r="B8" s="27" t="str">
        <f aca="false">IF(학생명단!B8="","",학생명단!B8)</f>
        <v/>
      </c>
      <c r="C8" s="27" t="str">
        <f aca="false">IF(학생명단!C8="","",학생명단!C8)</f>
        <v/>
      </c>
      <c r="D8" s="27" t="str">
        <f aca="false">IF(학생명단!D8="","",학생명단!D8)</f>
        <v/>
      </c>
      <c r="E8" s="27" t="str">
        <f aca="false">공수1!Y8</f>
        <v/>
      </c>
      <c r="F8" s="27" t="str">
        <f aca="false">공수2!Y8</f>
        <v/>
      </c>
      <c r="G8" s="28" t="str">
        <f aca="false">IF(AND(E8="",F8=""),"",N(E8)*설정!$C$13+N(F8)*설정!$C$14)</f>
        <v/>
      </c>
      <c r="H8" s="27" t="str">
        <f aca="false">IF(G8="","",COUNTIF($G$7:$G$86,"&gt;"&amp;G8)+1)</f>
        <v/>
      </c>
      <c r="I8" s="27" t="str">
        <f aca="false">IF(H8="","",IF(H8&lt;=설정!$C$6,설정!$B$6,IF(H8&lt;=설정!$C$6+설정!$C$7,설정!$B$7,설정!$B$8)))</f>
        <v/>
      </c>
      <c r="J8" s="29" t="str">
        <f aca="false">IF(G8="","",IF(OR(AND(ISNUMBER($T$7),ABS(G8-$T$7)&lt;=설정!$C$15),AND(ISNUMBER($T$8),ABS(G8-$T$8)&lt;=설정!$C$15)),"경계",""))</f>
        <v/>
      </c>
      <c r="K8" s="14"/>
      <c r="L8" s="26" t="str">
        <f aca="false">IF(K8&lt;&gt;"",K8,I8)</f>
        <v/>
      </c>
      <c r="M8" s="30" t="str">
        <f aca="false">IF(G8="","",IF(E8="","공수1 미응시",IF(F8="","공수2 미응시","")))</f>
        <v/>
      </c>
      <c r="N8" s="10" t="str">
        <f aca="false">IF(H8="","",H8+ROW()/100000)</f>
        <v/>
      </c>
      <c r="P8" s="34" t="str">
        <f aca="false">설정!$B$7</f>
        <v>정규반</v>
      </c>
      <c r="Q8" s="10" t="n">
        <f aca="false">설정!$C$7</f>
        <v>20</v>
      </c>
      <c r="R8" s="10" t="n">
        <f aca="false">COUNTIF($I$7:$I$86,P8)</f>
        <v>0</v>
      </c>
      <c r="S8" s="26" t="n">
        <f aca="false">COUNTIF($L$7:$L$86,P8)</f>
        <v>0</v>
      </c>
      <c r="T8" s="32" t="str">
        <f aca="false">IF(R8=0,"",_xlfn.MINIFS($G$7:$G$86,$I$7:$I$86,P8))</f>
        <v/>
      </c>
      <c r="U8" s="33" t="str">
        <f aca="false">IFERROR(AVERAGEIF($L$7:$L$86,P8,$G$7:$G$86),"")</f>
        <v/>
      </c>
      <c r="V8" s="10" t="n">
        <f aca="false">COUNTIFS($L$7:$L$86,P8,$D$7:$D$86,"재원")</f>
        <v>0</v>
      </c>
      <c r="W8" s="10" t="n">
        <f aca="false">COUNTIFS($L$7:$L$86,P8,$D$7:$D$86,"외부")</f>
        <v>0</v>
      </c>
    </row>
    <row r="9" customFormat="false" ht="15" hidden="false" customHeight="false" outlineLevel="0" collapsed="false">
      <c r="A9" s="5" t="n">
        <v>3</v>
      </c>
      <c r="B9" s="27" t="str">
        <f aca="false">IF(학생명단!B9="","",학생명단!B9)</f>
        <v/>
      </c>
      <c r="C9" s="27" t="str">
        <f aca="false">IF(학생명단!C9="","",학생명단!C9)</f>
        <v/>
      </c>
      <c r="D9" s="27" t="str">
        <f aca="false">IF(학생명단!D9="","",학생명단!D9)</f>
        <v/>
      </c>
      <c r="E9" s="27" t="str">
        <f aca="false">공수1!Y9</f>
        <v/>
      </c>
      <c r="F9" s="27" t="str">
        <f aca="false">공수2!Y9</f>
        <v/>
      </c>
      <c r="G9" s="28" t="str">
        <f aca="false">IF(AND(E9="",F9=""),"",N(E9)*설정!$C$13+N(F9)*설정!$C$14)</f>
        <v/>
      </c>
      <c r="H9" s="27" t="str">
        <f aca="false">IF(G9="","",COUNTIF($G$7:$G$86,"&gt;"&amp;G9)+1)</f>
        <v/>
      </c>
      <c r="I9" s="27" t="str">
        <f aca="false">IF(H9="","",IF(H9&lt;=설정!$C$6,설정!$B$6,IF(H9&lt;=설정!$C$6+설정!$C$7,설정!$B$7,설정!$B$8)))</f>
        <v/>
      </c>
      <c r="J9" s="29" t="str">
        <f aca="false">IF(G9="","",IF(OR(AND(ISNUMBER($T$7),ABS(G9-$T$7)&lt;=설정!$C$15),AND(ISNUMBER($T$8),ABS(G9-$T$8)&lt;=설정!$C$15)),"경계",""))</f>
        <v/>
      </c>
      <c r="K9" s="14"/>
      <c r="L9" s="26" t="str">
        <f aca="false">IF(K9&lt;&gt;"",K9,I9)</f>
        <v/>
      </c>
      <c r="M9" s="30" t="str">
        <f aca="false">IF(G9="","",IF(E9="","공수1 미응시",IF(F9="","공수2 미응시","")))</f>
        <v/>
      </c>
      <c r="N9" s="10" t="str">
        <f aca="false">IF(H9="","",H9+ROW()/100000)</f>
        <v/>
      </c>
      <c r="P9" s="35" t="str">
        <f aca="false">설정!$B$8</f>
        <v>기본반</v>
      </c>
      <c r="Q9" s="10" t="n">
        <f aca="false">설정!$C$8</f>
        <v>20</v>
      </c>
      <c r="R9" s="10" t="n">
        <f aca="false">COUNTIF($I$7:$I$86,P9)</f>
        <v>0</v>
      </c>
      <c r="S9" s="26" t="n">
        <f aca="false">COUNTIF($L$7:$L$86,P9)</f>
        <v>0</v>
      </c>
      <c r="T9" s="32" t="str">
        <f aca="false">IF(R9=0,"",_xlfn.MINIFS($G$7:$G$86,$I$7:$I$86,P9))</f>
        <v/>
      </c>
      <c r="U9" s="33" t="str">
        <f aca="false">IFERROR(AVERAGEIF($L$7:$L$86,P9,$G$7:$G$86),"")</f>
        <v/>
      </c>
      <c r="V9" s="10" t="n">
        <f aca="false">COUNTIFS($L$7:$L$86,P9,$D$7:$D$86,"재원")</f>
        <v>0</v>
      </c>
      <c r="W9" s="10" t="n">
        <f aca="false">COUNTIFS($L$7:$L$86,P9,$D$7:$D$86,"외부")</f>
        <v>0</v>
      </c>
    </row>
    <row r="10" customFormat="false" ht="15" hidden="false" customHeight="false" outlineLevel="0" collapsed="false">
      <c r="A10" s="5" t="n">
        <v>4</v>
      </c>
      <c r="B10" s="27" t="str">
        <f aca="false">IF(학생명단!B10="","",학생명단!B10)</f>
        <v/>
      </c>
      <c r="C10" s="27" t="str">
        <f aca="false">IF(학생명단!C10="","",학생명단!C10)</f>
        <v/>
      </c>
      <c r="D10" s="27" t="str">
        <f aca="false">IF(학생명단!D10="","",학생명단!D10)</f>
        <v/>
      </c>
      <c r="E10" s="27" t="str">
        <f aca="false">공수1!Y10</f>
        <v/>
      </c>
      <c r="F10" s="27" t="str">
        <f aca="false">공수2!Y10</f>
        <v/>
      </c>
      <c r="G10" s="28" t="str">
        <f aca="false">IF(AND(E10="",F10=""),"",N(E10)*설정!$C$13+N(F10)*설정!$C$14)</f>
        <v/>
      </c>
      <c r="H10" s="27" t="str">
        <f aca="false">IF(G10="","",COUNTIF($G$7:$G$86,"&gt;"&amp;G10)+1)</f>
        <v/>
      </c>
      <c r="I10" s="27" t="str">
        <f aca="false">IF(H10="","",IF(H10&lt;=설정!$C$6,설정!$B$6,IF(H10&lt;=설정!$C$6+설정!$C$7,설정!$B$7,설정!$B$8)))</f>
        <v/>
      </c>
      <c r="J10" s="29" t="str">
        <f aca="false">IF(G10="","",IF(OR(AND(ISNUMBER($T$7),ABS(G10-$T$7)&lt;=설정!$C$15),AND(ISNUMBER($T$8),ABS(G10-$T$8)&lt;=설정!$C$15)),"경계",""))</f>
        <v/>
      </c>
      <c r="K10" s="14"/>
      <c r="L10" s="26" t="str">
        <f aca="false">IF(K10&lt;&gt;"",K10,I10)</f>
        <v/>
      </c>
      <c r="M10" s="30" t="str">
        <f aca="false">IF(G10="","",IF(E10="","공수1 미응시",IF(F10="","공수2 미응시","")))</f>
        <v/>
      </c>
      <c r="N10" s="10" t="str">
        <f aca="false">IF(H10="","",H10+ROW()/100000)</f>
        <v/>
      </c>
      <c r="P10" s="7" t="s">
        <v>13</v>
      </c>
      <c r="Q10" s="7" t="n">
        <f aca="false">SUM(Q7:Q9)</f>
        <v>60</v>
      </c>
      <c r="R10" s="7" t="n">
        <f aca="false">SUM(R7:R9)</f>
        <v>0</v>
      </c>
      <c r="S10" s="7" t="n">
        <f aca="false">SUM(S7:S9)</f>
        <v>0</v>
      </c>
      <c r="T10" s="5"/>
      <c r="U10" s="36" t="str">
        <f aca="false">IFERROR(AVERAGE($G$7:$G$86),"")</f>
        <v/>
      </c>
      <c r="V10" s="7" t="n">
        <f aca="false">SUM(V7:V9)</f>
        <v>0</v>
      </c>
      <c r="W10" s="7" t="n">
        <f aca="false">SUM(W7:W9)</f>
        <v>0</v>
      </c>
    </row>
    <row r="11" customFormat="false" ht="15" hidden="false" customHeight="false" outlineLevel="0" collapsed="false">
      <c r="A11" s="5" t="n">
        <v>5</v>
      </c>
      <c r="B11" s="27" t="str">
        <f aca="false">IF(학생명단!B11="","",학생명단!B11)</f>
        <v/>
      </c>
      <c r="C11" s="27" t="str">
        <f aca="false">IF(학생명단!C11="","",학생명단!C11)</f>
        <v/>
      </c>
      <c r="D11" s="27" t="str">
        <f aca="false">IF(학생명단!D11="","",학생명단!D11)</f>
        <v/>
      </c>
      <c r="E11" s="27" t="str">
        <f aca="false">공수1!Y11</f>
        <v/>
      </c>
      <c r="F11" s="27" t="str">
        <f aca="false">공수2!Y11</f>
        <v/>
      </c>
      <c r="G11" s="28" t="str">
        <f aca="false">IF(AND(E11="",F11=""),"",N(E11)*설정!$C$13+N(F11)*설정!$C$14)</f>
        <v/>
      </c>
      <c r="H11" s="27" t="str">
        <f aca="false">IF(G11="","",COUNTIF($G$7:$G$86,"&gt;"&amp;G11)+1)</f>
        <v/>
      </c>
      <c r="I11" s="27" t="str">
        <f aca="false">IF(H11="","",IF(H11&lt;=설정!$C$6,설정!$B$6,IF(H11&lt;=설정!$C$6+설정!$C$7,설정!$B$7,설정!$B$8)))</f>
        <v/>
      </c>
      <c r="J11" s="29" t="str">
        <f aca="false">IF(G11="","",IF(OR(AND(ISNUMBER($T$7),ABS(G11-$T$7)&lt;=설정!$C$15),AND(ISNUMBER($T$8),ABS(G11-$T$8)&lt;=설정!$C$15)),"경계",""))</f>
        <v/>
      </c>
      <c r="K11" s="14"/>
      <c r="L11" s="26" t="str">
        <f aca="false">IF(K11&lt;&gt;"",K11,I11)</f>
        <v/>
      </c>
      <c r="M11" s="30" t="str">
        <f aca="false">IF(G11="","",IF(E11="","공수1 미응시",IF(F11="","공수2 미응시","")))</f>
        <v/>
      </c>
      <c r="N11" s="10" t="str">
        <f aca="false">IF(H11="","",H11+ROW()/100000)</f>
        <v/>
      </c>
    </row>
    <row r="12" customFormat="false" ht="15" hidden="false" customHeight="true" outlineLevel="0" collapsed="false">
      <c r="A12" s="5" t="n">
        <v>6</v>
      </c>
      <c r="B12" s="27" t="str">
        <f aca="false">IF(학생명단!B12="","",학생명단!B12)</f>
        <v/>
      </c>
      <c r="C12" s="27" t="str">
        <f aca="false">IF(학생명단!C12="","",학생명단!C12)</f>
        <v/>
      </c>
      <c r="D12" s="27" t="str">
        <f aca="false">IF(학생명단!D12="","",학생명단!D12)</f>
        <v/>
      </c>
      <c r="E12" s="27" t="str">
        <f aca="false">공수1!Y12</f>
        <v/>
      </c>
      <c r="F12" s="27" t="str">
        <f aca="false">공수2!Y12</f>
        <v/>
      </c>
      <c r="G12" s="28" t="str">
        <f aca="false">IF(AND(E12="",F12=""),"",N(E12)*설정!$C$13+N(F12)*설정!$C$14)</f>
        <v/>
      </c>
      <c r="H12" s="27" t="str">
        <f aca="false">IF(G12="","",COUNTIF($G$7:$G$86,"&gt;"&amp;G12)+1)</f>
        <v/>
      </c>
      <c r="I12" s="27" t="str">
        <f aca="false">IF(H12="","",IF(H12&lt;=설정!$C$6,설정!$B$6,IF(H12&lt;=설정!$C$6+설정!$C$7,설정!$B$7,설정!$B$8)))</f>
        <v/>
      </c>
      <c r="J12" s="29" t="str">
        <f aca="false">IF(G12="","",IF(OR(AND(ISNUMBER($T$7),ABS(G12-$T$7)&lt;=설정!$C$15),AND(ISNUMBER($T$8),ABS(G12-$T$8)&lt;=설정!$C$15)),"경계",""))</f>
        <v/>
      </c>
      <c r="K12" s="14"/>
      <c r="L12" s="26" t="str">
        <f aca="false">IF(K12&lt;&gt;"",K12,I12)</f>
        <v/>
      </c>
      <c r="M12" s="30" t="str">
        <f aca="false">IF(G12="","",IF(E12="","공수1 미응시",IF(F12="","공수2 미응시","")))</f>
        <v/>
      </c>
      <c r="N12" s="10" t="str">
        <f aca="false">IF(H12="","",H12+ROW()/100000)</f>
        <v/>
      </c>
      <c r="P12" s="16" t="s">
        <v>114</v>
      </c>
      <c r="Q12" s="16"/>
      <c r="R12" s="16"/>
      <c r="S12" s="16"/>
      <c r="T12" s="16"/>
      <c r="U12" s="16"/>
      <c r="V12" s="16"/>
      <c r="W12" s="16"/>
    </row>
    <row r="13" customFormat="false" ht="15" hidden="false" customHeight="false" outlineLevel="0" collapsed="false">
      <c r="A13" s="5" t="n">
        <v>7</v>
      </c>
      <c r="B13" s="27" t="str">
        <f aca="false">IF(학생명단!B13="","",학생명단!B13)</f>
        <v/>
      </c>
      <c r="C13" s="27" t="str">
        <f aca="false">IF(학생명단!C13="","",학생명단!C13)</f>
        <v/>
      </c>
      <c r="D13" s="27" t="str">
        <f aca="false">IF(학생명단!D13="","",학생명단!D13)</f>
        <v/>
      </c>
      <c r="E13" s="27" t="str">
        <f aca="false">공수1!Y13</f>
        <v/>
      </c>
      <c r="F13" s="27" t="str">
        <f aca="false">공수2!Y13</f>
        <v/>
      </c>
      <c r="G13" s="28" t="str">
        <f aca="false">IF(AND(E13="",F13=""),"",N(E13)*설정!$C$13+N(F13)*설정!$C$14)</f>
        <v/>
      </c>
      <c r="H13" s="27" t="str">
        <f aca="false">IF(G13="","",COUNTIF($G$7:$G$86,"&gt;"&amp;G13)+1)</f>
        <v/>
      </c>
      <c r="I13" s="27" t="str">
        <f aca="false">IF(H13="","",IF(H13&lt;=설정!$C$6,설정!$B$6,IF(H13&lt;=설정!$C$6+설정!$C$7,설정!$B$7,설정!$B$8)))</f>
        <v/>
      </c>
      <c r="J13" s="29" t="str">
        <f aca="false">IF(G13="","",IF(OR(AND(ISNUMBER($T$7),ABS(G13-$T$7)&lt;=설정!$C$15),AND(ISNUMBER($T$8),ABS(G13-$T$8)&lt;=설정!$C$15)),"경계",""))</f>
        <v/>
      </c>
      <c r="K13" s="14"/>
      <c r="L13" s="26" t="str">
        <f aca="false">IF(K13&lt;&gt;"",K13,I13)</f>
        <v/>
      </c>
      <c r="M13" s="30" t="str">
        <f aca="false">IF(G13="","",IF(E13="","공수1 미응시",IF(F13="","공수2 미응시","")))</f>
        <v/>
      </c>
      <c r="N13" s="10" t="str">
        <f aca="false">IF(H13="","",H13+ROW()/100000)</f>
        <v/>
      </c>
      <c r="P13" s="16"/>
      <c r="Q13" s="16"/>
      <c r="R13" s="16"/>
      <c r="S13" s="16"/>
      <c r="T13" s="16"/>
      <c r="U13" s="16"/>
      <c r="V13" s="16"/>
      <c r="W13" s="16"/>
    </row>
    <row r="14" customFormat="false" ht="15" hidden="false" customHeight="false" outlineLevel="0" collapsed="false">
      <c r="A14" s="5" t="n">
        <v>8</v>
      </c>
      <c r="B14" s="27" t="str">
        <f aca="false">IF(학생명단!B14="","",학생명단!B14)</f>
        <v/>
      </c>
      <c r="C14" s="27" t="str">
        <f aca="false">IF(학생명단!C14="","",학생명단!C14)</f>
        <v/>
      </c>
      <c r="D14" s="27" t="str">
        <f aca="false">IF(학생명단!D14="","",학생명단!D14)</f>
        <v/>
      </c>
      <c r="E14" s="27" t="str">
        <f aca="false">공수1!Y14</f>
        <v/>
      </c>
      <c r="F14" s="27" t="str">
        <f aca="false">공수2!Y14</f>
        <v/>
      </c>
      <c r="G14" s="28" t="str">
        <f aca="false">IF(AND(E14="",F14=""),"",N(E14)*설정!$C$13+N(F14)*설정!$C$14)</f>
        <v/>
      </c>
      <c r="H14" s="27" t="str">
        <f aca="false">IF(G14="","",COUNTIF($G$7:$G$86,"&gt;"&amp;G14)+1)</f>
        <v/>
      </c>
      <c r="I14" s="27" t="str">
        <f aca="false">IF(H14="","",IF(H14&lt;=설정!$C$6,설정!$B$6,IF(H14&lt;=설정!$C$6+설정!$C$7,설정!$B$7,설정!$B$8)))</f>
        <v/>
      </c>
      <c r="J14" s="29" t="str">
        <f aca="false">IF(G14="","",IF(OR(AND(ISNUMBER($T$7),ABS(G14-$T$7)&lt;=설정!$C$15),AND(ISNUMBER($T$8),ABS(G14-$T$8)&lt;=설정!$C$15)),"경계",""))</f>
        <v/>
      </c>
      <c r="K14" s="14"/>
      <c r="L14" s="26" t="str">
        <f aca="false">IF(K14&lt;&gt;"",K14,I14)</f>
        <v/>
      </c>
      <c r="M14" s="30" t="str">
        <f aca="false">IF(G14="","",IF(E14="","공수1 미응시",IF(F14="","공수2 미응시","")))</f>
        <v/>
      </c>
      <c r="N14" s="10" t="str">
        <f aca="false">IF(H14="","",H14+ROW()/100000)</f>
        <v/>
      </c>
      <c r="P14" s="16"/>
      <c r="Q14" s="16"/>
      <c r="R14" s="16"/>
      <c r="S14" s="16"/>
      <c r="T14" s="16"/>
      <c r="U14" s="16"/>
      <c r="V14" s="16"/>
      <c r="W14" s="16"/>
    </row>
    <row r="15" customFormat="false" ht="15" hidden="false" customHeight="false" outlineLevel="0" collapsed="false">
      <c r="A15" s="5" t="n">
        <v>9</v>
      </c>
      <c r="B15" s="27" t="str">
        <f aca="false">IF(학생명단!B15="","",학생명단!B15)</f>
        <v/>
      </c>
      <c r="C15" s="27" t="str">
        <f aca="false">IF(학생명단!C15="","",학생명단!C15)</f>
        <v/>
      </c>
      <c r="D15" s="27" t="str">
        <f aca="false">IF(학생명단!D15="","",학생명단!D15)</f>
        <v/>
      </c>
      <c r="E15" s="27" t="str">
        <f aca="false">공수1!Y15</f>
        <v/>
      </c>
      <c r="F15" s="27" t="str">
        <f aca="false">공수2!Y15</f>
        <v/>
      </c>
      <c r="G15" s="28" t="str">
        <f aca="false">IF(AND(E15="",F15=""),"",N(E15)*설정!$C$13+N(F15)*설정!$C$14)</f>
        <v/>
      </c>
      <c r="H15" s="27" t="str">
        <f aca="false">IF(G15="","",COUNTIF($G$7:$G$86,"&gt;"&amp;G15)+1)</f>
        <v/>
      </c>
      <c r="I15" s="27" t="str">
        <f aca="false">IF(H15="","",IF(H15&lt;=설정!$C$6,설정!$B$6,IF(H15&lt;=설정!$C$6+설정!$C$7,설정!$B$7,설정!$B$8)))</f>
        <v/>
      </c>
      <c r="J15" s="29" t="str">
        <f aca="false">IF(G15="","",IF(OR(AND(ISNUMBER($T$7),ABS(G15-$T$7)&lt;=설정!$C$15),AND(ISNUMBER($T$8),ABS(G15-$T$8)&lt;=설정!$C$15)),"경계",""))</f>
        <v/>
      </c>
      <c r="K15" s="14"/>
      <c r="L15" s="26" t="str">
        <f aca="false">IF(K15&lt;&gt;"",K15,I15)</f>
        <v/>
      </c>
      <c r="M15" s="30" t="str">
        <f aca="false">IF(G15="","",IF(E15="","공수1 미응시",IF(F15="","공수2 미응시","")))</f>
        <v/>
      </c>
      <c r="N15" s="10" t="str">
        <f aca="false">IF(H15="","",H15+ROW()/100000)</f>
        <v/>
      </c>
    </row>
    <row r="16" customFormat="false" ht="15" hidden="false" customHeight="false" outlineLevel="0" collapsed="false">
      <c r="A16" s="5" t="n">
        <v>10</v>
      </c>
      <c r="B16" s="27" t="str">
        <f aca="false">IF(학생명단!B16="","",학생명단!B16)</f>
        <v/>
      </c>
      <c r="C16" s="27" t="str">
        <f aca="false">IF(학생명단!C16="","",학생명단!C16)</f>
        <v/>
      </c>
      <c r="D16" s="27" t="str">
        <f aca="false">IF(학생명단!D16="","",학생명단!D16)</f>
        <v/>
      </c>
      <c r="E16" s="27" t="str">
        <f aca="false">공수1!Y16</f>
        <v/>
      </c>
      <c r="F16" s="27" t="str">
        <f aca="false">공수2!Y16</f>
        <v/>
      </c>
      <c r="G16" s="28" t="str">
        <f aca="false">IF(AND(E16="",F16=""),"",N(E16)*설정!$C$13+N(F16)*설정!$C$14)</f>
        <v/>
      </c>
      <c r="H16" s="27" t="str">
        <f aca="false">IF(G16="","",COUNTIF($G$7:$G$86,"&gt;"&amp;G16)+1)</f>
        <v/>
      </c>
      <c r="I16" s="27" t="str">
        <f aca="false">IF(H16="","",IF(H16&lt;=설정!$C$6,설정!$B$6,IF(H16&lt;=설정!$C$6+설정!$C$7,설정!$B$7,설정!$B$8)))</f>
        <v/>
      </c>
      <c r="J16" s="29" t="str">
        <f aca="false">IF(G16="","",IF(OR(AND(ISNUMBER($T$7),ABS(G16-$T$7)&lt;=설정!$C$15),AND(ISNUMBER($T$8),ABS(G16-$T$8)&lt;=설정!$C$15)),"경계",""))</f>
        <v/>
      </c>
      <c r="K16" s="14"/>
      <c r="L16" s="26" t="str">
        <f aca="false">IF(K16&lt;&gt;"",K16,I16)</f>
        <v/>
      </c>
      <c r="M16" s="30" t="str">
        <f aca="false">IF(G16="","",IF(E16="","공수1 미응시",IF(F16="","공수2 미응시","")))</f>
        <v/>
      </c>
      <c r="N16" s="10" t="str">
        <f aca="false">IF(H16="","",H16+ROW()/100000)</f>
        <v/>
      </c>
    </row>
    <row r="17" customFormat="false" ht="15" hidden="false" customHeight="false" outlineLevel="0" collapsed="false">
      <c r="A17" s="5" t="n">
        <v>11</v>
      </c>
      <c r="B17" s="27" t="str">
        <f aca="false">IF(학생명단!B17="","",학생명단!B17)</f>
        <v/>
      </c>
      <c r="C17" s="27" t="str">
        <f aca="false">IF(학생명단!C17="","",학생명단!C17)</f>
        <v/>
      </c>
      <c r="D17" s="27" t="str">
        <f aca="false">IF(학생명단!D17="","",학생명단!D17)</f>
        <v/>
      </c>
      <c r="E17" s="27" t="str">
        <f aca="false">공수1!Y17</f>
        <v/>
      </c>
      <c r="F17" s="27" t="str">
        <f aca="false">공수2!Y17</f>
        <v/>
      </c>
      <c r="G17" s="28" t="str">
        <f aca="false">IF(AND(E17="",F17=""),"",N(E17)*설정!$C$13+N(F17)*설정!$C$14)</f>
        <v/>
      </c>
      <c r="H17" s="27" t="str">
        <f aca="false">IF(G17="","",COUNTIF($G$7:$G$86,"&gt;"&amp;G17)+1)</f>
        <v/>
      </c>
      <c r="I17" s="27" t="str">
        <f aca="false">IF(H17="","",IF(H17&lt;=설정!$C$6,설정!$B$6,IF(H17&lt;=설정!$C$6+설정!$C$7,설정!$B$7,설정!$B$8)))</f>
        <v/>
      </c>
      <c r="J17" s="29" t="str">
        <f aca="false">IF(G17="","",IF(OR(AND(ISNUMBER($T$7),ABS(G17-$T$7)&lt;=설정!$C$15),AND(ISNUMBER($T$8),ABS(G17-$T$8)&lt;=설정!$C$15)),"경계",""))</f>
        <v/>
      </c>
      <c r="K17" s="14"/>
      <c r="L17" s="26" t="str">
        <f aca="false">IF(K17&lt;&gt;"",K17,I17)</f>
        <v/>
      </c>
      <c r="M17" s="30" t="str">
        <f aca="false">IF(G17="","",IF(E17="","공수1 미응시",IF(F17="","공수2 미응시","")))</f>
        <v/>
      </c>
      <c r="N17" s="10" t="str">
        <f aca="false">IF(H17="","",H17+ROW()/100000)</f>
        <v/>
      </c>
    </row>
    <row r="18" customFormat="false" ht="15" hidden="false" customHeight="false" outlineLevel="0" collapsed="false">
      <c r="A18" s="5" t="n">
        <v>12</v>
      </c>
      <c r="B18" s="27" t="str">
        <f aca="false">IF(학생명단!B18="","",학생명단!B18)</f>
        <v/>
      </c>
      <c r="C18" s="27" t="str">
        <f aca="false">IF(학생명단!C18="","",학생명단!C18)</f>
        <v/>
      </c>
      <c r="D18" s="27" t="str">
        <f aca="false">IF(학생명단!D18="","",학생명단!D18)</f>
        <v/>
      </c>
      <c r="E18" s="27" t="str">
        <f aca="false">공수1!Y18</f>
        <v/>
      </c>
      <c r="F18" s="27" t="str">
        <f aca="false">공수2!Y18</f>
        <v/>
      </c>
      <c r="G18" s="28" t="str">
        <f aca="false">IF(AND(E18="",F18=""),"",N(E18)*설정!$C$13+N(F18)*설정!$C$14)</f>
        <v/>
      </c>
      <c r="H18" s="27" t="str">
        <f aca="false">IF(G18="","",COUNTIF($G$7:$G$86,"&gt;"&amp;G18)+1)</f>
        <v/>
      </c>
      <c r="I18" s="27" t="str">
        <f aca="false">IF(H18="","",IF(H18&lt;=설정!$C$6,설정!$B$6,IF(H18&lt;=설정!$C$6+설정!$C$7,설정!$B$7,설정!$B$8)))</f>
        <v/>
      </c>
      <c r="J18" s="29" t="str">
        <f aca="false">IF(G18="","",IF(OR(AND(ISNUMBER($T$7),ABS(G18-$T$7)&lt;=설정!$C$15),AND(ISNUMBER($T$8),ABS(G18-$T$8)&lt;=설정!$C$15)),"경계",""))</f>
        <v/>
      </c>
      <c r="K18" s="14"/>
      <c r="L18" s="26" t="str">
        <f aca="false">IF(K18&lt;&gt;"",K18,I18)</f>
        <v/>
      </c>
      <c r="M18" s="30" t="str">
        <f aca="false">IF(G18="","",IF(E18="","공수1 미응시",IF(F18="","공수2 미응시","")))</f>
        <v/>
      </c>
      <c r="N18" s="10" t="str">
        <f aca="false">IF(H18="","",H18+ROW()/100000)</f>
        <v/>
      </c>
    </row>
    <row r="19" customFormat="false" ht="15" hidden="false" customHeight="false" outlineLevel="0" collapsed="false">
      <c r="A19" s="5" t="n">
        <v>13</v>
      </c>
      <c r="B19" s="27" t="str">
        <f aca="false">IF(학생명단!B19="","",학생명단!B19)</f>
        <v/>
      </c>
      <c r="C19" s="27" t="str">
        <f aca="false">IF(학생명단!C19="","",학생명단!C19)</f>
        <v/>
      </c>
      <c r="D19" s="27" t="str">
        <f aca="false">IF(학생명단!D19="","",학생명단!D19)</f>
        <v/>
      </c>
      <c r="E19" s="27" t="str">
        <f aca="false">공수1!Y19</f>
        <v/>
      </c>
      <c r="F19" s="27" t="str">
        <f aca="false">공수2!Y19</f>
        <v/>
      </c>
      <c r="G19" s="28" t="str">
        <f aca="false">IF(AND(E19="",F19=""),"",N(E19)*설정!$C$13+N(F19)*설정!$C$14)</f>
        <v/>
      </c>
      <c r="H19" s="27" t="str">
        <f aca="false">IF(G19="","",COUNTIF($G$7:$G$86,"&gt;"&amp;G19)+1)</f>
        <v/>
      </c>
      <c r="I19" s="27" t="str">
        <f aca="false">IF(H19="","",IF(H19&lt;=설정!$C$6,설정!$B$6,IF(H19&lt;=설정!$C$6+설정!$C$7,설정!$B$7,설정!$B$8)))</f>
        <v/>
      </c>
      <c r="J19" s="29" t="str">
        <f aca="false">IF(G19="","",IF(OR(AND(ISNUMBER($T$7),ABS(G19-$T$7)&lt;=설정!$C$15),AND(ISNUMBER($T$8),ABS(G19-$T$8)&lt;=설정!$C$15)),"경계",""))</f>
        <v/>
      </c>
      <c r="K19" s="14"/>
      <c r="L19" s="26" t="str">
        <f aca="false">IF(K19&lt;&gt;"",K19,I19)</f>
        <v/>
      </c>
      <c r="M19" s="30" t="str">
        <f aca="false">IF(G19="","",IF(E19="","공수1 미응시",IF(F19="","공수2 미응시","")))</f>
        <v/>
      </c>
      <c r="N19" s="10" t="str">
        <f aca="false">IF(H19="","",H19+ROW()/100000)</f>
        <v/>
      </c>
    </row>
    <row r="20" customFormat="false" ht="15" hidden="false" customHeight="false" outlineLevel="0" collapsed="false">
      <c r="A20" s="5" t="n">
        <v>14</v>
      </c>
      <c r="B20" s="27" t="str">
        <f aca="false">IF(학생명단!B20="","",학생명단!B20)</f>
        <v/>
      </c>
      <c r="C20" s="27" t="str">
        <f aca="false">IF(학생명단!C20="","",학생명단!C20)</f>
        <v/>
      </c>
      <c r="D20" s="27" t="str">
        <f aca="false">IF(학생명단!D20="","",학생명단!D20)</f>
        <v/>
      </c>
      <c r="E20" s="27" t="str">
        <f aca="false">공수1!Y20</f>
        <v/>
      </c>
      <c r="F20" s="27" t="str">
        <f aca="false">공수2!Y20</f>
        <v/>
      </c>
      <c r="G20" s="28" t="str">
        <f aca="false">IF(AND(E20="",F20=""),"",N(E20)*설정!$C$13+N(F20)*설정!$C$14)</f>
        <v/>
      </c>
      <c r="H20" s="27" t="str">
        <f aca="false">IF(G20="","",COUNTIF($G$7:$G$86,"&gt;"&amp;G20)+1)</f>
        <v/>
      </c>
      <c r="I20" s="27" t="str">
        <f aca="false">IF(H20="","",IF(H20&lt;=설정!$C$6,설정!$B$6,IF(H20&lt;=설정!$C$6+설정!$C$7,설정!$B$7,설정!$B$8)))</f>
        <v/>
      </c>
      <c r="J20" s="29" t="str">
        <f aca="false">IF(G20="","",IF(OR(AND(ISNUMBER($T$7),ABS(G20-$T$7)&lt;=설정!$C$15),AND(ISNUMBER($T$8),ABS(G20-$T$8)&lt;=설정!$C$15)),"경계",""))</f>
        <v/>
      </c>
      <c r="K20" s="14"/>
      <c r="L20" s="26" t="str">
        <f aca="false">IF(K20&lt;&gt;"",K20,I20)</f>
        <v/>
      </c>
      <c r="M20" s="30" t="str">
        <f aca="false">IF(G20="","",IF(E20="","공수1 미응시",IF(F20="","공수2 미응시","")))</f>
        <v/>
      </c>
      <c r="N20" s="10" t="str">
        <f aca="false">IF(H20="","",H20+ROW()/100000)</f>
        <v/>
      </c>
    </row>
    <row r="21" customFormat="false" ht="15" hidden="false" customHeight="false" outlineLevel="0" collapsed="false">
      <c r="A21" s="5" t="n">
        <v>15</v>
      </c>
      <c r="B21" s="27" t="str">
        <f aca="false">IF(학생명단!B21="","",학생명단!B21)</f>
        <v/>
      </c>
      <c r="C21" s="27" t="str">
        <f aca="false">IF(학생명단!C21="","",학생명단!C21)</f>
        <v/>
      </c>
      <c r="D21" s="27" t="str">
        <f aca="false">IF(학생명단!D21="","",학생명단!D21)</f>
        <v/>
      </c>
      <c r="E21" s="27" t="str">
        <f aca="false">공수1!Y21</f>
        <v/>
      </c>
      <c r="F21" s="27" t="str">
        <f aca="false">공수2!Y21</f>
        <v/>
      </c>
      <c r="G21" s="28" t="str">
        <f aca="false">IF(AND(E21="",F21=""),"",N(E21)*설정!$C$13+N(F21)*설정!$C$14)</f>
        <v/>
      </c>
      <c r="H21" s="27" t="str">
        <f aca="false">IF(G21="","",COUNTIF($G$7:$G$86,"&gt;"&amp;G21)+1)</f>
        <v/>
      </c>
      <c r="I21" s="27" t="str">
        <f aca="false">IF(H21="","",IF(H21&lt;=설정!$C$6,설정!$B$6,IF(H21&lt;=설정!$C$6+설정!$C$7,설정!$B$7,설정!$B$8)))</f>
        <v/>
      </c>
      <c r="J21" s="29" t="str">
        <f aca="false">IF(G21="","",IF(OR(AND(ISNUMBER($T$7),ABS(G21-$T$7)&lt;=설정!$C$15),AND(ISNUMBER($T$8),ABS(G21-$T$8)&lt;=설정!$C$15)),"경계",""))</f>
        <v/>
      </c>
      <c r="K21" s="14"/>
      <c r="L21" s="26" t="str">
        <f aca="false">IF(K21&lt;&gt;"",K21,I21)</f>
        <v/>
      </c>
      <c r="M21" s="30" t="str">
        <f aca="false">IF(G21="","",IF(E21="","공수1 미응시",IF(F21="","공수2 미응시","")))</f>
        <v/>
      </c>
      <c r="N21" s="10" t="str">
        <f aca="false">IF(H21="","",H21+ROW()/100000)</f>
        <v/>
      </c>
    </row>
    <row r="22" customFormat="false" ht="15" hidden="false" customHeight="false" outlineLevel="0" collapsed="false">
      <c r="A22" s="5" t="n">
        <v>16</v>
      </c>
      <c r="B22" s="27" t="str">
        <f aca="false">IF(학생명단!B22="","",학생명단!B22)</f>
        <v/>
      </c>
      <c r="C22" s="27" t="str">
        <f aca="false">IF(학생명단!C22="","",학생명단!C22)</f>
        <v/>
      </c>
      <c r="D22" s="27" t="str">
        <f aca="false">IF(학생명단!D22="","",학생명단!D22)</f>
        <v/>
      </c>
      <c r="E22" s="27" t="str">
        <f aca="false">공수1!Y22</f>
        <v/>
      </c>
      <c r="F22" s="27" t="str">
        <f aca="false">공수2!Y22</f>
        <v/>
      </c>
      <c r="G22" s="28" t="str">
        <f aca="false">IF(AND(E22="",F22=""),"",N(E22)*설정!$C$13+N(F22)*설정!$C$14)</f>
        <v/>
      </c>
      <c r="H22" s="27" t="str">
        <f aca="false">IF(G22="","",COUNTIF($G$7:$G$86,"&gt;"&amp;G22)+1)</f>
        <v/>
      </c>
      <c r="I22" s="27" t="str">
        <f aca="false">IF(H22="","",IF(H22&lt;=설정!$C$6,설정!$B$6,IF(H22&lt;=설정!$C$6+설정!$C$7,설정!$B$7,설정!$B$8)))</f>
        <v/>
      </c>
      <c r="J22" s="29" t="str">
        <f aca="false">IF(G22="","",IF(OR(AND(ISNUMBER($T$7),ABS(G22-$T$7)&lt;=설정!$C$15),AND(ISNUMBER($T$8),ABS(G22-$T$8)&lt;=설정!$C$15)),"경계",""))</f>
        <v/>
      </c>
      <c r="K22" s="14"/>
      <c r="L22" s="26" t="str">
        <f aca="false">IF(K22&lt;&gt;"",K22,I22)</f>
        <v/>
      </c>
      <c r="M22" s="30" t="str">
        <f aca="false">IF(G22="","",IF(E22="","공수1 미응시",IF(F22="","공수2 미응시","")))</f>
        <v/>
      </c>
      <c r="N22" s="10" t="str">
        <f aca="false">IF(H22="","",H22+ROW()/100000)</f>
        <v/>
      </c>
    </row>
    <row r="23" customFormat="false" ht="15" hidden="false" customHeight="false" outlineLevel="0" collapsed="false">
      <c r="A23" s="5" t="n">
        <v>17</v>
      </c>
      <c r="B23" s="27" t="str">
        <f aca="false">IF(학생명단!B23="","",학생명단!B23)</f>
        <v/>
      </c>
      <c r="C23" s="27" t="str">
        <f aca="false">IF(학생명단!C23="","",학생명단!C23)</f>
        <v/>
      </c>
      <c r="D23" s="27" t="str">
        <f aca="false">IF(학생명단!D23="","",학생명단!D23)</f>
        <v/>
      </c>
      <c r="E23" s="27" t="str">
        <f aca="false">공수1!Y23</f>
        <v/>
      </c>
      <c r="F23" s="27" t="str">
        <f aca="false">공수2!Y23</f>
        <v/>
      </c>
      <c r="G23" s="28" t="str">
        <f aca="false">IF(AND(E23="",F23=""),"",N(E23)*설정!$C$13+N(F23)*설정!$C$14)</f>
        <v/>
      </c>
      <c r="H23" s="27" t="str">
        <f aca="false">IF(G23="","",COUNTIF($G$7:$G$86,"&gt;"&amp;G23)+1)</f>
        <v/>
      </c>
      <c r="I23" s="27" t="str">
        <f aca="false">IF(H23="","",IF(H23&lt;=설정!$C$6,설정!$B$6,IF(H23&lt;=설정!$C$6+설정!$C$7,설정!$B$7,설정!$B$8)))</f>
        <v/>
      </c>
      <c r="J23" s="29" t="str">
        <f aca="false">IF(G23="","",IF(OR(AND(ISNUMBER($T$7),ABS(G23-$T$7)&lt;=설정!$C$15),AND(ISNUMBER($T$8),ABS(G23-$T$8)&lt;=설정!$C$15)),"경계",""))</f>
        <v/>
      </c>
      <c r="K23" s="14"/>
      <c r="L23" s="26" t="str">
        <f aca="false">IF(K23&lt;&gt;"",K23,I23)</f>
        <v/>
      </c>
      <c r="M23" s="30" t="str">
        <f aca="false">IF(G23="","",IF(E23="","공수1 미응시",IF(F23="","공수2 미응시","")))</f>
        <v/>
      </c>
      <c r="N23" s="10" t="str">
        <f aca="false">IF(H23="","",H23+ROW()/100000)</f>
        <v/>
      </c>
    </row>
    <row r="24" customFormat="false" ht="15" hidden="false" customHeight="false" outlineLevel="0" collapsed="false">
      <c r="A24" s="5" t="n">
        <v>18</v>
      </c>
      <c r="B24" s="27" t="str">
        <f aca="false">IF(학생명단!B24="","",학생명단!B24)</f>
        <v/>
      </c>
      <c r="C24" s="27" t="str">
        <f aca="false">IF(학생명단!C24="","",학생명단!C24)</f>
        <v/>
      </c>
      <c r="D24" s="27" t="str">
        <f aca="false">IF(학생명단!D24="","",학생명단!D24)</f>
        <v/>
      </c>
      <c r="E24" s="27" t="str">
        <f aca="false">공수1!Y24</f>
        <v/>
      </c>
      <c r="F24" s="27" t="str">
        <f aca="false">공수2!Y24</f>
        <v/>
      </c>
      <c r="G24" s="28" t="str">
        <f aca="false">IF(AND(E24="",F24=""),"",N(E24)*설정!$C$13+N(F24)*설정!$C$14)</f>
        <v/>
      </c>
      <c r="H24" s="27" t="str">
        <f aca="false">IF(G24="","",COUNTIF($G$7:$G$86,"&gt;"&amp;G24)+1)</f>
        <v/>
      </c>
      <c r="I24" s="27" t="str">
        <f aca="false">IF(H24="","",IF(H24&lt;=설정!$C$6,설정!$B$6,IF(H24&lt;=설정!$C$6+설정!$C$7,설정!$B$7,설정!$B$8)))</f>
        <v/>
      </c>
      <c r="J24" s="29" t="str">
        <f aca="false">IF(G24="","",IF(OR(AND(ISNUMBER($T$7),ABS(G24-$T$7)&lt;=설정!$C$15),AND(ISNUMBER($T$8),ABS(G24-$T$8)&lt;=설정!$C$15)),"경계",""))</f>
        <v/>
      </c>
      <c r="K24" s="14"/>
      <c r="L24" s="26" t="str">
        <f aca="false">IF(K24&lt;&gt;"",K24,I24)</f>
        <v/>
      </c>
      <c r="M24" s="30" t="str">
        <f aca="false">IF(G24="","",IF(E24="","공수1 미응시",IF(F24="","공수2 미응시","")))</f>
        <v/>
      </c>
      <c r="N24" s="10" t="str">
        <f aca="false">IF(H24="","",H24+ROW()/100000)</f>
        <v/>
      </c>
    </row>
    <row r="25" customFormat="false" ht="15" hidden="false" customHeight="false" outlineLevel="0" collapsed="false">
      <c r="A25" s="5" t="n">
        <v>19</v>
      </c>
      <c r="B25" s="27" t="str">
        <f aca="false">IF(학생명단!B25="","",학생명단!B25)</f>
        <v/>
      </c>
      <c r="C25" s="27" t="str">
        <f aca="false">IF(학생명단!C25="","",학생명단!C25)</f>
        <v/>
      </c>
      <c r="D25" s="27" t="str">
        <f aca="false">IF(학생명단!D25="","",학생명단!D25)</f>
        <v/>
      </c>
      <c r="E25" s="27" t="str">
        <f aca="false">공수1!Y25</f>
        <v/>
      </c>
      <c r="F25" s="27" t="str">
        <f aca="false">공수2!Y25</f>
        <v/>
      </c>
      <c r="G25" s="28" t="str">
        <f aca="false">IF(AND(E25="",F25=""),"",N(E25)*설정!$C$13+N(F25)*설정!$C$14)</f>
        <v/>
      </c>
      <c r="H25" s="27" t="str">
        <f aca="false">IF(G25="","",COUNTIF($G$7:$G$86,"&gt;"&amp;G25)+1)</f>
        <v/>
      </c>
      <c r="I25" s="27" t="str">
        <f aca="false">IF(H25="","",IF(H25&lt;=설정!$C$6,설정!$B$6,IF(H25&lt;=설정!$C$6+설정!$C$7,설정!$B$7,설정!$B$8)))</f>
        <v/>
      </c>
      <c r="J25" s="29" t="str">
        <f aca="false">IF(G25="","",IF(OR(AND(ISNUMBER($T$7),ABS(G25-$T$7)&lt;=설정!$C$15),AND(ISNUMBER($T$8),ABS(G25-$T$8)&lt;=설정!$C$15)),"경계",""))</f>
        <v/>
      </c>
      <c r="K25" s="14"/>
      <c r="L25" s="26" t="str">
        <f aca="false">IF(K25&lt;&gt;"",K25,I25)</f>
        <v/>
      </c>
      <c r="M25" s="30" t="str">
        <f aca="false">IF(G25="","",IF(E25="","공수1 미응시",IF(F25="","공수2 미응시","")))</f>
        <v/>
      </c>
      <c r="N25" s="10" t="str">
        <f aca="false">IF(H25="","",H25+ROW()/100000)</f>
        <v/>
      </c>
    </row>
    <row r="26" customFormat="false" ht="15" hidden="false" customHeight="false" outlineLevel="0" collapsed="false">
      <c r="A26" s="5" t="n">
        <v>20</v>
      </c>
      <c r="B26" s="27" t="str">
        <f aca="false">IF(학생명단!B26="","",학생명단!B26)</f>
        <v/>
      </c>
      <c r="C26" s="27" t="str">
        <f aca="false">IF(학생명단!C26="","",학생명단!C26)</f>
        <v/>
      </c>
      <c r="D26" s="27" t="str">
        <f aca="false">IF(학생명단!D26="","",학생명단!D26)</f>
        <v/>
      </c>
      <c r="E26" s="27" t="str">
        <f aca="false">공수1!Y26</f>
        <v/>
      </c>
      <c r="F26" s="27" t="str">
        <f aca="false">공수2!Y26</f>
        <v/>
      </c>
      <c r="G26" s="28" t="str">
        <f aca="false">IF(AND(E26="",F26=""),"",N(E26)*설정!$C$13+N(F26)*설정!$C$14)</f>
        <v/>
      </c>
      <c r="H26" s="27" t="str">
        <f aca="false">IF(G26="","",COUNTIF($G$7:$G$86,"&gt;"&amp;G26)+1)</f>
        <v/>
      </c>
      <c r="I26" s="27" t="str">
        <f aca="false">IF(H26="","",IF(H26&lt;=설정!$C$6,설정!$B$6,IF(H26&lt;=설정!$C$6+설정!$C$7,설정!$B$7,설정!$B$8)))</f>
        <v/>
      </c>
      <c r="J26" s="29" t="str">
        <f aca="false">IF(G26="","",IF(OR(AND(ISNUMBER($T$7),ABS(G26-$T$7)&lt;=설정!$C$15),AND(ISNUMBER($T$8),ABS(G26-$T$8)&lt;=설정!$C$15)),"경계",""))</f>
        <v/>
      </c>
      <c r="K26" s="14"/>
      <c r="L26" s="26" t="str">
        <f aca="false">IF(K26&lt;&gt;"",K26,I26)</f>
        <v/>
      </c>
      <c r="M26" s="30" t="str">
        <f aca="false">IF(G26="","",IF(E26="","공수1 미응시",IF(F26="","공수2 미응시","")))</f>
        <v/>
      </c>
      <c r="N26" s="10" t="str">
        <f aca="false">IF(H26="","",H26+ROW()/100000)</f>
        <v/>
      </c>
    </row>
    <row r="27" customFormat="false" ht="15" hidden="false" customHeight="false" outlineLevel="0" collapsed="false">
      <c r="A27" s="5" t="n">
        <v>21</v>
      </c>
      <c r="B27" s="27" t="str">
        <f aca="false">IF(학생명단!B27="","",학생명단!B27)</f>
        <v/>
      </c>
      <c r="C27" s="27" t="str">
        <f aca="false">IF(학생명단!C27="","",학생명단!C27)</f>
        <v/>
      </c>
      <c r="D27" s="27" t="str">
        <f aca="false">IF(학생명단!D27="","",학생명단!D27)</f>
        <v/>
      </c>
      <c r="E27" s="27" t="str">
        <f aca="false">공수1!Y27</f>
        <v/>
      </c>
      <c r="F27" s="27" t="str">
        <f aca="false">공수2!Y27</f>
        <v/>
      </c>
      <c r="G27" s="28" t="str">
        <f aca="false">IF(AND(E27="",F27=""),"",N(E27)*설정!$C$13+N(F27)*설정!$C$14)</f>
        <v/>
      </c>
      <c r="H27" s="27" t="str">
        <f aca="false">IF(G27="","",COUNTIF($G$7:$G$86,"&gt;"&amp;G27)+1)</f>
        <v/>
      </c>
      <c r="I27" s="27" t="str">
        <f aca="false">IF(H27="","",IF(H27&lt;=설정!$C$6,설정!$B$6,IF(H27&lt;=설정!$C$6+설정!$C$7,설정!$B$7,설정!$B$8)))</f>
        <v/>
      </c>
      <c r="J27" s="29" t="str">
        <f aca="false">IF(G27="","",IF(OR(AND(ISNUMBER($T$7),ABS(G27-$T$7)&lt;=설정!$C$15),AND(ISNUMBER($T$8),ABS(G27-$T$8)&lt;=설정!$C$15)),"경계",""))</f>
        <v/>
      </c>
      <c r="K27" s="14"/>
      <c r="L27" s="26" t="str">
        <f aca="false">IF(K27&lt;&gt;"",K27,I27)</f>
        <v/>
      </c>
      <c r="M27" s="30" t="str">
        <f aca="false">IF(G27="","",IF(E27="","공수1 미응시",IF(F27="","공수2 미응시","")))</f>
        <v/>
      </c>
      <c r="N27" s="10" t="str">
        <f aca="false">IF(H27="","",H27+ROW()/100000)</f>
        <v/>
      </c>
    </row>
    <row r="28" customFormat="false" ht="15" hidden="false" customHeight="false" outlineLevel="0" collapsed="false">
      <c r="A28" s="5" t="n">
        <v>22</v>
      </c>
      <c r="B28" s="27" t="str">
        <f aca="false">IF(학생명단!B28="","",학생명단!B28)</f>
        <v/>
      </c>
      <c r="C28" s="27" t="str">
        <f aca="false">IF(학생명단!C28="","",학생명단!C28)</f>
        <v/>
      </c>
      <c r="D28" s="27" t="str">
        <f aca="false">IF(학생명단!D28="","",학생명단!D28)</f>
        <v/>
      </c>
      <c r="E28" s="27" t="str">
        <f aca="false">공수1!Y28</f>
        <v/>
      </c>
      <c r="F28" s="27" t="str">
        <f aca="false">공수2!Y28</f>
        <v/>
      </c>
      <c r="G28" s="28" t="str">
        <f aca="false">IF(AND(E28="",F28=""),"",N(E28)*설정!$C$13+N(F28)*설정!$C$14)</f>
        <v/>
      </c>
      <c r="H28" s="27" t="str">
        <f aca="false">IF(G28="","",COUNTIF($G$7:$G$86,"&gt;"&amp;G28)+1)</f>
        <v/>
      </c>
      <c r="I28" s="27" t="str">
        <f aca="false">IF(H28="","",IF(H28&lt;=설정!$C$6,설정!$B$6,IF(H28&lt;=설정!$C$6+설정!$C$7,설정!$B$7,설정!$B$8)))</f>
        <v/>
      </c>
      <c r="J28" s="29" t="str">
        <f aca="false">IF(G28="","",IF(OR(AND(ISNUMBER($T$7),ABS(G28-$T$7)&lt;=설정!$C$15),AND(ISNUMBER($T$8),ABS(G28-$T$8)&lt;=설정!$C$15)),"경계",""))</f>
        <v/>
      </c>
      <c r="K28" s="14"/>
      <c r="L28" s="26" t="str">
        <f aca="false">IF(K28&lt;&gt;"",K28,I28)</f>
        <v/>
      </c>
      <c r="M28" s="30" t="str">
        <f aca="false">IF(G28="","",IF(E28="","공수1 미응시",IF(F28="","공수2 미응시","")))</f>
        <v/>
      </c>
      <c r="N28" s="10" t="str">
        <f aca="false">IF(H28="","",H28+ROW()/100000)</f>
        <v/>
      </c>
    </row>
    <row r="29" customFormat="false" ht="15" hidden="false" customHeight="false" outlineLevel="0" collapsed="false">
      <c r="A29" s="5" t="n">
        <v>23</v>
      </c>
      <c r="B29" s="27" t="str">
        <f aca="false">IF(학생명단!B29="","",학생명단!B29)</f>
        <v/>
      </c>
      <c r="C29" s="27" t="str">
        <f aca="false">IF(학생명단!C29="","",학생명단!C29)</f>
        <v/>
      </c>
      <c r="D29" s="27" t="str">
        <f aca="false">IF(학생명단!D29="","",학생명단!D29)</f>
        <v/>
      </c>
      <c r="E29" s="27" t="str">
        <f aca="false">공수1!Y29</f>
        <v/>
      </c>
      <c r="F29" s="27" t="str">
        <f aca="false">공수2!Y29</f>
        <v/>
      </c>
      <c r="G29" s="28" t="str">
        <f aca="false">IF(AND(E29="",F29=""),"",N(E29)*설정!$C$13+N(F29)*설정!$C$14)</f>
        <v/>
      </c>
      <c r="H29" s="27" t="str">
        <f aca="false">IF(G29="","",COUNTIF($G$7:$G$86,"&gt;"&amp;G29)+1)</f>
        <v/>
      </c>
      <c r="I29" s="27" t="str">
        <f aca="false">IF(H29="","",IF(H29&lt;=설정!$C$6,설정!$B$6,IF(H29&lt;=설정!$C$6+설정!$C$7,설정!$B$7,설정!$B$8)))</f>
        <v/>
      </c>
      <c r="J29" s="29" t="str">
        <f aca="false">IF(G29="","",IF(OR(AND(ISNUMBER($T$7),ABS(G29-$T$7)&lt;=설정!$C$15),AND(ISNUMBER($T$8),ABS(G29-$T$8)&lt;=설정!$C$15)),"경계",""))</f>
        <v/>
      </c>
      <c r="K29" s="14"/>
      <c r="L29" s="26" t="str">
        <f aca="false">IF(K29&lt;&gt;"",K29,I29)</f>
        <v/>
      </c>
      <c r="M29" s="30" t="str">
        <f aca="false">IF(G29="","",IF(E29="","공수1 미응시",IF(F29="","공수2 미응시","")))</f>
        <v/>
      </c>
      <c r="N29" s="10" t="str">
        <f aca="false">IF(H29="","",H29+ROW()/100000)</f>
        <v/>
      </c>
    </row>
    <row r="30" customFormat="false" ht="15" hidden="false" customHeight="false" outlineLevel="0" collapsed="false">
      <c r="A30" s="5" t="n">
        <v>24</v>
      </c>
      <c r="B30" s="27" t="str">
        <f aca="false">IF(학생명단!B30="","",학생명단!B30)</f>
        <v/>
      </c>
      <c r="C30" s="27" t="str">
        <f aca="false">IF(학생명단!C30="","",학생명단!C30)</f>
        <v/>
      </c>
      <c r="D30" s="27" t="str">
        <f aca="false">IF(학생명단!D30="","",학생명단!D30)</f>
        <v/>
      </c>
      <c r="E30" s="27" t="str">
        <f aca="false">공수1!Y30</f>
        <v/>
      </c>
      <c r="F30" s="27" t="str">
        <f aca="false">공수2!Y30</f>
        <v/>
      </c>
      <c r="G30" s="28" t="str">
        <f aca="false">IF(AND(E30="",F30=""),"",N(E30)*설정!$C$13+N(F30)*설정!$C$14)</f>
        <v/>
      </c>
      <c r="H30" s="27" t="str">
        <f aca="false">IF(G30="","",COUNTIF($G$7:$G$86,"&gt;"&amp;G30)+1)</f>
        <v/>
      </c>
      <c r="I30" s="27" t="str">
        <f aca="false">IF(H30="","",IF(H30&lt;=설정!$C$6,설정!$B$6,IF(H30&lt;=설정!$C$6+설정!$C$7,설정!$B$7,설정!$B$8)))</f>
        <v/>
      </c>
      <c r="J30" s="29" t="str">
        <f aca="false">IF(G30="","",IF(OR(AND(ISNUMBER($T$7),ABS(G30-$T$7)&lt;=설정!$C$15),AND(ISNUMBER($T$8),ABS(G30-$T$8)&lt;=설정!$C$15)),"경계",""))</f>
        <v/>
      </c>
      <c r="K30" s="14"/>
      <c r="L30" s="26" t="str">
        <f aca="false">IF(K30&lt;&gt;"",K30,I30)</f>
        <v/>
      </c>
      <c r="M30" s="30" t="str">
        <f aca="false">IF(G30="","",IF(E30="","공수1 미응시",IF(F30="","공수2 미응시","")))</f>
        <v/>
      </c>
      <c r="N30" s="10" t="str">
        <f aca="false">IF(H30="","",H30+ROW()/100000)</f>
        <v/>
      </c>
    </row>
    <row r="31" customFormat="false" ht="15" hidden="false" customHeight="false" outlineLevel="0" collapsed="false">
      <c r="A31" s="5" t="n">
        <v>25</v>
      </c>
      <c r="B31" s="27" t="str">
        <f aca="false">IF(학생명단!B31="","",학생명단!B31)</f>
        <v/>
      </c>
      <c r="C31" s="27" t="str">
        <f aca="false">IF(학생명단!C31="","",학생명단!C31)</f>
        <v/>
      </c>
      <c r="D31" s="27" t="str">
        <f aca="false">IF(학생명단!D31="","",학생명단!D31)</f>
        <v/>
      </c>
      <c r="E31" s="27" t="str">
        <f aca="false">공수1!Y31</f>
        <v/>
      </c>
      <c r="F31" s="27" t="str">
        <f aca="false">공수2!Y31</f>
        <v/>
      </c>
      <c r="G31" s="28" t="str">
        <f aca="false">IF(AND(E31="",F31=""),"",N(E31)*설정!$C$13+N(F31)*설정!$C$14)</f>
        <v/>
      </c>
      <c r="H31" s="27" t="str">
        <f aca="false">IF(G31="","",COUNTIF($G$7:$G$86,"&gt;"&amp;G31)+1)</f>
        <v/>
      </c>
      <c r="I31" s="27" t="str">
        <f aca="false">IF(H31="","",IF(H31&lt;=설정!$C$6,설정!$B$6,IF(H31&lt;=설정!$C$6+설정!$C$7,설정!$B$7,설정!$B$8)))</f>
        <v/>
      </c>
      <c r="J31" s="29" t="str">
        <f aca="false">IF(G31="","",IF(OR(AND(ISNUMBER($T$7),ABS(G31-$T$7)&lt;=설정!$C$15),AND(ISNUMBER($T$8),ABS(G31-$T$8)&lt;=설정!$C$15)),"경계",""))</f>
        <v/>
      </c>
      <c r="K31" s="14"/>
      <c r="L31" s="26" t="str">
        <f aca="false">IF(K31&lt;&gt;"",K31,I31)</f>
        <v/>
      </c>
      <c r="M31" s="30" t="str">
        <f aca="false">IF(G31="","",IF(E31="","공수1 미응시",IF(F31="","공수2 미응시","")))</f>
        <v/>
      </c>
      <c r="N31" s="10" t="str">
        <f aca="false">IF(H31="","",H31+ROW()/100000)</f>
        <v/>
      </c>
    </row>
    <row r="32" customFormat="false" ht="15" hidden="false" customHeight="false" outlineLevel="0" collapsed="false">
      <c r="A32" s="5" t="n">
        <v>26</v>
      </c>
      <c r="B32" s="27" t="str">
        <f aca="false">IF(학생명단!B32="","",학생명단!B32)</f>
        <v/>
      </c>
      <c r="C32" s="27" t="str">
        <f aca="false">IF(학생명단!C32="","",학생명단!C32)</f>
        <v/>
      </c>
      <c r="D32" s="27" t="str">
        <f aca="false">IF(학생명단!D32="","",학생명단!D32)</f>
        <v/>
      </c>
      <c r="E32" s="27" t="str">
        <f aca="false">공수1!Y32</f>
        <v/>
      </c>
      <c r="F32" s="27" t="str">
        <f aca="false">공수2!Y32</f>
        <v/>
      </c>
      <c r="G32" s="28" t="str">
        <f aca="false">IF(AND(E32="",F32=""),"",N(E32)*설정!$C$13+N(F32)*설정!$C$14)</f>
        <v/>
      </c>
      <c r="H32" s="27" t="str">
        <f aca="false">IF(G32="","",COUNTIF($G$7:$G$86,"&gt;"&amp;G32)+1)</f>
        <v/>
      </c>
      <c r="I32" s="27" t="str">
        <f aca="false">IF(H32="","",IF(H32&lt;=설정!$C$6,설정!$B$6,IF(H32&lt;=설정!$C$6+설정!$C$7,설정!$B$7,설정!$B$8)))</f>
        <v/>
      </c>
      <c r="J32" s="29" t="str">
        <f aca="false">IF(G32="","",IF(OR(AND(ISNUMBER($T$7),ABS(G32-$T$7)&lt;=설정!$C$15),AND(ISNUMBER($T$8),ABS(G32-$T$8)&lt;=설정!$C$15)),"경계",""))</f>
        <v/>
      </c>
      <c r="K32" s="14"/>
      <c r="L32" s="26" t="str">
        <f aca="false">IF(K32&lt;&gt;"",K32,I32)</f>
        <v/>
      </c>
      <c r="M32" s="30" t="str">
        <f aca="false">IF(G32="","",IF(E32="","공수1 미응시",IF(F32="","공수2 미응시","")))</f>
        <v/>
      </c>
      <c r="N32" s="10" t="str">
        <f aca="false">IF(H32="","",H32+ROW()/100000)</f>
        <v/>
      </c>
    </row>
    <row r="33" customFormat="false" ht="15" hidden="false" customHeight="false" outlineLevel="0" collapsed="false">
      <c r="A33" s="5" t="n">
        <v>27</v>
      </c>
      <c r="B33" s="27" t="str">
        <f aca="false">IF(학생명단!B33="","",학생명단!B33)</f>
        <v/>
      </c>
      <c r="C33" s="27" t="str">
        <f aca="false">IF(학생명단!C33="","",학생명단!C33)</f>
        <v/>
      </c>
      <c r="D33" s="27" t="str">
        <f aca="false">IF(학생명단!D33="","",학생명단!D33)</f>
        <v/>
      </c>
      <c r="E33" s="27" t="str">
        <f aca="false">공수1!Y33</f>
        <v/>
      </c>
      <c r="F33" s="27" t="str">
        <f aca="false">공수2!Y33</f>
        <v/>
      </c>
      <c r="G33" s="28" t="str">
        <f aca="false">IF(AND(E33="",F33=""),"",N(E33)*설정!$C$13+N(F33)*설정!$C$14)</f>
        <v/>
      </c>
      <c r="H33" s="27" t="str">
        <f aca="false">IF(G33="","",COUNTIF($G$7:$G$86,"&gt;"&amp;G33)+1)</f>
        <v/>
      </c>
      <c r="I33" s="27" t="str">
        <f aca="false">IF(H33="","",IF(H33&lt;=설정!$C$6,설정!$B$6,IF(H33&lt;=설정!$C$6+설정!$C$7,설정!$B$7,설정!$B$8)))</f>
        <v/>
      </c>
      <c r="J33" s="29" t="str">
        <f aca="false">IF(G33="","",IF(OR(AND(ISNUMBER($T$7),ABS(G33-$T$7)&lt;=설정!$C$15),AND(ISNUMBER($T$8),ABS(G33-$T$8)&lt;=설정!$C$15)),"경계",""))</f>
        <v/>
      </c>
      <c r="K33" s="14"/>
      <c r="L33" s="26" t="str">
        <f aca="false">IF(K33&lt;&gt;"",K33,I33)</f>
        <v/>
      </c>
      <c r="M33" s="30" t="str">
        <f aca="false">IF(G33="","",IF(E33="","공수1 미응시",IF(F33="","공수2 미응시","")))</f>
        <v/>
      </c>
      <c r="N33" s="10" t="str">
        <f aca="false">IF(H33="","",H33+ROW()/100000)</f>
        <v/>
      </c>
    </row>
    <row r="34" customFormat="false" ht="15" hidden="false" customHeight="false" outlineLevel="0" collapsed="false">
      <c r="A34" s="5" t="n">
        <v>28</v>
      </c>
      <c r="B34" s="27" t="str">
        <f aca="false">IF(학생명단!B34="","",학생명단!B34)</f>
        <v/>
      </c>
      <c r="C34" s="27" t="str">
        <f aca="false">IF(학생명단!C34="","",학생명단!C34)</f>
        <v/>
      </c>
      <c r="D34" s="27" t="str">
        <f aca="false">IF(학생명단!D34="","",학생명단!D34)</f>
        <v/>
      </c>
      <c r="E34" s="27" t="str">
        <f aca="false">공수1!Y34</f>
        <v/>
      </c>
      <c r="F34" s="27" t="str">
        <f aca="false">공수2!Y34</f>
        <v/>
      </c>
      <c r="G34" s="28" t="str">
        <f aca="false">IF(AND(E34="",F34=""),"",N(E34)*설정!$C$13+N(F34)*설정!$C$14)</f>
        <v/>
      </c>
      <c r="H34" s="27" t="str">
        <f aca="false">IF(G34="","",COUNTIF($G$7:$G$86,"&gt;"&amp;G34)+1)</f>
        <v/>
      </c>
      <c r="I34" s="27" t="str">
        <f aca="false">IF(H34="","",IF(H34&lt;=설정!$C$6,설정!$B$6,IF(H34&lt;=설정!$C$6+설정!$C$7,설정!$B$7,설정!$B$8)))</f>
        <v/>
      </c>
      <c r="J34" s="29" t="str">
        <f aca="false">IF(G34="","",IF(OR(AND(ISNUMBER($T$7),ABS(G34-$T$7)&lt;=설정!$C$15),AND(ISNUMBER($T$8),ABS(G34-$T$8)&lt;=설정!$C$15)),"경계",""))</f>
        <v/>
      </c>
      <c r="K34" s="14"/>
      <c r="L34" s="26" t="str">
        <f aca="false">IF(K34&lt;&gt;"",K34,I34)</f>
        <v/>
      </c>
      <c r="M34" s="30" t="str">
        <f aca="false">IF(G34="","",IF(E34="","공수1 미응시",IF(F34="","공수2 미응시","")))</f>
        <v/>
      </c>
      <c r="N34" s="10" t="str">
        <f aca="false">IF(H34="","",H34+ROW()/100000)</f>
        <v/>
      </c>
    </row>
    <row r="35" customFormat="false" ht="15" hidden="false" customHeight="false" outlineLevel="0" collapsed="false">
      <c r="A35" s="5" t="n">
        <v>29</v>
      </c>
      <c r="B35" s="27" t="str">
        <f aca="false">IF(학생명단!B35="","",학생명단!B35)</f>
        <v/>
      </c>
      <c r="C35" s="27" t="str">
        <f aca="false">IF(학생명단!C35="","",학생명단!C35)</f>
        <v/>
      </c>
      <c r="D35" s="27" t="str">
        <f aca="false">IF(학생명단!D35="","",학생명단!D35)</f>
        <v/>
      </c>
      <c r="E35" s="27" t="str">
        <f aca="false">공수1!Y35</f>
        <v/>
      </c>
      <c r="F35" s="27" t="str">
        <f aca="false">공수2!Y35</f>
        <v/>
      </c>
      <c r="G35" s="28" t="str">
        <f aca="false">IF(AND(E35="",F35=""),"",N(E35)*설정!$C$13+N(F35)*설정!$C$14)</f>
        <v/>
      </c>
      <c r="H35" s="27" t="str">
        <f aca="false">IF(G35="","",COUNTIF($G$7:$G$86,"&gt;"&amp;G35)+1)</f>
        <v/>
      </c>
      <c r="I35" s="27" t="str">
        <f aca="false">IF(H35="","",IF(H35&lt;=설정!$C$6,설정!$B$6,IF(H35&lt;=설정!$C$6+설정!$C$7,설정!$B$7,설정!$B$8)))</f>
        <v/>
      </c>
      <c r="J35" s="29" t="str">
        <f aca="false">IF(G35="","",IF(OR(AND(ISNUMBER($T$7),ABS(G35-$T$7)&lt;=설정!$C$15),AND(ISNUMBER($T$8),ABS(G35-$T$8)&lt;=설정!$C$15)),"경계",""))</f>
        <v/>
      </c>
      <c r="K35" s="14"/>
      <c r="L35" s="26" t="str">
        <f aca="false">IF(K35&lt;&gt;"",K35,I35)</f>
        <v/>
      </c>
      <c r="M35" s="30" t="str">
        <f aca="false">IF(G35="","",IF(E35="","공수1 미응시",IF(F35="","공수2 미응시","")))</f>
        <v/>
      </c>
      <c r="N35" s="10" t="str">
        <f aca="false">IF(H35="","",H35+ROW()/100000)</f>
        <v/>
      </c>
    </row>
    <row r="36" customFormat="false" ht="15" hidden="false" customHeight="false" outlineLevel="0" collapsed="false">
      <c r="A36" s="5" t="n">
        <v>30</v>
      </c>
      <c r="B36" s="27" t="str">
        <f aca="false">IF(학생명단!B36="","",학생명단!B36)</f>
        <v/>
      </c>
      <c r="C36" s="27" t="str">
        <f aca="false">IF(학생명단!C36="","",학생명단!C36)</f>
        <v/>
      </c>
      <c r="D36" s="27" t="str">
        <f aca="false">IF(학생명단!D36="","",학생명단!D36)</f>
        <v/>
      </c>
      <c r="E36" s="27" t="str">
        <f aca="false">공수1!Y36</f>
        <v/>
      </c>
      <c r="F36" s="27" t="str">
        <f aca="false">공수2!Y36</f>
        <v/>
      </c>
      <c r="G36" s="28" t="str">
        <f aca="false">IF(AND(E36="",F36=""),"",N(E36)*설정!$C$13+N(F36)*설정!$C$14)</f>
        <v/>
      </c>
      <c r="H36" s="27" t="str">
        <f aca="false">IF(G36="","",COUNTIF($G$7:$G$86,"&gt;"&amp;G36)+1)</f>
        <v/>
      </c>
      <c r="I36" s="27" t="str">
        <f aca="false">IF(H36="","",IF(H36&lt;=설정!$C$6,설정!$B$6,IF(H36&lt;=설정!$C$6+설정!$C$7,설정!$B$7,설정!$B$8)))</f>
        <v/>
      </c>
      <c r="J36" s="29" t="str">
        <f aca="false">IF(G36="","",IF(OR(AND(ISNUMBER($T$7),ABS(G36-$T$7)&lt;=설정!$C$15),AND(ISNUMBER($T$8),ABS(G36-$T$8)&lt;=설정!$C$15)),"경계",""))</f>
        <v/>
      </c>
      <c r="K36" s="14"/>
      <c r="L36" s="26" t="str">
        <f aca="false">IF(K36&lt;&gt;"",K36,I36)</f>
        <v/>
      </c>
      <c r="M36" s="30" t="str">
        <f aca="false">IF(G36="","",IF(E36="","공수1 미응시",IF(F36="","공수2 미응시","")))</f>
        <v/>
      </c>
      <c r="N36" s="10" t="str">
        <f aca="false">IF(H36="","",H36+ROW()/100000)</f>
        <v/>
      </c>
    </row>
    <row r="37" customFormat="false" ht="15" hidden="false" customHeight="false" outlineLevel="0" collapsed="false">
      <c r="A37" s="5" t="n">
        <v>31</v>
      </c>
      <c r="B37" s="27" t="str">
        <f aca="false">IF(학생명단!B37="","",학생명단!B37)</f>
        <v/>
      </c>
      <c r="C37" s="27" t="str">
        <f aca="false">IF(학생명단!C37="","",학생명단!C37)</f>
        <v/>
      </c>
      <c r="D37" s="27" t="str">
        <f aca="false">IF(학생명단!D37="","",학생명단!D37)</f>
        <v/>
      </c>
      <c r="E37" s="27" t="str">
        <f aca="false">공수1!Y37</f>
        <v/>
      </c>
      <c r="F37" s="27" t="str">
        <f aca="false">공수2!Y37</f>
        <v/>
      </c>
      <c r="G37" s="28" t="str">
        <f aca="false">IF(AND(E37="",F37=""),"",N(E37)*설정!$C$13+N(F37)*설정!$C$14)</f>
        <v/>
      </c>
      <c r="H37" s="27" t="str">
        <f aca="false">IF(G37="","",COUNTIF($G$7:$G$86,"&gt;"&amp;G37)+1)</f>
        <v/>
      </c>
      <c r="I37" s="27" t="str">
        <f aca="false">IF(H37="","",IF(H37&lt;=설정!$C$6,설정!$B$6,IF(H37&lt;=설정!$C$6+설정!$C$7,설정!$B$7,설정!$B$8)))</f>
        <v/>
      </c>
      <c r="J37" s="29" t="str">
        <f aca="false">IF(G37="","",IF(OR(AND(ISNUMBER($T$7),ABS(G37-$T$7)&lt;=설정!$C$15),AND(ISNUMBER($T$8),ABS(G37-$T$8)&lt;=설정!$C$15)),"경계",""))</f>
        <v/>
      </c>
      <c r="K37" s="14"/>
      <c r="L37" s="26" t="str">
        <f aca="false">IF(K37&lt;&gt;"",K37,I37)</f>
        <v/>
      </c>
      <c r="M37" s="30" t="str">
        <f aca="false">IF(G37="","",IF(E37="","공수1 미응시",IF(F37="","공수2 미응시","")))</f>
        <v/>
      </c>
      <c r="N37" s="10" t="str">
        <f aca="false">IF(H37="","",H37+ROW()/100000)</f>
        <v/>
      </c>
    </row>
    <row r="38" customFormat="false" ht="15" hidden="false" customHeight="false" outlineLevel="0" collapsed="false">
      <c r="A38" s="5" t="n">
        <v>32</v>
      </c>
      <c r="B38" s="27" t="str">
        <f aca="false">IF(학생명단!B38="","",학생명단!B38)</f>
        <v/>
      </c>
      <c r="C38" s="27" t="str">
        <f aca="false">IF(학생명단!C38="","",학생명단!C38)</f>
        <v/>
      </c>
      <c r="D38" s="27" t="str">
        <f aca="false">IF(학생명단!D38="","",학생명단!D38)</f>
        <v/>
      </c>
      <c r="E38" s="27" t="str">
        <f aca="false">공수1!Y38</f>
        <v/>
      </c>
      <c r="F38" s="27" t="str">
        <f aca="false">공수2!Y38</f>
        <v/>
      </c>
      <c r="G38" s="28" t="str">
        <f aca="false">IF(AND(E38="",F38=""),"",N(E38)*설정!$C$13+N(F38)*설정!$C$14)</f>
        <v/>
      </c>
      <c r="H38" s="27" t="str">
        <f aca="false">IF(G38="","",COUNTIF($G$7:$G$86,"&gt;"&amp;G38)+1)</f>
        <v/>
      </c>
      <c r="I38" s="27" t="str">
        <f aca="false">IF(H38="","",IF(H38&lt;=설정!$C$6,설정!$B$6,IF(H38&lt;=설정!$C$6+설정!$C$7,설정!$B$7,설정!$B$8)))</f>
        <v/>
      </c>
      <c r="J38" s="29" t="str">
        <f aca="false">IF(G38="","",IF(OR(AND(ISNUMBER($T$7),ABS(G38-$T$7)&lt;=설정!$C$15),AND(ISNUMBER($T$8),ABS(G38-$T$8)&lt;=설정!$C$15)),"경계",""))</f>
        <v/>
      </c>
      <c r="K38" s="14"/>
      <c r="L38" s="26" t="str">
        <f aca="false">IF(K38&lt;&gt;"",K38,I38)</f>
        <v/>
      </c>
      <c r="M38" s="30" t="str">
        <f aca="false">IF(G38="","",IF(E38="","공수1 미응시",IF(F38="","공수2 미응시","")))</f>
        <v/>
      </c>
      <c r="N38" s="10" t="str">
        <f aca="false">IF(H38="","",H38+ROW()/100000)</f>
        <v/>
      </c>
    </row>
    <row r="39" customFormat="false" ht="15" hidden="false" customHeight="false" outlineLevel="0" collapsed="false">
      <c r="A39" s="5" t="n">
        <v>33</v>
      </c>
      <c r="B39" s="27" t="str">
        <f aca="false">IF(학생명단!B39="","",학생명단!B39)</f>
        <v/>
      </c>
      <c r="C39" s="27" t="str">
        <f aca="false">IF(학생명단!C39="","",학생명단!C39)</f>
        <v/>
      </c>
      <c r="D39" s="27" t="str">
        <f aca="false">IF(학생명단!D39="","",학생명단!D39)</f>
        <v/>
      </c>
      <c r="E39" s="27" t="str">
        <f aca="false">공수1!Y39</f>
        <v/>
      </c>
      <c r="F39" s="27" t="str">
        <f aca="false">공수2!Y39</f>
        <v/>
      </c>
      <c r="G39" s="28" t="str">
        <f aca="false">IF(AND(E39="",F39=""),"",N(E39)*설정!$C$13+N(F39)*설정!$C$14)</f>
        <v/>
      </c>
      <c r="H39" s="27" t="str">
        <f aca="false">IF(G39="","",COUNTIF($G$7:$G$86,"&gt;"&amp;G39)+1)</f>
        <v/>
      </c>
      <c r="I39" s="27" t="str">
        <f aca="false">IF(H39="","",IF(H39&lt;=설정!$C$6,설정!$B$6,IF(H39&lt;=설정!$C$6+설정!$C$7,설정!$B$7,설정!$B$8)))</f>
        <v/>
      </c>
      <c r="J39" s="29" t="str">
        <f aca="false">IF(G39="","",IF(OR(AND(ISNUMBER($T$7),ABS(G39-$T$7)&lt;=설정!$C$15),AND(ISNUMBER($T$8),ABS(G39-$T$8)&lt;=설정!$C$15)),"경계",""))</f>
        <v/>
      </c>
      <c r="K39" s="14"/>
      <c r="L39" s="26" t="str">
        <f aca="false">IF(K39&lt;&gt;"",K39,I39)</f>
        <v/>
      </c>
      <c r="M39" s="30" t="str">
        <f aca="false">IF(G39="","",IF(E39="","공수1 미응시",IF(F39="","공수2 미응시","")))</f>
        <v/>
      </c>
      <c r="N39" s="10" t="str">
        <f aca="false">IF(H39="","",H39+ROW()/100000)</f>
        <v/>
      </c>
    </row>
    <row r="40" customFormat="false" ht="15" hidden="false" customHeight="false" outlineLevel="0" collapsed="false">
      <c r="A40" s="5" t="n">
        <v>34</v>
      </c>
      <c r="B40" s="27" t="str">
        <f aca="false">IF(학생명단!B40="","",학생명단!B40)</f>
        <v/>
      </c>
      <c r="C40" s="27" t="str">
        <f aca="false">IF(학생명단!C40="","",학생명단!C40)</f>
        <v/>
      </c>
      <c r="D40" s="27" t="str">
        <f aca="false">IF(학생명단!D40="","",학생명단!D40)</f>
        <v/>
      </c>
      <c r="E40" s="27" t="str">
        <f aca="false">공수1!Y40</f>
        <v/>
      </c>
      <c r="F40" s="27" t="str">
        <f aca="false">공수2!Y40</f>
        <v/>
      </c>
      <c r="G40" s="28" t="str">
        <f aca="false">IF(AND(E40="",F40=""),"",N(E40)*설정!$C$13+N(F40)*설정!$C$14)</f>
        <v/>
      </c>
      <c r="H40" s="27" t="str">
        <f aca="false">IF(G40="","",COUNTIF($G$7:$G$86,"&gt;"&amp;G40)+1)</f>
        <v/>
      </c>
      <c r="I40" s="27" t="str">
        <f aca="false">IF(H40="","",IF(H40&lt;=설정!$C$6,설정!$B$6,IF(H40&lt;=설정!$C$6+설정!$C$7,설정!$B$7,설정!$B$8)))</f>
        <v/>
      </c>
      <c r="J40" s="29" t="str">
        <f aca="false">IF(G40="","",IF(OR(AND(ISNUMBER($T$7),ABS(G40-$T$7)&lt;=설정!$C$15),AND(ISNUMBER($T$8),ABS(G40-$T$8)&lt;=설정!$C$15)),"경계",""))</f>
        <v/>
      </c>
      <c r="K40" s="14"/>
      <c r="L40" s="26" t="str">
        <f aca="false">IF(K40&lt;&gt;"",K40,I40)</f>
        <v/>
      </c>
      <c r="M40" s="30" t="str">
        <f aca="false">IF(G40="","",IF(E40="","공수1 미응시",IF(F40="","공수2 미응시","")))</f>
        <v/>
      </c>
      <c r="N40" s="10" t="str">
        <f aca="false">IF(H40="","",H40+ROW()/100000)</f>
        <v/>
      </c>
    </row>
    <row r="41" customFormat="false" ht="15" hidden="false" customHeight="false" outlineLevel="0" collapsed="false">
      <c r="A41" s="5" t="n">
        <v>35</v>
      </c>
      <c r="B41" s="27" t="str">
        <f aca="false">IF(학생명단!B41="","",학생명단!B41)</f>
        <v/>
      </c>
      <c r="C41" s="27" t="str">
        <f aca="false">IF(학생명단!C41="","",학생명단!C41)</f>
        <v/>
      </c>
      <c r="D41" s="27" t="str">
        <f aca="false">IF(학생명단!D41="","",학생명단!D41)</f>
        <v/>
      </c>
      <c r="E41" s="27" t="str">
        <f aca="false">공수1!Y41</f>
        <v/>
      </c>
      <c r="F41" s="27" t="str">
        <f aca="false">공수2!Y41</f>
        <v/>
      </c>
      <c r="G41" s="28" t="str">
        <f aca="false">IF(AND(E41="",F41=""),"",N(E41)*설정!$C$13+N(F41)*설정!$C$14)</f>
        <v/>
      </c>
      <c r="H41" s="27" t="str">
        <f aca="false">IF(G41="","",COUNTIF($G$7:$G$86,"&gt;"&amp;G41)+1)</f>
        <v/>
      </c>
      <c r="I41" s="27" t="str">
        <f aca="false">IF(H41="","",IF(H41&lt;=설정!$C$6,설정!$B$6,IF(H41&lt;=설정!$C$6+설정!$C$7,설정!$B$7,설정!$B$8)))</f>
        <v/>
      </c>
      <c r="J41" s="29" t="str">
        <f aca="false">IF(G41="","",IF(OR(AND(ISNUMBER($T$7),ABS(G41-$T$7)&lt;=설정!$C$15),AND(ISNUMBER($T$8),ABS(G41-$T$8)&lt;=설정!$C$15)),"경계",""))</f>
        <v/>
      </c>
      <c r="K41" s="14"/>
      <c r="L41" s="26" t="str">
        <f aca="false">IF(K41&lt;&gt;"",K41,I41)</f>
        <v/>
      </c>
      <c r="M41" s="30" t="str">
        <f aca="false">IF(G41="","",IF(E41="","공수1 미응시",IF(F41="","공수2 미응시","")))</f>
        <v/>
      </c>
      <c r="N41" s="10" t="str">
        <f aca="false">IF(H41="","",H41+ROW()/100000)</f>
        <v/>
      </c>
    </row>
    <row r="42" customFormat="false" ht="15" hidden="false" customHeight="false" outlineLevel="0" collapsed="false">
      <c r="A42" s="5" t="n">
        <v>36</v>
      </c>
      <c r="B42" s="27" t="str">
        <f aca="false">IF(학생명단!B42="","",학생명단!B42)</f>
        <v/>
      </c>
      <c r="C42" s="27" t="str">
        <f aca="false">IF(학생명단!C42="","",학생명단!C42)</f>
        <v/>
      </c>
      <c r="D42" s="27" t="str">
        <f aca="false">IF(학생명단!D42="","",학생명단!D42)</f>
        <v/>
      </c>
      <c r="E42" s="27" t="str">
        <f aca="false">공수1!Y42</f>
        <v/>
      </c>
      <c r="F42" s="27" t="str">
        <f aca="false">공수2!Y42</f>
        <v/>
      </c>
      <c r="G42" s="28" t="str">
        <f aca="false">IF(AND(E42="",F42=""),"",N(E42)*설정!$C$13+N(F42)*설정!$C$14)</f>
        <v/>
      </c>
      <c r="H42" s="27" t="str">
        <f aca="false">IF(G42="","",COUNTIF($G$7:$G$86,"&gt;"&amp;G42)+1)</f>
        <v/>
      </c>
      <c r="I42" s="27" t="str">
        <f aca="false">IF(H42="","",IF(H42&lt;=설정!$C$6,설정!$B$6,IF(H42&lt;=설정!$C$6+설정!$C$7,설정!$B$7,설정!$B$8)))</f>
        <v/>
      </c>
      <c r="J42" s="29" t="str">
        <f aca="false">IF(G42="","",IF(OR(AND(ISNUMBER($T$7),ABS(G42-$T$7)&lt;=설정!$C$15),AND(ISNUMBER($T$8),ABS(G42-$T$8)&lt;=설정!$C$15)),"경계",""))</f>
        <v/>
      </c>
      <c r="K42" s="14"/>
      <c r="L42" s="26" t="str">
        <f aca="false">IF(K42&lt;&gt;"",K42,I42)</f>
        <v/>
      </c>
      <c r="M42" s="30" t="str">
        <f aca="false">IF(G42="","",IF(E42="","공수1 미응시",IF(F42="","공수2 미응시","")))</f>
        <v/>
      </c>
      <c r="N42" s="10" t="str">
        <f aca="false">IF(H42="","",H42+ROW()/100000)</f>
        <v/>
      </c>
    </row>
    <row r="43" customFormat="false" ht="15" hidden="false" customHeight="false" outlineLevel="0" collapsed="false">
      <c r="A43" s="5" t="n">
        <v>37</v>
      </c>
      <c r="B43" s="27" t="str">
        <f aca="false">IF(학생명단!B43="","",학생명단!B43)</f>
        <v/>
      </c>
      <c r="C43" s="27" t="str">
        <f aca="false">IF(학생명단!C43="","",학생명단!C43)</f>
        <v/>
      </c>
      <c r="D43" s="27" t="str">
        <f aca="false">IF(학생명단!D43="","",학생명단!D43)</f>
        <v/>
      </c>
      <c r="E43" s="27" t="str">
        <f aca="false">공수1!Y43</f>
        <v/>
      </c>
      <c r="F43" s="27" t="str">
        <f aca="false">공수2!Y43</f>
        <v/>
      </c>
      <c r="G43" s="28" t="str">
        <f aca="false">IF(AND(E43="",F43=""),"",N(E43)*설정!$C$13+N(F43)*설정!$C$14)</f>
        <v/>
      </c>
      <c r="H43" s="27" t="str">
        <f aca="false">IF(G43="","",COUNTIF($G$7:$G$86,"&gt;"&amp;G43)+1)</f>
        <v/>
      </c>
      <c r="I43" s="27" t="str">
        <f aca="false">IF(H43="","",IF(H43&lt;=설정!$C$6,설정!$B$6,IF(H43&lt;=설정!$C$6+설정!$C$7,설정!$B$7,설정!$B$8)))</f>
        <v/>
      </c>
      <c r="J43" s="29" t="str">
        <f aca="false">IF(G43="","",IF(OR(AND(ISNUMBER($T$7),ABS(G43-$T$7)&lt;=설정!$C$15),AND(ISNUMBER($T$8),ABS(G43-$T$8)&lt;=설정!$C$15)),"경계",""))</f>
        <v/>
      </c>
      <c r="K43" s="14"/>
      <c r="L43" s="26" t="str">
        <f aca="false">IF(K43&lt;&gt;"",K43,I43)</f>
        <v/>
      </c>
      <c r="M43" s="30" t="str">
        <f aca="false">IF(G43="","",IF(E43="","공수1 미응시",IF(F43="","공수2 미응시","")))</f>
        <v/>
      </c>
      <c r="N43" s="10" t="str">
        <f aca="false">IF(H43="","",H43+ROW()/100000)</f>
        <v/>
      </c>
    </row>
    <row r="44" customFormat="false" ht="15" hidden="false" customHeight="false" outlineLevel="0" collapsed="false">
      <c r="A44" s="5" t="n">
        <v>38</v>
      </c>
      <c r="B44" s="27" t="str">
        <f aca="false">IF(학생명단!B44="","",학생명단!B44)</f>
        <v/>
      </c>
      <c r="C44" s="27" t="str">
        <f aca="false">IF(학생명단!C44="","",학생명단!C44)</f>
        <v/>
      </c>
      <c r="D44" s="27" t="str">
        <f aca="false">IF(학생명단!D44="","",학생명단!D44)</f>
        <v/>
      </c>
      <c r="E44" s="27" t="str">
        <f aca="false">공수1!Y44</f>
        <v/>
      </c>
      <c r="F44" s="27" t="str">
        <f aca="false">공수2!Y44</f>
        <v/>
      </c>
      <c r="G44" s="28" t="str">
        <f aca="false">IF(AND(E44="",F44=""),"",N(E44)*설정!$C$13+N(F44)*설정!$C$14)</f>
        <v/>
      </c>
      <c r="H44" s="27" t="str">
        <f aca="false">IF(G44="","",COUNTIF($G$7:$G$86,"&gt;"&amp;G44)+1)</f>
        <v/>
      </c>
      <c r="I44" s="27" t="str">
        <f aca="false">IF(H44="","",IF(H44&lt;=설정!$C$6,설정!$B$6,IF(H44&lt;=설정!$C$6+설정!$C$7,설정!$B$7,설정!$B$8)))</f>
        <v/>
      </c>
      <c r="J44" s="29" t="str">
        <f aca="false">IF(G44="","",IF(OR(AND(ISNUMBER($T$7),ABS(G44-$T$7)&lt;=설정!$C$15),AND(ISNUMBER($T$8),ABS(G44-$T$8)&lt;=설정!$C$15)),"경계",""))</f>
        <v/>
      </c>
      <c r="K44" s="14"/>
      <c r="L44" s="26" t="str">
        <f aca="false">IF(K44&lt;&gt;"",K44,I44)</f>
        <v/>
      </c>
      <c r="M44" s="30" t="str">
        <f aca="false">IF(G44="","",IF(E44="","공수1 미응시",IF(F44="","공수2 미응시","")))</f>
        <v/>
      </c>
      <c r="N44" s="10" t="str">
        <f aca="false">IF(H44="","",H44+ROW()/100000)</f>
        <v/>
      </c>
    </row>
    <row r="45" customFormat="false" ht="15" hidden="false" customHeight="false" outlineLevel="0" collapsed="false">
      <c r="A45" s="5" t="n">
        <v>39</v>
      </c>
      <c r="B45" s="27" t="str">
        <f aca="false">IF(학생명단!B45="","",학생명단!B45)</f>
        <v/>
      </c>
      <c r="C45" s="27" t="str">
        <f aca="false">IF(학생명단!C45="","",학생명단!C45)</f>
        <v/>
      </c>
      <c r="D45" s="27" t="str">
        <f aca="false">IF(학생명단!D45="","",학생명단!D45)</f>
        <v/>
      </c>
      <c r="E45" s="27" t="str">
        <f aca="false">공수1!Y45</f>
        <v/>
      </c>
      <c r="F45" s="27" t="str">
        <f aca="false">공수2!Y45</f>
        <v/>
      </c>
      <c r="G45" s="28" t="str">
        <f aca="false">IF(AND(E45="",F45=""),"",N(E45)*설정!$C$13+N(F45)*설정!$C$14)</f>
        <v/>
      </c>
      <c r="H45" s="27" t="str">
        <f aca="false">IF(G45="","",COUNTIF($G$7:$G$86,"&gt;"&amp;G45)+1)</f>
        <v/>
      </c>
      <c r="I45" s="27" t="str">
        <f aca="false">IF(H45="","",IF(H45&lt;=설정!$C$6,설정!$B$6,IF(H45&lt;=설정!$C$6+설정!$C$7,설정!$B$7,설정!$B$8)))</f>
        <v/>
      </c>
      <c r="J45" s="29" t="str">
        <f aca="false">IF(G45="","",IF(OR(AND(ISNUMBER($T$7),ABS(G45-$T$7)&lt;=설정!$C$15),AND(ISNUMBER($T$8),ABS(G45-$T$8)&lt;=설정!$C$15)),"경계",""))</f>
        <v/>
      </c>
      <c r="K45" s="14"/>
      <c r="L45" s="26" t="str">
        <f aca="false">IF(K45&lt;&gt;"",K45,I45)</f>
        <v/>
      </c>
      <c r="M45" s="30" t="str">
        <f aca="false">IF(G45="","",IF(E45="","공수1 미응시",IF(F45="","공수2 미응시","")))</f>
        <v/>
      </c>
      <c r="N45" s="10" t="str">
        <f aca="false">IF(H45="","",H45+ROW()/100000)</f>
        <v/>
      </c>
    </row>
    <row r="46" customFormat="false" ht="15" hidden="false" customHeight="false" outlineLevel="0" collapsed="false">
      <c r="A46" s="5" t="n">
        <v>40</v>
      </c>
      <c r="B46" s="27" t="str">
        <f aca="false">IF(학생명단!B46="","",학생명단!B46)</f>
        <v/>
      </c>
      <c r="C46" s="27" t="str">
        <f aca="false">IF(학생명단!C46="","",학생명단!C46)</f>
        <v/>
      </c>
      <c r="D46" s="27" t="str">
        <f aca="false">IF(학생명단!D46="","",학생명단!D46)</f>
        <v/>
      </c>
      <c r="E46" s="27" t="str">
        <f aca="false">공수1!Y46</f>
        <v/>
      </c>
      <c r="F46" s="27" t="str">
        <f aca="false">공수2!Y46</f>
        <v/>
      </c>
      <c r="G46" s="28" t="str">
        <f aca="false">IF(AND(E46="",F46=""),"",N(E46)*설정!$C$13+N(F46)*설정!$C$14)</f>
        <v/>
      </c>
      <c r="H46" s="27" t="str">
        <f aca="false">IF(G46="","",COUNTIF($G$7:$G$86,"&gt;"&amp;G46)+1)</f>
        <v/>
      </c>
      <c r="I46" s="27" t="str">
        <f aca="false">IF(H46="","",IF(H46&lt;=설정!$C$6,설정!$B$6,IF(H46&lt;=설정!$C$6+설정!$C$7,설정!$B$7,설정!$B$8)))</f>
        <v/>
      </c>
      <c r="J46" s="29" t="str">
        <f aca="false">IF(G46="","",IF(OR(AND(ISNUMBER($T$7),ABS(G46-$T$7)&lt;=설정!$C$15),AND(ISNUMBER($T$8),ABS(G46-$T$8)&lt;=설정!$C$15)),"경계",""))</f>
        <v/>
      </c>
      <c r="K46" s="14"/>
      <c r="L46" s="26" t="str">
        <f aca="false">IF(K46&lt;&gt;"",K46,I46)</f>
        <v/>
      </c>
      <c r="M46" s="30" t="str">
        <f aca="false">IF(G46="","",IF(E46="","공수1 미응시",IF(F46="","공수2 미응시","")))</f>
        <v/>
      </c>
      <c r="N46" s="10" t="str">
        <f aca="false">IF(H46="","",H46+ROW()/100000)</f>
        <v/>
      </c>
    </row>
    <row r="47" customFormat="false" ht="15" hidden="false" customHeight="false" outlineLevel="0" collapsed="false">
      <c r="A47" s="5" t="n">
        <v>41</v>
      </c>
      <c r="B47" s="27" t="str">
        <f aca="false">IF(학생명단!B47="","",학생명단!B47)</f>
        <v/>
      </c>
      <c r="C47" s="27" t="str">
        <f aca="false">IF(학생명단!C47="","",학생명단!C47)</f>
        <v/>
      </c>
      <c r="D47" s="27" t="str">
        <f aca="false">IF(학생명단!D47="","",학생명단!D47)</f>
        <v/>
      </c>
      <c r="E47" s="27" t="str">
        <f aca="false">공수1!Y47</f>
        <v/>
      </c>
      <c r="F47" s="27" t="str">
        <f aca="false">공수2!Y47</f>
        <v/>
      </c>
      <c r="G47" s="28" t="str">
        <f aca="false">IF(AND(E47="",F47=""),"",N(E47)*설정!$C$13+N(F47)*설정!$C$14)</f>
        <v/>
      </c>
      <c r="H47" s="27" t="str">
        <f aca="false">IF(G47="","",COUNTIF($G$7:$G$86,"&gt;"&amp;G47)+1)</f>
        <v/>
      </c>
      <c r="I47" s="27" t="str">
        <f aca="false">IF(H47="","",IF(H47&lt;=설정!$C$6,설정!$B$6,IF(H47&lt;=설정!$C$6+설정!$C$7,설정!$B$7,설정!$B$8)))</f>
        <v/>
      </c>
      <c r="J47" s="29" t="str">
        <f aca="false">IF(G47="","",IF(OR(AND(ISNUMBER($T$7),ABS(G47-$T$7)&lt;=설정!$C$15),AND(ISNUMBER($T$8),ABS(G47-$T$8)&lt;=설정!$C$15)),"경계",""))</f>
        <v/>
      </c>
      <c r="K47" s="14"/>
      <c r="L47" s="26" t="str">
        <f aca="false">IF(K47&lt;&gt;"",K47,I47)</f>
        <v/>
      </c>
      <c r="M47" s="30" t="str">
        <f aca="false">IF(G47="","",IF(E47="","공수1 미응시",IF(F47="","공수2 미응시","")))</f>
        <v/>
      </c>
      <c r="N47" s="10" t="str">
        <f aca="false">IF(H47="","",H47+ROW()/100000)</f>
        <v/>
      </c>
    </row>
    <row r="48" customFormat="false" ht="15" hidden="false" customHeight="false" outlineLevel="0" collapsed="false">
      <c r="A48" s="5" t="n">
        <v>42</v>
      </c>
      <c r="B48" s="27" t="str">
        <f aca="false">IF(학생명단!B48="","",학생명단!B48)</f>
        <v/>
      </c>
      <c r="C48" s="27" t="str">
        <f aca="false">IF(학생명단!C48="","",학생명단!C48)</f>
        <v/>
      </c>
      <c r="D48" s="27" t="str">
        <f aca="false">IF(학생명단!D48="","",학생명단!D48)</f>
        <v/>
      </c>
      <c r="E48" s="27" t="str">
        <f aca="false">공수1!Y48</f>
        <v/>
      </c>
      <c r="F48" s="27" t="str">
        <f aca="false">공수2!Y48</f>
        <v/>
      </c>
      <c r="G48" s="28" t="str">
        <f aca="false">IF(AND(E48="",F48=""),"",N(E48)*설정!$C$13+N(F48)*설정!$C$14)</f>
        <v/>
      </c>
      <c r="H48" s="27" t="str">
        <f aca="false">IF(G48="","",COUNTIF($G$7:$G$86,"&gt;"&amp;G48)+1)</f>
        <v/>
      </c>
      <c r="I48" s="27" t="str">
        <f aca="false">IF(H48="","",IF(H48&lt;=설정!$C$6,설정!$B$6,IF(H48&lt;=설정!$C$6+설정!$C$7,설정!$B$7,설정!$B$8)))</f>
        <v/>
      </c>
      <c r="J48" s="29" t="str">
        <f aca="false">IF(G48="","",IF(OR(AND(ISNUMBER($T$7),ABS(G48-$T$7)&lt;=설정!$C$15),AND(ISNUMBER($T$8),ABS(G48-$T$8)&lt;=설정!$C$15)),"경계",""))</f>
        <v/>
      </c>
      <c r="K48" s="14"/>
      <c r="L48" s="26" t="str">
        <f aca="false">IF(K48&lt;&gt;"",K48,I48)</f>
        <v/>
      </c>
      <c r="M48" s="30" t="str">
        <f aca="false">IF(G48="","",IF(E48="","공수1 미응시",IF(F48="","공수2 미응시","")))</f>
        <v/>
      </c>
      <c r="N48" s="10" t="str">
        <f aca="false">IF(H48="","",H48+ROW()/100000)</f>
        <v/>
      </c>
    </row>
    <row r="49" customFormat="false" ht="15" hidden="false" customHeight="false" outlineLevel="0" collapsed="false">
      <c r="A49" s="5" t="n">
        <v>43</v>
      </c>
      <c r="B49" s="27" t="str">
        <f aca="false">IF(학생명단!B49="","",학생명단!B49)</f>
        <v/>
      </c>
      <c r="C49" s="27" t="str">
        <f aca="false">IF(학생명단!C49="","",학생명단!C49)</f>
        <v/>
      </c>
      <c r="D49" s="27" t="str">
        <f aca="false">IF(학생명단!D49="","",학생명단!D49)</f>
        <v/>
      </c>
      <c r="E49" s="27" t="str">
        <f aca="false">공수1!Y49</f>
        <v/>
      </c>
      <c r="F49" s="27" t="str">
        <f aca="false">공수2!Y49</f>
        <v/>
      </c>
      <c r="G49" s="28" t="str">
        <f aca="false">IF(AND(E49="",F49=""),"",N(E49)*설정!$C$13+N(F49)*설정!$C$14)</f>
        <v/>
      </c>
      <c r="H49" s="27" t="str">
        <f aca="false">IF(G49="","",COUNTIF($G$7:$G$86,"&gt;"&amp;G49)+1)</f>
        <v/>
      </c>
      <c r="I49" s="27" t="str">
        <f aca="false">IF(H49="","",IF(H49&lt;=설정!$C$6,설정!$B$6,IF(H49&lt;=설정!$C$6+설정!$C$7,설정!$B$7,설정!$B$8)))</f>
        <v/>
      </c>
      <c r="J49" s="29" t="str">
        <f aca="false">IF(G49="","",IF(OR(AND(ISNUMBER($T$7),ABS(G49-$T$7)&lt;=설정!$C$15),AND(ISNUMBER($T$8),ABS(G49-$T$8)&lt;=설정!$C$15)),"경계",""))</f>
        <v/>
      </c>
      <c r="K49" s="14"/>
      <c r="L49" s="26" t="str">
        <f aca="false">IF(K49&lt;&gt;"",K49,I49)</f>
        <v/>
      </c>
      <c r="M49" s="30" t="str">
        <f aca="false">IF(G49="","",IF(E49="","공수1 미응시",IF(F49="","공수2 미응시","")))</f>
        <v/>
      </c>
      <c r="N49" s="10" t="str">
        <f aca="false">IF(H49="","",H49+ROW()/100000)</f>
        <v/>
      </c>
    </row>
    <row r="50" customFormat="false" ht="15" hidden="false" customHeight="false" outlineLevel="0" collapsed="false">
      <c r="A50" s="5" t="n">
        <v>44</v>
      </c>
      <c r="B50" s="27" t="str">
        <f aca="false">IF(학생명단!B50="","",학생명단!B50)</f>
        <v/>
      </c>
      <c r="C50" s="27" t="str">
        <f aca="false">IF(학생명단!C50="","",학생명단!C50)</f>
        <v/>
      </c>
      <c r="D50" s="27" t="str">
        <f aca="false">IF(학생명단!D50="","",학생명단!D50)</f>
        <v/>
      </c>
      <c r="E50" s="27" t="str">
        <f aca="false">공수1!Y50</f>
        <v/>
      </c>
      <c r="F50" s="27" t="str">
        <f aca="false">공수2!Y50</f>
        <v/>
      </c>
      <c r="G50" s="28" t="str">
        <f aca="false">IF(AND(E50="",F50=""),"",N(E50)*설정!$C$13+N(F50)*설정!$C$14)</f>
        <v/>
      </c>
      <c r="H50" s="27" t="str">
        <f aca="false">IF(G50="","",COUNTIF($G$7:$G$86,"&gt;"&amp;G50)+1)</f>
        <v/>
      </c>
      <c r="I50" s="27" t="str">
        <f aca="false">IF(H50="","",IF(H50&lt;=설정!$C$6,설정!$B$6,IF(H50&lt;=설정!$C$6+설정!$C$7,설정!$B$7,설정!$B$8)))</f>
        <v/>
      </c>
      <c r="J50" s="29" t="str">
        <f aca="false">IF(G50="","",IF(OR(AND(ISNUMBER($T$7),ABS(G50-$T$7)&lt;=설정!$C$15),AND(ISNUMBER($T$8),ABS(G50-$T$8)&lt;=설정!$C$15)),"경계",""))</f>
        <v/>
      </c>
      <c r="K50" s="14"/>
      <c r="L50" s="26" t="str">
        <f aca="false">IF(K50&lt;&gt;"",K50,I50)</f>
        <v/>
      </c>
      <c r="M50" s="30" t="str">
        <f aca="false">IF(G50="","",IF(E50="","공수1 미응시",IF(F50="","공수2 미응시","")))</f>
        <v/>
      </c>
      <c r="N50" s="10" t="str">
        <f aca="false">IF(H50="","",H50+ROW()/100000)</f>
        <v/>
      </c>
    </row>
    <row r="51" customFormat="false" ht="15" hidden="false" customHeight="false" outlineLevel="0" collapsed="false">
      <c r="A51" s="5" t="n">
        <v>45</v>
      </c>
      <c r="B51" s="27" t="str">
        <f aca="false">IF(학생명단!B51="","",학생명단!B51)</f>
        <v/>
      </c>
      <c r="C51" s="27" t="str">
        <f aca="false">IF(학생명단!C51="","",학생명단!C51)</f>
        <v/>
      </c>
      <c r="D51" s="27" t="str">
        <f aca="false">IF(학생명단!D51="","",학생명단!D51)</f>
        <v/>
      </c>
      <c r="E51" s="27" t="str">
        <f aca="false">공수1!Y51</f>
        <v/>
      </c>
      <c r="F51" s="27" t="str">
        <f aca="false">공수2!Y51</f>
        <v/>
      </c>
      <c r="G51" s="28" t="str">
        <f aca="false">IF(AND(E51="",F51=""),"",N(E51)*설정!$C$13+N(F51)*설정!$C$14)</f>
        <v/>
      </c>
      <c r="H51" s="27" t="str">
        <f aca="false">IF(G51="","",COUNTIF($G$7:$G$86,"&gt;"&amp;G51)+1)</f>
        <v/>
      </c>
      <c r="I51" s="27" t="str">
        <f aca="false">IF(H51="","",IF(H51&lt;=설정!$C$6,설정!$B$6,IF(H51&lt;=설정!$C$6+설정!$C$7,설정!$B$7,설정!$B$8)))</f>
        <v/>
      </c>
      <c r="J51" s="29" t="str">
        <f aca="false">IF(G51="","",IF(OR(AND(ISNUMBER($T$7),ABS(G51-$T$7)&lt;=설정!$C$15),AND(ISNUMBER($T$8),ABS(G51-$T$8)&lt;=설정!$C$15)),"경계",""))</f>
        <v/>
      </c>
      <c r="K51" s="14"/>
      <c r="L51" s="26" t="str">
        <f aca="false">IF(K51&lt;&gt;"",K51,I51)</f>
        <v/>
      </c>
      <c r="M51" s="30" t="str">
        <f aca="false">IF(G51="","",IF(E51="","공수1 미응시",IF(F51="","공수2 미응시","")))</f>
        <v/>
      </c>
      <c r="N51" s="10" t="str">
        <f aca="false">IF(H51="","",H51+ROW()/100000)</f>
        <v/>
      </c>
    </row>
    <row r="52" customFormat="false" ht="15" hidden="false" customHeight="false" outlineLevel="0" collapsed="false">
      <c r="A52" s="5" t="n">
        <v>46</v>
      </c>
      <c r="B52" s="27" t="str">
        <f aca="false">IF(학생명단!B52="","",학생명단!B52)</f>
        <v/>
      </c>
      <c r="C52" s="27" t="str">
        <f aca="false">IF(학생명단!C52="","",학생명단!C52)</f>
        <v/>
      </c>
      <c r="D52" s="27" t="str">
        <f aca="false">IF(학생명단!D52="","",학생명단!D52)</f>
        <v/>
      </c>
      <c r="E52" s="27" t="str">
        <f aca="false">공수1!Y52</f>
        <v/>
      </c>
      <c r="F52" s="27" t="str">
        <f aca="false">공수2!Y52</f>
        <v/>
      </c>
      <c r="G52" s="28" t="str">
        <f aca="false">IF(AND(E52="",F52=""),"",N(E52)*설정!$C$13+N(F52)*설정!$C$14)</f>
        <v/>
      </c>
      <c r="H52" s="27" t="str">
        <f aca="false">IF(G52="","",COUNTIF($G$7:$G$86,"&gt;"&amp;G52)+1)</f>
        <v/>
      </c>
      <c r="I52" s="27" t="str">
        <f aca="false">IF(H52="","",IF(H52&lt;=설정!$C$6,설정!$B$6,IF(H52&lt;=설정!$C$6+설정!$C$7,설정!$B$7,설정!$B$8)))</f>
        <v/>
      </c>
      <c r="J52" s="29" t="str">
        <f aca="false">IF(G52="","",IF(OR(AND(ISNUMBER($T$7),ABS(G52-$T$7)&lt;=설정!$C$15),AND(ISNUMBER($T$8),ABS(G52-$T$8)&lt;=설정!$C$15)),"경계",""))</f>
        <v/>
      </c>
      <c r="K52" s="14"/>
      <c r="L52" s="26" t="str">
        <f aca="false">IF(K52&lt;&gt;"",K52,I52)</f>
        <v/>
      </c>
      <c r="M52" s="30" t="str">
        <f aca="false">IF(G52="","",IF(E52="","공수1 미응시",IF(F52="","공수2 미응시","")))</f>
        <v/>
      </c>
      <c r="N52" s="10" t="str">
        <f aca="false">IF(H52="","",H52+ROW()/100000)</f>
        <v/>
      </c>
    </row>
    <row r="53" customFormat="false" ht="15" hidden="false" customHeight="false" outlineLevel="0" collapsed="false">
      <c r="A53" s="5" t="n">
        <v>47</v>
      </c>
      <c r="B53" s="27" t="str">
        <f aca="false">IF(학생명단!B53="","",학생명단!B53)</f>
        <v/>
      </c>
      <c r="C53" s="27" t="str">
        <f aca="false">IF(학생명단!C53="","",학생명단!C53)</f>
        <v/>
      </c>
      <c r="D53" s="27" t="str">
        <f aca="false">IF(학생명단!D53="","",학생명단!D53)</f>
        <v/>
      </c>
      <c r="E53" s="27" t="str">
        <f aca="false">공수1!Y53</f>
        <v/>
      </c>
      <c r="F53" s="27" t="str">
        <f aca="false">공수2!Y53</f>
        <v/>
      </c>
      <c r="G53" s="28" t="str">
        <f aca="false">IF(AND(E53="",F53=""),"",N(E53)*설정!$C$13+N(F53)*설정!$C$14)</f>
        <v/>
      </c>
      <c r="H53" s="27" t="str">
        <f aca="false">IF(G53="","",COUNTIF($G$7:$G$86,"&gt;"&amp;G53)+1)</f>
        <v/>
      </c>
      <c r="I53" s="27" t="str">
        <f aca="false">IF(H53="","",IF(H53&lt;=설정!$C$6,설정!$B$6,IF(H53&lt;=설정!$C$6+설정!$C$7,설정!$B$7,설정!$B$8)))</f>
        <v/>
      </c>
      <c r="J53" s="29" t="str">
        <f aca="false">IF(G53="","",IF(OR(AND(ISNUMBER($T$7),ABS(G53-$T$7)&lt;=설정!$C$15),AND(ISNUMBER($T$8),ABS(G53-$T$8)&lt;=설정!$C$15)),"경계",""))</f>
        <v/>
      </c>
      <c r="K53" s="14"/>
      <c r="L53" s="26" t="str">
        <f aca="false">IF(K53&lt;&gt;"",K53,I53)</f>
        <v/>
      </c>
      <c r="M53" s="30" t="str">
        <f aca="false">IF(G53="","",IF(E53="","공수1 미응시",IF(F53="","공수2 미응시","")))</f>
        <v/>
      </c>
      <c r="N53" s="10" t="str">
        <f aca="false">IF(H53="","",H53+ROW()/100000)</f>
        <v/>
      </c>
    </row>
    <row r="54" customFormat="false" ht="15" hidden="false" customHeight="false" outlineLevel="0" collapsed="false">
      <c r="A54" s="5" t="n">
        <v>48</v>
      </c>
      <c r="B54" s="27" t="str">
        <f aca="false">IF(학생명단!B54="","",학생명단!B54)</f>
        <v/>
      </c>
      <c r="C54" s="27" t="str">
        <f aca="false">IF(학생명단!C54="","",학생명단!C54)</f>
        <v/>
      </c>
      <c r="D54" s="27" t="str">
        <f aca="false">IF(학생명단!D54="","",학생명단!D54)</f>
        <v/>
      </c>
      <c r="E54" s="27" t="str">
        <f aca="false">공수1!Y54</f>
        <v/>
      </c>
      <c r="F54" s="27" t="str">
        <f aca="false">공수2!Y54</f>
        <v/>
      </c>
      <c r="G54" s="28" t="str">
        <f aca="false">IF(AND(E54="",F54=""),"",N(E54)*설정!$C$13+N(F54)*설정!$C$14)</f>
        <v/>
      </c>
      <c r="H54" s="27" t="str">
        <f aca="false">IF(G54="","",COUNTIF($G$7:$G$86,"&gt;"&amp;G54)+1)</f>
        <v/>
      </c>
      <c r="I54" s="27" t="str">
        <f aca="false">IF(H54="","",IF(H54&lt;=설정!$C$6,설정!$B$6,IF(H54&lt;=설정!$C$6+설정!$C$7,설정!$B$7,설정!$B$8)))</f>
        <v/>
      </c>
      <c r="J54" s="29" t="str">
        <f aca="false">IF(G54="","",IF(OR(AND(ISNUMBER($T$7),ABS(G54-$T$7)&lt;=설정!$C$15),AND(ISNUMBER($T$8),ABS(G54-$T$8)&lt;=설정!$C$15)),"경계",""))</f>
        <v/>
      </c>
      <c r="K54" s="14"/>
      <c r="L54" s="26" t="str">
        <f aca="false">IF(K54&lt;&gt;"",K54,I54)</f>
        <v/>
      </c>
      <c r="M54" s="30" t="str">
        <f aca="false">IF(G54="","",IF(E54="","공수1 미응시",IF(F54="","공수2 미응시","")))</f>
        <v/>
      </c>
      <c r="N54" s="10" t="str">
        <f aca="false">IF(H54="","",H54+ROW()/100000)</f>
        <v/>
      </c>
    </row>
    <row r="55" customFormat="false" ht="15" hidden="false" customHeight="false" outlineLevel="0" collapsed="false">
      <c r="A55" s="5" t="n">
        <v>49</v>
      </c>
      <c r="B55" s="27" t="str">
        <f aca="false">IF(학생명단!B55="","",학생명단!B55)</f>
        <v/>
      </c>
      <c r="C55" s="27" t="str">
        <f aca="false">IF(학생명단!C55="","",학생명단!C55)</f>
        <v/>
      </c>
      <c r="D55" s="27" t="str">
        <f aca="false">IF(학생명단!D55="","",학생명단!D55)</f>
        <v/>
      </c>
      <c r="E55" s="27" t="str">
        <f aca="false">공수1!Y55</f>
        <v/>
      </c>
      <c r="F55" s="27" t="str">
        <f aca="false">공수2!Y55</f>
        <v/>
      </c>
      <c r="G55" s="28" t="str">
        <f aca="false">IF(AND(E55="",F55=""),"",N(E55)*설정!$C$13+N(F55)*설정!$C$14)</f>
        <v/>
      </c>
      <c r="H55" s="27" t="str">
        <f aca="false">IF(G55="","",COUNTIF($G$7:$G$86,"&gt;"&amp;G55)+1)</f>
        <v/>
      </c>
      <c r="I55" s="27" t="str">
        <f aca="false">IF(H55="","",IF(H55&lt;=설정!$C$6,설정!$B$6,IF(H55&lt;=설정!$C$6+설정!$C$7,설정!$B$7,설정!$B$8)))</f>
        <v/>
      </c>
      <c r="J55" s="29" t="str">
        <f aca="false">IF(G55="","",IF(OR(AND(ISNUMBER($T$7),ABS(G55-$T$7)&lt;=설정!$C$15),AND(ISNUMBER($T$8),ABS(G55-$T$8)&lt;=설정!$C$15)),"경계",""))</f>
        <v/>
      </c>
      <c r="K55" s="14"/>
      <c r="L55" s="26" t="str">
        <f aca="false">IF(K55&lt;&gt;"",K55,I55)</f>
        <v/>
      </c>
      <c r="M55" s="30" t="str">
        <f aca="false">IF(G55="","",IF(E55="","공수1 미응시",IF(F55="","공수2 미응시","")))</f>
        <v/>
      </c>
      <c r="N55" s="10" t="str">
        <f aca="false">IF(H55="","",H55+ROW()/100000)</f>
        <v/>
      </c>
    </row>
    <row r="56" customFormat="false" ht="15" hidden="false" customHeight="false" outlineLevel="0" collapsed="false">
      <c r="A56" s="5" t="n">
        <v>50</v>
      </c>
      <c r="B56" s="27" t="str">
        <f aca="false">IF(학생명단!B56="","",학생명단!B56)</f>
        <v/>
      </c>
      <c r="C56" s="27" t="str">
        <f aca="false">IF(학생명단!C56="","",학생명단!C56)</f>
        <v/>
      </c>
      <c r="D56" s="27" t="str">
        <f aca="false">IF(학생명단!D56="","",학생명단!D56)</f>
        <v/>
      </c>
      <c r="E56" s="27" t="str">
        <f aca="false">공수1!Y56</f>
        <v/>
      </c>
      <c r="F56" s="27" t="str">
        <f aca="false">공수2!Y56</f>
        <v/>
      </c>
      <c r="G56" s="28" t="str">
        <f aca="false">IF(AND(E56="",F56=""),"",N(E56)*설정!$C$13+N(F56)*설정!$C$14)</f>
        <v/>
      </c>
      <c r="H56" s="27" t="str">
        <f aca="false">IF(G56="","",COUNTIF($G$7:$G$86,"&gt;"&amp;G56)+1)</f>
        <v/>
      </c>
      <c r="I56" s="27" t="str">
        <f aca="false">IF(H56="","",IF(H56&lt;=설정!$C$6,설정!$B$6,IF(H56&lt;=설정!$C$6+설정!$C$7,설정!$B$7,설정!$B$8)))</f>
        <v/>
      </c>
      <c r="J56" s="29" t="str">
        <f aca="false">IF(G56="","",IF(OR(AND(ISNUMBER($T$7),ABS(G56-$T$7)&lt;=설정!$C$15),AND(ISNUMBER($T$8),ABS(G56-$T$8)&lt;=설정!$C$15)),"경계",""))</f>
        <v/>
      </c>
      <c r="K56" s="14"/>
      <c r="L56" s="26" t="str">
        <f aca="false">IF(K56&lt;&gt;"",K56,I56)</f>
        <v/>
      </c>
      <c r="M56" s="30" t="str">
        <f aca="false">IF(G56="","",IF(E56="","공수1 미응시",IF(F56="","공수2 미응시","")))</f>
        <v/>
      </c>
      <c r="N56" s="10" t="str">
        <f aca="false">IF(H56="","",H56+ROW()/100000)</f>
        <v/>
      </c>
    </row>
    <row r="57" customFormat="false" ht="15" hidden="false" customHeight="false" outlineLevel="0" collapsed="false">
      <c r="A57" s="5" t="n">
        <v>51</v>
      </c>
      <c r="B57" s="27" t="str">
        <f aca="false">IF(학생명단!B57="","",학생명단!B57)</f>
        <v/>
      </c>
      <c r="C57" s="27" t="str">
        <f aca="false">IF(학생명단!C57="","",학생명단!C57)</f>
        <v/>
      </c>
      <c r="D57" s="27" t="str">
        <f aca="false">IF(학생명단!D57="","",학생명단!D57)</f>
        <v/>
      </c>
      <c r="E57" s="27" t="str">
        <f aca="false">공수1!Y57</f>
        <v/>
      </c>
      <c r="F57" s="27" t="str">
        <f aca="false">공수2!Y57</f>
        <v/>
      </c>
      <c r="G57" s="28" t="str">
        <f aca="false">IF(AND(E57="",F57=""),"",N(E57)*설정!$C$13+N(F57)*설정!$C$14)</f>
        <v/>
      </c>
      <c r="H57" s="27" t="str">
        <f aca="false">IF(G57="","",COUNTIF($G$7:$G$86,"&gt;"&amp;G57)+1)</f>
        <v/>
      </c>
      <c r="I57" s="27" t="str">
        <f aca="false">IF(H57="","",IF(H57&lt;=설정!$C$6,설정!$B$6,IF(H57&lt;=설정!$C$6+설정!$C$7,설정!$B$7,설정!$B$8)))</f>
        <v/>
      </c>
      <c r="J57" s="29" t="str">
        <f aca="false">IF(G57="","",IF(OR(AND(ISNUMBER($T$7),ABS(G57-$T$7)&lt;=설정!$C$15),AND(ISNUMBER($T$8),ABS(G57-$T$8)&lt;=설정!$C$15)),"경계",""))</f>
        <v/>
      </c>
      <c r="K57" s="14"/>
      <c r="L57" s="26" t="str">
        <f aca="false">IF(K57&lt;&gt;"",K57,I57)</f>
        <v/>
      </c>
      <c r="M57" s="30" t="str">
        <f aca="false">IF(G57="","",IF(E57="","공수1 미응시",IF(F57="","공수2 미응시","")))</f>
        <v/>
      </c>
      <c r="N57" s="10" t="str">
        <f aca="false">IF(H57="","",H57+ROW()/100000)</f>
        <v/>
      </c>
    </row>
    <row r="58" customFormat="false" ht="15" hidden="false" customHeight="false" outlineLevel="0" collapsed="false">
      <c r="A58" s="5" t="n">
        <v>52</v>
      </c>
      <c r="B58" s="27" t="str">
        <f aca="false">IF(학생명단!B58="","",학생명단!B58)</f>
        <v/>
      </c>
      <c r="C58" s="27" t="str">
        <f aca="false">IF(학생명단!C58="","",학생명단!C58)</f>
        <v/>
      </c>
      <c r="D58" s="27" t="str">
        <f aca="false">IF(학생명단!D58="","",학생명단!D58)</f>
        <v/>
      </c>
      <c r="E58" s="27" t="str">
        <f aca="false">공수1!Y58</f>
        <v/>
      </c>
      <c r="F58" s="27" t="str">
        <f aca="false">공수2!Y58</f>
        <v/>
      </c>
      <c r="G58" s="28" t="str">
        <f aca="false">IF(AND(E58="",F58=""),"",N(E58)*설정!$C$13+N(F58)*설정!$C$14)</f>
        <v/>
      </c>
      <c r="H58" s="27" t="str">
        <f aca="false">IF(G58="","",COUNTIF($G$7:$G$86,"&gt;"&amp;G58)+1)</f>
        <v/>
      </c>
      <c r="I58" s="27" t="str">
        <f aca="false">IF(H58="","",IF(H58&lt;=설정!$C$6,설정!$B$6,IF(H58&lt;=설정!$C$6+설정!$C$7,설정!$B$7,설정!$B$8)))</f>
        <v/>
      </c>
      <c r="J58" s="29" t="str">
        <f aca="false">IF(G58="","",IF(OR(AND(ISNUMBER($T$7),ABS(G58-$T$7)&lt;=설정!$C$15),AND(ISNUMBER($T$8),ABS(G58-$T$8)&lt;=설정!$C$15)),"경계",""))</f>
        <v/>
      </c>
      <c r="K58" s="14"/>
      <c r="L58" s="26" t="str">
        <f aca="false">IF(K58&lt;&gt;"",K58,I58)</f>
        <v/>
      </c>
      <c r="M58" s="30" t="str">
        <f aca="false">IF(G58="","",IF(E58="","공수1 미응시",IF(F58="","공수2 미응시","")))</f>
        <v/>
      </c>
      <c r="N58" s="10" t="str">
        <f aca="false">IF(H58="","",H58+ROW()/100000)</f>
        <v/>
      </c>
    </row>
    <row r="59" customFormat="false" ht="15" hidden="false" customHeight="false" outlineLevel="0" collapsed="false">
      <c r="A59" s="5" t="n">
        <v>53</v>
      </c>
      <c r="B59" s="27" t="str">
        <f aca="false">IF(학생명단!B59="","",학생명단!B59)</f>
        <v/>
      </c>
      <c r="C59" s="27" t="str">
        <f aca="false">IF(학생명단!C59="","",학생명단!C59)</f>
        <v/>
      </c>
      <c r="D59" s="27" t="str">
        <f aca="false">IF(학생명단!D59="","",학생명단!D59)</f>
        <v/>
      </c>
      <c r="E59" s="27" t="str">
        <f aca="false">공수1!Y59</f>
        <v/>
      </c>
      <c r="F59" s="27" t="str">
        <f aca="false">공수2!Y59</f>
        <v/>
      </c>
      <c r="G59" s="28" t="str">
        <f aca="false">IF(AND(E59="",F59=""),"",N(E59)*설정!$C$13+N(F59)*설정!$C$14)</f>
        <v/>
      </c>
      <c r="H59" s="27" t="str">
        <f aca="false">IF(G59="","",COUNTIF($G$7:$G$86,"&gt;"&amp;G59)+1)</f>
        <v/>
      </c>
      <c r="I59" s="27" t="str">
        <f aca="false">IF(H59="","",IF(H59&lt;=설정!$C$6,설정!$B$6,IF(H59&lt;=설정!$C$6+설정!$C$7,설정!$B$7,설정!$B$8)))</f>
        <v/>
      </c>
      <c r="J59" s="29" t="str">
        <f aca="false">IF(G59="","",IF(OR(AND(ISNUMBER($T$7),ABS(G59-$T$7)&lt;=설정!$C$15),AND(ISNUMBER($T$8),ABS(G59-$T$8)&lt;=설정!$C$15)),"경계",""))</f>
        <v/>
      </c>
      <c r="K59" s="14"/>
      <c r="L59" s="26" t="str">
        <f aca="false">IF(K59&lt;&gt;"",K59,I59)</f>
        <v/>
      </c>
      <c r="M59" s="30" t="str">
        <f aca="false">IF(G59="","",IF(E59="","공수1 미응시",IF(F59="","공수2 미응시","")))</f>
        <v/>
      </c>
      <c r="N59" s="10" t="str">
        <f aca="false">IF(H59="","",H59+ROW()/100000)</f>
        <v/>
      </c>
    </row>
    <row r="60" customFormat="false" ht="15" hidden="false" customHeight="false" outlineLevel="0" collapsed="false">
      <c r="A60" s="5" t="n">
        <v>54</v>
      </c>
      <c r="B60" s="27" t="str">
        <f aca="false">IF(학생명단!B60="","",학생명단!B60)</f>
        <v/>
      </c>
      <c r="C60" s="27" t="str">
        <f aca="false">IF(학생명단!C60="","",학생명단!C60)</f>
        <v/>
      </c>
      <c r="D60" s="27" t="str">
        <f aca="false">IF(학생명단!D60="","",학생명단!D60)</f>
        <v/>
      </c>
      <c r="E60" s="27" t="str">
        <f aca="false">공수1!Y60</f>
        <v/>
      </c>
      <c r="F60" s="27" t="str">
        <f aca="false">공수2!Y60</f>
        <v/>
      </c>
      <c r="G60" s="28" t="str">
        <f aca="false">IF(AND(E60="",F60=""),"",N(E60)*설정!$C$13+N(F60)*설정!$C$14)</f>
        <v/>
      </c>
      <c r="H60" s="27" t="str">
        <f aca="false">IF(G60="","",COUNTIF($G$7:$G$86,"&gt;"&amp;G60)+1)</f>
        <v/>
      </c>
      <c r="I60" s="27" t="str">
        <f aca="false">IF(H60="","",IF(H60&lt;=설정!$C$6,설정!$B$6,IF(H60&lt;=설정!$C$6+설정!$C$7,설정!$B$7,설정!$B$8)))</f>
        <v/>
      </c>
      <c r="J60" s="29" t="str">
        <f aca="false">IF(G60="","",IF(OR(AND(ISNUMBER($T$7),ABS(G60-$T$7)&lt;=설정!$C$15),AND(ISNUMBER($T$8),ABS(G60-$T$8)&lt;=설정!$C$15)),"경계",""))</f>
        <v/>
      </c>
      <c r="K60" s="14"/>
      <c r="L60" s="26" t="str">
        <f aca="false">IF(K60&lt;&gt;"",K60,I60)</f>
        <v/>
      </c>
      <c r="M60" s="30" t="str">
        <f aca="false">IF(G60="","",IF(E60="","공수1 미응시",IF(F60="","공수2 미응시","")))</f>
        <v/>
      </c>
      <c r="N60" s="10" t="str">
        <f aca="false">IF(H60="","",H60+ROW()/100000)</f>
        <v/>
      </c>
    </row>
    <row r="61" customFormat="false" ht="15" hidden="false" customHeight="false" outlineLevel="0" collapsed="false">
      <c r="A61" s="5" t="n">
        <v>55</v>
      </c>
      <c r="B61" s="27" t="str">
        <f aca="false">IF(학생명단!B61="","",학생명단!B61)</f>
        <v/>
      </c>
      <c r="C61" s="27" t="str">
        <f aca="false">IF(학생명단!C61="","",학생명단!C61)</f>
        <v/>
      </c>
      <c r="D61" s="27" t="str">
        <f aca="false">IF(학생명단!D61="","",학생명단!D61)</f>
        <v/>
      </c>
      <c r="E61" s="27" t="str">
        <f aca="false">공수1!Y61</f>
        <v/>
      </c>
      <c r="F61" s="27" t="str">
        <f aca="false">공수2!Y61</f>
        <v/>
      </c>
      <c r="G61" s="28" t="str">
        <f aca="false">IF(AND(E61="",F61=""),"",N(E61)*설정!$C$13+N(F61)*설정!$C$14)</f>
        <v/>
      </c>
      <c r="H61" s="27" t="str">
        <f aca="false">IF(G61="","",COUNTIF($G$7:$G$86,"&gt;"&amp;G61)+1)</f>
        <v/>
      </c>
      <c r="I61" s="27" t="str">
        <f aca="false">IF(H61="","",IF(H61&lt;=설정!$C$6,설정!$B$6,IF(H61&lt;=설정!$C$6+설정!$C$7,설정!$B$7,설정!$B$8)))</f>
        <v/>
      </c>
      <c r="J61" s="29" t="str">
        <f aca="false">IF(G61="","",IF(OR(AND(ISNUMBER($T$7),ABS(G61-$T$7)&lt;=설정!$C$15),AND(ISNUMBER($T$8),ABS(G61-$T$8)&lt;=설정!$C$15)),"경계",""))</f>
        <v/>
      </c>
      <c r="K61" s="14"/>
      <c r="L61" s="26" t="str">
        <f aca="false">IF(K61&lt;&gt;"",K61,I61)</f>
        <v/>
      </c>
      <c r="M61" s="30" t="str">
        <f aca="false">IF(G61="","",IF(E61="","공수1 미응시",IF(F61="","공수2 미응시","")))</f>
        <v/>
      </c>
      <c r="N61" s="10" t="str">
        <f aca="false">IF(H61="","",H61+ROW()/100000)</f>
        <v/>
      </c>
    </row>
    <row r="62" customFormat="false" ht="15" hidden="false" customHeight="false" outlineLevel="0" collapsed="false">
      <c r="A62" s="5" t="n">
        <v>56</v>
      </c>
      <c r="B62" s="27" t="str">
        <f aca="false">IF(학생명단!B62="","",학생명단!B62)</f>
        <v/>
      </c>
      <c r="C62" s="27" t="str">
        <f aca="false">IF(학생명단!C62="","",학생명단!C62)</f>
        <v/>
      </c>
      <c r="D62" s="27" t="str">
        <f aca="false">IF(학생명단!D62="","",학생명단!D62)</f>
        <v/>
      </c>
      <c r="E62" s="27" t="str">
        <f aca="false">공수1!Y62</f>
        <v/>
      </c>
      <c r="F62" s="27" t="str">
        <f aca="false">공수2!Y62</f>
        <v/>
      </c>
      <c r="G62" s="28" t="str">
        <f aca="false">IF(AND(E62="",F62=""),"",N(E62)*설정!$C$13+N(F62)*설정!$C$14)</f>
        <v/>
      </c>
      <c r="H62" s="27" t="str">
        <f aca="false">IF(G62="","",COUNTIF($G$7:$G$86,"&gt;"&amp;G62)+1)</f>
        <v/>
      </c>
      <c r="I62" s="27" t="str">
        <f aca="false">IF(H62="","",IF(H62&lt;=설정!$C$6,설정!$B$6,IF(H62&lt;=설정!$C$6+설정!$C$7,설정!$B$7,설정!$B$8)))</f>
        <v/>
      </c>
      <c r="J62" s="29" t="str">
        <f aca="false">IF(G62="","",IF(OR(AND(ISNUMBER($T$7),ABS(G62-$T$7)&lt;=설정!$C$15),AND(ISNUMBER($T$8),ABS(G62-$T$8)&lt;=설정!$C$15)),"경계",""))</f>
        <v/>
      </c>
      <c r="K62" s="14"/>
      <c r="L62" s="26" t="str">
        <f aca="false">IF(K62&lt;&gt;"",K62,I62)</f>
        <v/>
      </c>
      <c r="M62" s="30" t="str">
        <f aca="false">IF(G62="","",IF(E62="","공수1 미응시",IF(F62="","공수2 미응시","")))</f>
        <v/>
      </c>
      <c r="N62" s="10" t="str">
        <f aca="false">IF(H62="","",H62+ROW()/100000)</f>
        <v/>
      </c>
    </row>
    <row r="63" customFormat="false" ht="15" hidden="false" customHeight="false" outlineLevel="0" collapsed="false">
      <c r="A63" s="5" t="n">
        <v>57</v>
      </c>
      <c r="B63" s="27" t="str">
        <f aca="false">IF(학생명단!B63="","",학생명단!B63)</f>
        <v/>
      </c>
      <c r="C63" s="27" t="str">
        <f aca="false">IF(학생명단!C63="","",학생명단!C63)</f>
        <v/>
      </c>
      <c r="D63" s="27" t="str">
        <f aca="false">IF(학생명단!D63="","",학생명단!D63)</f>
        <v/>
      </c>
      <c r="E63" s="27" t="str">
        <f aca="false">공수1!Y63</f>
        <v/>
      </c>
      <c r="F63" s="27" t="str">
        <f aca="false">공수2!Y63</f>
        <v/>
      </c>
      <c r="G63" s="28" t="str">
        <f aca="false">IF(AND(E63="",F63=""),"",N(E63)*설정!$C$13+N(F63)*설정!$C$14)</f>
        <v/>
      </c>
      <c r="H63" s="27" t="str">
        <f aca="false">IF(G63="","",COUNTIF($G$7:$G$86,"&gt;"&amp;G63)+1)</f>
        <v/>
      </c>
      <c r="I63" s="27" t="str">
        <f aca="false">IF(H63="","",IF(H63&lt;=설정!$C$6,설정!$B$6,IF(H63&lt;=설정!$C$6+설정!$C$7,설정!$B$7,설정!$B$8)))</f>
        <v/>
      </c>
      <c r="J63" s="29" t="str">
        <f aca="false">IF(G63="","",IF(OR(AND(ISNUMBER($T$7),ABS(G63-$T$7)&lt;=설정!$C$15),AND(ISNUMBER($T$8),ABS(G63-$T$8)&lt;=설정!$C$15)),"경계",""))</f>
        <v/>
      </c>
      <c r="K63" s="14"/>
      <c r="L63" s="26" t="str">
        <f aca="false">IF(K63&lt;&gt;"",K63,I63)</f>
        <v/>
      </c>
      <c r="M63" s="30" t="str">
        <f aca="false">IF(G63="","",IF(E63="","공수1 미응시",IF(F63="","공수2 미응시","")))</f>
        <v/>
      </c>
      <c r="N63" s="10" t="str">
        <f aca="false">IF(H63="","",H63+ROW()/100000)</f>
        <v/>
      </c>
    </row>
    <row r="64" customFormat="false" ht="15" hidden="false" customHeight="false" outlineLevel="0" collapsed="false">
      <c r="A64" s="5" t="n">
        <v>58</v>
      </c>
      <c r="B64" s="27" t="str">
        <f aca="false">IF(학생명단!B64="","",학생명단!B64)</f>
        <v/>
      </c>
      <c r="C64" s="27" t="str">
        <f aca="false">IF(학생명단!C64="","",학생명단!C64)</f>
        <v/>
      </c>
      <c r="D64" s="27" t="str">
        <f aca="false">IF(학생명단!D64="","",학생명단!D64)</f>
        <v/>
      </c>
      <c r="E64" s="27" t="str">
        <f aca="false">공수1!Y64</f>
        <v/>
      </c>
      <c r="F64" s="27" t="str">
        <f aca="false">공수2!Y64</f>
        <v/>
      </c>
      <c r="G64" s="28" t="str">
        <f aca="false">IF(AND(E64="",F64=""),"",N(E64)*설정!$C$13+N(F64)*설정!$C$14)</f>
        <v/>
      </c>
      <c r="H64" s="27" t="str">
        <f aca="false">IF(G64="","",COUNTIF($G$7:$G$86,"&gt;"&amp;G64)+1)</f>
        <v/>
      </c>
      <c r="I64" s="27" t="str">
        <f aca="false">IF(H64="","",IF(H64&lt;=설정!$C$6,설정!$B$6,IF(H64&lt;=설정!$C$6+설정!$C$7,설정!$B$7,설정!$B$8)))</f>
        <v/>
      </c>
      <c r="J64" s="29" t="str">
        <f aca="false">IF(G64="","",IF(OR(AND(ISNUMBER($T$7),ABS(G64-$T$7)&lt;=설정!$C$15),AND(ISNUMBER($T$8),ABS(G64-$T$8)&lt;=설정!$C$15)),"경계",""))</f>
        <v/>
      </c>
      <c r="K64" s="14"/>
      <c r="L64" s="26" t="str">
        <f aca="false">IF(K64&lt;&gt;"",K64,I64)</f>
        <v/>
      </c>
      <c r="M64" s="30" t="str">
        <f aca="false">IF(G64="","",IF(E64="","공수1 미응시",IF(F64="","공수2 미응시","")))</f>
        <v/>
      </c>
      <c r="N64" s="10" t="str">
        <f aca="false">IF(H64="","",H64+ROW()/100000)</f>
        <v/>
      </c>
    </row>
    <row r="65" customFormat="false" ht="15" hidden="false" customHeight="false" outlineLevel="0" collapsed="false">
      <c r="A65" s="5" t="n">
        <v>59</v>
      </c>
      <c r="B65" s="27" t="str">
        <f aca="false">IF(학생명단!B65="","",학생명단!B65)</f>
        <v/>
      </c>
      <c r="C65" s="27" t="str">
        <f aca="false">IF(학생명단!C65="","",학생명단!C65)</f>
        <v/>
      </c>
      <c r="D65" s="27" t="str">
        <f aca="false">IF(학생명단!D65="","",학생명단!D65)</f>
        <v/>
      </c>
      <c r="E65" s="27" t="str">
        <f aca="false">공수1!Y65</f>
        <v/>
      </c>
      <c r="F65" s="27" t="str">
        <f aca="false">공수2!Y65</f>
        <v/>
      </c>
      <c r="G65" s="28" t="str">
        <f aca="false">IF(AND(E65="",F65=""),"",N(E65)*설정!$C$13+N(F65)*설정!$C$14)</f>
        <v/>
      </c>
      <c r="H65" s="27" t="str">
        <f aca="false">IF(G65="","",COUNTIF($G$7:$G$86,"&gt;"&amp;G65)+1)</f>
        <v/>
      </c>
      <c r="I65" s="27" t="str">
        <f aca="false">IF(H65="","",IF(H65&lt;=설정!$C$6,설정!$B$6,IF(H65&lt;=설정!$C$6+설정!$C$7,설정!$B$7,설정!$B$8)))</f>
        <v/>
      </c>
      <c r="J65" s="29" t="str">
        <f aca="false">IF(G65="","",IF(OR(AND(ISNUMBER($T$7),ABS(G65-$T$7)&lt;=설정!$C$15),AND(ISNUMBER($T$8),ABS(G65-$T$8)&lt;=설정!$C$15)),"경계",""))</f>
        <v/>
      </c>
      <c r="K65" s="14"/>
      <c r="L65" s="26" t="str">
        <f aca="false">IF(K65&lt;&gt;"",K65,I65)</f>
        <v/>
      </c>
      <c r="M65" s="30" t="str">
        <f aca="false">IF(G65="","",IF(E65="","공수1 미응시",IF(F65="","공수2 미응시","")))</f>
        <v/>
      </c>
      <c r="N65" s="10" t="str">
        <f aca="false">IF(H65="","",H65+ROW()/100000)</f>
        <v/>
      </c>
    </row>
    <row r="66" customFormat="false" ht="15" hidden="false" customHeight="false" outlineLevel="0" collapsed="false">
      <c r="A66" s="5" t="n">
        <v>60</v>
      </c>
      <c r="B66" s="27" t="str">
        <f aca="false">IF(학생명단!B66="","",학생명단!B66)</f>
        <v/>
      </c>
      <c r="C66" s="27" t="str">
        <f aca="false">IF(학생명단!C66="","",학생명단!C66)</f>
        <v/>
      </c>
      <c r="D66" s="27" t="str">
        <f aca="false">IF(학생명단!D66="","",학생명단!D66)</f>
        <v/>
      </c>
      <c r="E66" s="27" t="str">
        <f aca="false">공수1!Y66</f>
        <v/>
      </c>
      <c r="F66" s="27" t="str">
        <f aca="false">공수2!Y66</f>
        <v/>
      </c>
      <c r="G66" s="28" t="str">
        <f aca="false">IF(AND(E66="",F66=""),"",N(E66)*설정!$C$13+N(F66)*설정!$C$14)</f>
        <v/>
      </c>
      <c r="H66" s="27" t="str">
        <f aca="false">IF(G66="","",COUNTIF($G$7:$G$86,"&gt;"&amp;G66)+1)</f>
        <v/>
      </c>
      <c r="I66" s="27" t="str">
        <f aca="false">IF(H66="","",IF(H66&lt;=설정!$C$6,설정!$B$6,IF(H66&lt;=설정!$C$6+설정!$C$7,설정!$B$7,설정!$B$8)))</f>
        <v/>
      </c>
      <c r="J66" s="29" t="str">
        <f aca="false">IF(G66="","",IF(OR(AND(ISNUMBER($T$7),ABS(G66-$T$7)&lt;=설정!$C$15),AND(ISNUMBER($T$8),ABS(G66-$T$8)&lt;=설정!$C$15)),"경계",""))</f>
        <v/>
      </c>
      <c r="K66" s="14"/>
      <c r="L66" s="26" t="str">
        <f aca="false">IF(K66&lt;&gt;"",K66,I66)</f>
        <v/>
      </c>
      <c r="M66" s="30" t="str">
        <f aca="false">IF(G66="","",IF(E66="","공수1 미응시",IF(F66="","공수2 미응시","")))</f>
        <v/>
      </c>
      <c r="N66" s="10" t="str">
        <f aca="false">IF(H66="","",H66+ROW()/100000)</f>
        <v/>
      </c>
    </row>
    <row r="67" customFormat="false" ht="15" hidden="false" customHeight="false" outlineLevel="0" collapsed="false">
      <c r="A67" s="5" t="n">
        <v>61</v>
      </c>
      <c r="B67" s="27" t="str">
        <f aca="false">IF(학생명단!B67="","",학생명단!B67)</f>
        <v/>
      </c>
      <c r="C67" s="27" t="str">
        <f aca="false">IF(학생명단!C67="","",학생명단!C67)</f>
        <v/>
      </c>
      <c r="D67" s="27" t="str">
        <f aca="false">IF(학생명단!D67="","",학생명단!D67)</f>
        <v/>
      </c>
      <c r="E67" s="27" t="str">
        <f aca="false">공수1!Y67</f>
        <v/>
      </c>
      <c r="F67" s="27" t="str">
        <f aca="false">공수2!Y67</f>
        <v/>
      </c>
      <c r="G67" s="28" t="str">
        <f aca="false">IF(AND(E67="",F67=""),"",N(E67)*설정!$C$13+N(F67)*설정!$C$14)</f>
        <v/>
      </c>
      <c r="H67" s="27" t="str">
        <f aca="false">IF(G67="","",COUNTIF($G$7:$G$86,"&gt;"&amp;G67)+1)</f>
        <v/>
      </c>
      <c r="I67" s="27" t="str">
        <f aca="false">IF(H67="","",IF(H67&lt;=설정!$C$6,설정!$B$6,IF(H67&lt;=설정!$C$6+설정!$C$7,설정!$B$7,설정!$B$8)))</f>
        <v/>
      </c>
      <c r="J67" s="29" t="str">
        <f aca="false">IF(G67="","",IF(OR(AND(ISNUMBER($T$7),ABS(G67-$T$7)&lt;=설정!$C$15),AND(ISNUMBER($T$8),ABS(G67-$T$8)&lt;=설정!$C$15)),"경계",""))</f>
        <v/>
      </c>
      <c r="K67" s="14"/>
      <c r="L67" s="26" t="str">
        <f aca="false">IF(K67&lt;&gt;"",K67,I67)</f>
        <v/>
      </c>
      <c r="M67" s="30" t="str">
        <f aca="false">IF(G67="","",IF(E67="","공수1 미응시",IF(F67="","공수2 미응시","")))</f>
        <v/>
      </c>
      <c r="N67" s="10" t="str">
        <f aca="false">IF(H67="","",H67+ROW()/100000)</f>
        <v/>
      </c>
    </row>
    <row r="68" customFormat="false" ht="15" hidden="false" customHeight="false" outlineLevel="0" collapsed="false">
      <c r="A68" s="5" t="n">
        <v>62</v>
      </c>
      <c r="B68" s="27" t="str">
        <f aca="false">IF(학생명단!B68="","",학생명단!B68)</f>
        <v/>
      </c>
      <c r="C68" s="27" t="str">
        <f aca="false">IF(학생명단!C68="","",학생명단!C68)</f>
        <v/>
      </c>
      <c r="D68" s="27" t="str">
        <f aca="false">IF(학생명단!D68="","",학생명단!D68)</f>
        <v/>
      </c>
      <c r="E68" s="27" t="str">
        <f aca="false">공수1!Y68</f>
        <v/>
      </c>
      <c r="F68" s="27" t="str">
        <f aca="false">공수2!Y68</f>
        <v/>
      </c>
      <c r="G68" s="28" t="str">
        <f aca="false">IF(AND(E68="",F68=""),"",N(E68)*설정!$C$13+N(F68)*설정!$C$14)</f>
        <v/>
      </c>
      <c r="H68" s="27" t="str">
        <f aca="false">IF(G68="","",COUNTIF($G$7:$G$86,"&gt;"&amp;G68)+1)</f>
        <v/>
      </c>
      <c r="I68" s="27" t="str">
        <f aca="false">IF(H68="","",IF(H68&lt;=설정!$C$6,설정!$B$6,IF(H68&lt;=설정!$C$6+설정!$C$7,설정!$B$7,설정!$B$8)))</f>
        <v/>
      </c>
      <c r="J68" s="29" t="str">
        <f aca="false">IF(G68="","",IF(OR(AND(ISNUMBER($T$7),ABS(G68-$T$7)&lt;=설정!$C$15),AND(ISNUMBER($T$8),ABS(G68-$T$8)&lt;=설정!$C$15)),"경계",""))</f>
        <v/>
      </c>
      <c r="K68" s="14"/>
      <c r="L68" s="26" t="str">
        <f aca="false">IF(K68&lt;&gt;"",K68,I68)</f>
        <v/>
      </c>
      <c r="M68" s="30" t="str">
        <f aca="false">IF(G68="","",IF(E68="","공수1 미응시",IF(F68="","공수2 미응시","")))</f>
        <v/>
      </c>
      <c r="N68" s="10" t="str">
        <f aca="false">IF(H68="","",H68+ROW()/100000)</f>
        <v/>
      </c>
    </row>
    <row r="69" customFormat="false" ht="15" hidden="false" customHeight="false" outlineLevel="0" collapsed="false">
      <c r="A69" s="5" t="n">
        <v>63</v>
      </c>
      <c r="B69" s="27" t="str">
        <f aca="false">IF(학생명단!B69="","",학생명단!B69)</f>
        <v/>
      </c>
      <c r="C69" s="27" t="str">
        <f aca="false">IF(학생명단!C69="","",학생명단!C69)</f>
        <v/>
      </c>
      <c r="D69" s="27" t="str">
        <f aca="false">IF(학생명단!D69="","",학생명단!D69)</f>
        <v/>
      </c>
      <c r="E69" s="27" t="str">
        <f aca="false">공수1!Y69</f>
        <v/>
      </c>
      <c r="F69" s="27" t="str">
        <f aca="false">공수2!Y69</f>
        <v/>
      </c>
      <c r="G69" s="28" t="str">
        <f aca="false">IF(AND(E69="",F69=""),"",N(E69)*설정!$C$13+N(F69)*설정!$C$14)</f>
        <v/>
      </c>
      <c r="H69" s="27" t="str">
        <f aca="false">IF(G69="","",COUNTIF($G$7:$G$86,"&gt;"&amp;G69)+1)</f>
        <v/>
      </c>
      <c r="I69" s="27" t="str">
        <f aca="false">IF(H69="","",IF(H69&lt;=설정!$C$6,설정!$B$6,IF(H69&lt;=설정!$C$6+설정!$C$7,설정!$B$7,설정!$B$8)))</f>
        <v/>
      </c>
      <c r="J69" s="29" t="str">
        <f aca="false">IF(G69="","",IF(OR(AND(ISNUMBER($T$7),ABS(G69-$T$7)&lt;=설정!$C$15),AND(ISNUMBER($T$8),ABS(G69-$T$8)&lt;=설정!$C$15)),"경계",""))</f>
        <v/>
      </c>
      <c r="K69" s="14"/>
      <c r="L69" s="26" t="str">
        <f aca="false">IF(K69&lt;&gt;"",K69,I69)</f>
        <v/>
      </c>
      <c r="M69" s="30" t="str">
        <f aca="false">IF(G69="","",IF(E69="","공수1 미응시",IF(F69="","공수2 미응시","")))</f>
        <v/>
      </c>
      <c r="N69" s="10" t="str">
        <f aca="false">IF(H69="","",H69+ROW()/100000)</f>
        <v/>
      </c>
    </row>
    <row r="70" customFormat="false" ht="15" hidden="false" customHeight="false" outlineLevel="0" collapsed="false">
      <c r="A70" s="5" t="n">
        <v>64</v>
      </c>
      <c r="B70" s="27" t="str">
        <f aca="false">IF(학생명단!B70="","",학생명단!B70)</f>
        <v/>
      </c>
      <c r="C70" s="27" t="str">
        <f aca="false">IF(학생명단!C70="","",학생명단!C70)</f>
        <v/>
      </c>
      <c r="D70" s="27" t="str">
        <f aca="false">IF(학생명단!D70="","",학생명단!D70)</f>
        <v/>
      </c>
      <c r="E70" s="27" t="str">
        <f aca="false">공수1!Y70</f>
        <v/>
      </c>
      <c r="F70" s="27" t="str">
        <f aca="false">공수2!Y70</f>
        <v/>
      </c>
      <c r="G70" s="28" t="str">
        <f aca="false">IF(AND(E70="",F70=""),"",N(E70)*설정!$C$13+N(F70)*설정!$C$14)</f>
        <v/>
      </c>
      <c r="H70" s="27" t="str">
        <f aca="false">IF(G70="","",COUNTIF($G$7:$G$86,"&gt;"&amp;G70)+1)</f>
        <v/>
      </c>
      <c r="I70" s="27" t="str">
        <f aca="false">IF(H70="","",IF(H70&lt;=설정!$C$6,설정!$B$6,IF(H70&lt;=설정!$C$6+설정!$C$7,설정!$B$7,설정!$B$8)))</f>
        <v/>
      </c>
      <c r="J70" s="29" t="str">
        <f aca="false">IF(G70="","",IF(OR(AND(ISNUMBER($T$7),ABS(G70-$T$7)&lt;=설정!$C$15),AND(ISNUMBER($T$8),ABS(G70-$T$8)&lt;=설정!$C$15)),"경계",""))</f>
        <v/>
      </c>
      <c r="K70" s="14"/>
      <c r="L70" s="26" t="str">
        <f aca="false">IF(K70&lt;&gt;"",K70,I70)</f>
        <v/>
      </c>
      <c r="M70" s="30" t="str">
        <f aca="false">IF(G70="","",IF(E70="","공수1 미응시",IF(F70="","공수2 미응시","")))</f>
        <v/>
      </c>
      <c r="N70" s="10" t="str">
        <f aca="false">IF(H70="","",H70+ROW()/100000)</f>
        <v/>
      </c>
    </row>
    <row r="71" customFormat="false" ht="15" hidden="false" customHeight="false" outlineLevel="0" collapsed="false">
      <c r="A71" s="5" t="n">
        <v>65</v>
      </c>
      <c r="B71" s="27" t="str">
        <f aca="false">IF(학생명단!B71="","",학생명단!B71)</f>
        <v/>
      </c>
      <c r="C71" s="27" t="str">
        <f aca="false">IF(학생명단!C71="","",학생명단!C71)</f>
        <v/>
      </c>
      <c r="D71" s="27" t="str">
        <f aca="false">IF(학생명단!D71="","",학생명단!D71)</f>
        <v/>
      </c>
      <c r="E71" s="27" t="str">
        <f aca="false">공수1!Y71</f>
        <v/>
      </c>
      <c r="F71" s="27" t="str">
        <f aca="false">공수2!Y71</f>
        <v/>
      </c>
      <c r="G71" s="28" t="str">
        <f aca="false">IF(AND(E71="",F71=""),"",N(E71)*설정!$C$13+N(F71)*설정!$C$14)</f>
        <v/>
      </c>
      <c r="H71" s="27" t="str">
        <f aca="false">IF(G71="","",COUNTIF($G$7:$G$86,"&gt;"&amp;G71)+1)</f>
        <v/>
      </c>
      <c r="I71" s="27" t="str">
        <f aca="false">IF(H71="","",IF(H71&lt;=설정!$C$6,설정!$B$6,IF(H71&lt;=설정!$C$6+설정!$C$7,설정!$B$7,설정!$B$8)))</f>
        <v/>
      </c>
      <c r="J71" s="29" t="str">
        <f aca="false">IF(G71="","",IF(OR(AND(ISNUMBER($T$7),ABS(G71-$T$7)&lt;=설정!$C$15),AND(ISNUMBER($T$8),ABS(G71-$T$8)&lt;=설정!$C$15)),"경계",""))</f>
        <v/>
      </c>
      <c r="K71" s="14"/>
      <c r="L71" s="26" t="str">
        <f aca="false">IF(K71&lt;&gt;"",K71,I71)</f>
        <v/>
      </c>
      <c r="M71" s="30" t="str">
        <f aca="false">IF(G71="","",IF(E71="","공수1 미응시",IF(F71="","공수2 미응시","")))</f>
        <v/>
      </c>
      <c r="N71" s="10" t="str">
        <f aca="false">IF(H71="","",H71+ROW()/100000)</f>
        <v/>
      </c>
    </row>
    <row r="72" customFormat="false" ht="15" hidden="false" customHeight="false" outlineLevel="0" collapsed="false">
      <c r="A72" s="5" t="n">
        <v>66</v>
      </c>
      <c r="B72" s="27" t="str">
        <f aca="false">IF(학생명단!B72="","",학생명단!B72)</f>
        <v/>
      </c>
      <c r="C72" s="27" t="str">
        <f aca="false">IF(학생명단!C72="","",학생명단!C72)</f>
        <v/>
      </c>
      <c r="D72" s="27" t="str">
        <f aca="false">IF(학생명단!D72="","",학생명단!D72)</f>
        <v/>
      </c>
      <c r="E72" s="27" t="str">
        <f aca="false">공수1!Y72</f>
        <v/>
      </c>
      <c r="F72" s="27" t="str">
        <f aca="false">공수2!Y72</f>
        <v/>
      </c>
      <c r="G72" s="28" t="str">
        <f aca="false">IF(AND(E72="",F72=""),"",N(E72)*설정!$C$13+N(F72)*설정!$C$14)</f>
        <v/>
      </c>
      <c r="H72" s="27" t="str">
        <f aca="false">IF(G72="","",COUNTIF($G$7:$G$86,"&gt;"&amp;G72)+1)</f>
        <v/>
      </c>
      <c r="I72" s="27" t="str">
        <f aca="false">IF(H72="","",IF(H72&lt;=설정!$C$6,설정!$B$6,IF(H72&lt;=설정!$C$6+설정!$C$7,설정!$B$7,설정!$B$8)))</f>
        <v/>
      </c>
      <c r="J72" s="29" t="str">
        <f aca="false">IF(G72="","",IF(OR(AND(ISNUMBER($T$7),ABS(G72-$T$7)&lt;=설정!$C$15),AND(ISNUMBER($T$8),ABS(G72-$T$8)&lt;=설정!$C$15)),"경계",""))</f>
        <v/>
      </c>
      <c r="K72" s="14"/>
      <c r="L72" s="26" t="str">
        <f aca="false">IF(K72&lt;&gt;"",K72,I72)</f>
        <v/>
      </c>
      <c r="M72" s="30" t="str">
        <f aca="false">IF(G72="","",IF(E72="","공수1 미응시",IF(F72="","공수2 미응시","")))</f>
        <v/>
      </c>
      <c r="N72" s="10" t="str">
        <f aca="false">IF(H72="","",H72+ROW()/100000)</f>
        <v/>
      </c>
    </row>
    <row r="73" customFormat="false" ht="15" hidden="false" customHeight="false" outlineLevel="0" collapsed="false">
      <c r="A73" s="5" t="n">
        <v>67</v>
      </c>
      <c r="B73" s="27" t="str">
        <f aca="false">IF(학생명단!B73="","",학생명단!B73)</f>
        <v/>
      </c>
      <c r="C73" s="27" t="str">
        <f aca="false">IF(학생명단!C73="","",학생명단!C73)</f>
        <v/>
      </c>
      <c r="D73" s="27" t="str">
        <f aca="false">IF(학생명단!D73="","",학생명단!D73)</f>
        <v/>
      </c>
      <c r="E73" s="27" t="str">
        <f aca="false">공수1!Y73</f>
        <v/>
      </c>
      <c r="F73" s="27" t="str">
        <f aca="false">공수2!Y73</f>
        <v/>
      </c>
      <c r="G73" s="28" t="str">
        <f aca="false">IF(AND(E73="",F73=""),"",N(E73)*설정!$C$13+N(F73)*설정!$C$14)</f>
        <v/>
      </c>
      <c r="H73" s="27" t="str">
        <f aca="false">IF(G73="","",COUNTIF($G$7:$G$86,"&gt;"&amp;G73)+1)</f>
        <v/>
      </c>
      <c r="I73" s="27" t="str">
        <f aca="false">IF(H73="","",IF(H73&lt;=설정!$C$6,설정!$B$6,IF(H73&lt;=설정!$C$6+설정!$C$7,설정!$B$7,설정!$B$8)))</f>
        <v/>
      </c>
      <c r="J73" s="29" t="str">
        <f aca="false">IF(G73="","",IF(OR(AND(ISNUMBER($T$7),ABS(G73-$T$7)&lt;=설정!$C$15),AND(ISNUMBER($T$8),ABS(G73-$T$8)&lt;=설정!$C$15)),"경계",""))</f>
        <v/>
      </c>
      <c r="K73" s="14"/>
      <c r="L73" s="26" t="str">
        <f aca="false">IF(K73&lt;&gt;"",K73,I73)</f>
        <v/>
      </c>
      <c r="M73" s="30" t="str">
        <f aca="false">IF(G73="","",IF(E73="","공수1 미응시",IF(F73="","공수2 미응시","")))</f>
        <v/>
      </c>
      <c r="N73" s="10" t="str">
        <f aca="false">IF(H73="","",H73+ROW()/100000)</f>
        <v/>
      </c>
    </row>
    <row r="74" customFormat="false" ht="15" hidden="false" customHeight="false" outlineLevel="0" collapsed="false">
      <c r="A74" s="5" t="n">
        <v>68</v>
      </c>
      <c r="B74" s="27" t="str">
        <f aca="false">IF(학생명단!B74="","",학생명단!B74)</f>
        <v/>
      </c>
      <c r="C74" s="27" t="str">
        <f aca="false">IF(학생명단!C74="","",학생명단!C74)</f>
        <v/>
      </c>
      <c r="D74" s="27" t="str">
        <f aca="false">IF(학생명단!D74="","",학생명단!D74)</f>
        <v/>
      </c>
      <c r="E74" s="27" t="str">
        <f aca="false">공수1!Y74</f>
        <v/>
      </c>
      <c r="F74" s="27" t="str">
        <f aca="false">공수2!Y74</f>
        <v/>
      </c>
      <c r="G74" s="28" t="str">
        <f aca="false">IF(AND(E74="",F74=""),"",N(E74)*설정!$C$13+N(F74)*설정!$C$14)</f>
        <v/>
      </c>
      <c r="H74" s="27" t="str">
        <f aca="false">IF(G74="","",COUNTIF($G$7:$G$86,"&gt;"&amp;G74)+1)</f>
        <v/>
      </c>
      <c r="I74" s="27" t="str">
        <f aca="false">IF(H74="","",IF(H74&lt;=설정!$C$6,설정!$B$6,IF(H74&lt;=설정!$C$6+설정!$C$7,설정!$B$7,설정!$B$8)))</f>
        <v/>
      </c>
      <c r="J74" s="29" t="str">
        <f aca="false">IF(G74="","",IF(OR(AND(ISNUMBER($T$7),ABS(G74-$T$7)&lt;=설정!$C$15),AND(ISNUMBER($T$8),ABS(G74-$T$8)&lt;=설정!$C$15)),"경계",""))</f>
        <v/>
      </c>
      <c r="K74" s="14"/>
      <c r="L74" s="26" t="str">
        <f aca="false">IF(K74&lt;&gt;"",K74,I74)</f>
        <v/>
      </c>
      <c r="M74" s="30" t="str">
        <f aca="false">IF(G74="","",IF(E74="","공수1 미응시",IF(F74="","공수2 미응시","")))</f>
        <v/>
      </c>
      <c r="N74" s="10" t="str">
        <f aca="false">IF(H74="","",H74+ROW()/100000)</f>
        <v/>
      </c>
    </row>
    <row r="75" customFormat="false" ht="15" hidden="false" customHeight="false" outlineLevel="0" collapsed="false">
      <c r="A75" s="5" t="n">
        <v>69</v>
      </c>
      <c r="B75" s="27" t="str">
        <f aca="false">IF(학생명단!B75="","",학생명단!B75)</f>
        <v/>
      </c>
      <c r="C75" s="27" t="str">
        <f aca="false">IF(학생명단!C75="","",학생명단!C75)</f>
        <v/>
      </c>
      <c r="D75" s="27" t="str">
        <f aca="false">IF(학생명단!D75="","",학생명단!D75)</f>
        <v/>
      </c>
      <c r="E75" s="27" t="str">
        <f aca="false">공수1!Y75</f>
        <v/>
      </c>
      <c r="F75" s="27" t="str">
        <f aca="false">공수2!Y75</f>
        <v/>
      </c>
      <c r="G75" s="28" t="str">
        <f aca="false">IF(AND(E75="",F75=""),"",N(E75)*설정!$C$13+N(F75)*설정!$C$14)</f>
        <v/>
      </c>
      <c r="H75" s="27" t="str">
        <f aca="false">IF(G75="","",COUNTIF($G$7:$G$86,"&gt;"&amp;G75)+1)</f>
        <v/>
      </c>
      <c r="I75" s="27" t="str">
        <f aca="false">IF(H75="","",IF(H75&lt;=설정!$C$6,설정!$B$6,IF(H75&lt;=설정!$C$6+설정!$C$7,설정!$B$7,설정!$B$8)))</f>
        <v/>
      </c>
      <c r="J75" s="29" t="str">
        <f aca="false">IF(G75="","",IF(OR(AND(ISNUMBER($T$7),ABS(G75-$T$7)&lt;=설정!$C$15),AND(ISNUMBER($T$8),ABS(G75-$T$8)&lt;=설정!$C$15)),"경계",""))</f>
        <v/>
      </c>
      <c r="K75" s="14"/>
      <c r="L75" s="26" t="str">
        <f aca="false">IF(K75&lt;&gt;"",K75,I75)</f>
        <v/>
      </c>
      <c r="M75" s="30" t="str">
        <f aca="false">IF(G75="","",IF(E75="","공수1 미응시",IF(F75="","공수2 미응시","")))</f>
        <v/>
      </c>
      <c r="N75" s="10" t="str">
        <f aca="false">IF(H75="","",H75+ROW()/100000)</f>
        <v/>
      </c>
    </row>
    <row r="76" customFormat="false" ht="15" hidden="false" customHeight="false" outlineLevel="0" collapsed="false">
      <c r="A76" s="5" t="n">
        <v>70</v>
      </c>
      <c r="B76" s="27" t="str">
        <f aca="false">IF(학생명단!B76="","",학생명단!B76)</f>
        <v/>
      </c>
      <c r="C76" s="27" t="str">
        <f aca="false">IF(학생명단!C76="","",학생명단!C76)</f>
        <v/>
      </c>
      <c r="D76" s="27" t="str">
        <f aca="false">IF(학생명단!D76="","",학생명단!D76)</f>
        <v/>
      </c>
      <c r="E76" s="27" t="str">
        <f aca="false">공수1!Y76</f>
        <v/>
      </c>
      <c r="F76" s="27" t="str">
        <f aca="false">공수2!Y76</f>
        <v/>
      </c>
      <c r="G76" s="28" t="str">
        <f aca="false">IF(AND(E76="",F76=""),"",N(E76)*설정!$C$13+N(F76)*설정!$C$14)</f>
        <v/>
      </c>
      <c r="H76" s="27" t="str">
        <f aca="false">IF(G76="","",COUNTIF($G$7:$G$86,"&gt;"&amp;G76)+1)</f>
        <v/>
      </c>
      <c r="I76" s="27" t="str">
        <f aca="false">IF(H76="","",IF(H76&lt;=설정!$C$6,설정!$B$6,IF(H76&lt;=설정!$C$6+설정!$C$7,설정!$B$7,설정!$B$8)))</f>
        <v/>
      </c>
      <c r="J76" s="29" t="str">
        <f aca="false">IF(G76="","",IF(OR(AND(ISNUMBER($T$7),ABS(G76-$T$7)&lt;=설정!$C$15),AND(ISNUMBER($T$8),ABS(G76-$T$8)&lt;=설정!$C$15)),"경계",""))</f>
        <v/>
      </c>
      <c r="K76" s="14"/>
      <c r="L76" s="26" t="str">
        <f aca="false">IF(K76&lt;&gt;"",K76,I76)</f>
        <v/>
      </c>
      <c r="M76" s="30" t="str">
        <f aca="false">IF(G76="","",IF(E76="","공수1 미응시",IF(F76="","공수2 미응시","")))</f>
        <v/>
      </c>
      <c r="N76" s="10" t="str">
        <f aca="false">IF(H76="","",H76+ROW()/100000)</f>
        <v/>
      </c>
    </row>
    <row r="77" customFormat="false" ht="15" hidden="false" customHeight="false" outlineLevel="0" collapsed="false">
      <c r="A77" s="5" t="n">
        <v>71</v>
      </c>
      <c r="B77" s="27" t="str">
        <f aca="false">IF(학생명단!B77="","",학생명단!B77)</f>
        <v/>
      </c>
      <c r="C77" s="27" t="str">
        <f aca="false">IF(학생명단!C77="","",학생명단!C77)</f>
        <v/>
      </c>
      <c r="D77" s="27" t="str">
        <f aca="false">IF(학생명단!D77="","",학생명단!D77)</f>
        <v/>
      </c>
      <c r="E77" s="27" t="str">
        <f aca="false">공수1!Y77</f>
        <v/>
      </c>
      <c r="F77" s="27" t="str">
        <f aca="false">공수2!Y77</f>
        <v/>
      </c>
      <c r="G77" s="28" t="str">
        <f aca="false">IF(AND(E77="",F77=""),"",N(E77)*설정!$C$13+N(F77)*설정!$C$14)</f>
        <v/>
      </c>
      <c r="H77" s="27" t="str">
        <f aca="false">IF(G77="","",COUNTIF($G$7:$G$86,"&gt;"&amp;G77)+1)</f>
        <v/>
      </c>
      <c r="I77" s="27" t="str">
        <f aca="false">IF(H77="","",IF(H77&lt;=설정!$C$6,설정!$B$6,IF(H77&lt;=설정!$C$6+설정!$C$7,설정!$B$7,설정!$B$8)))</f>
        <v/>
      </c>
      <c r="J77" s="29" t="str">
        <f aca="false">IF(G77="","",IF(OR(AND(ISNUMBER($T$7),ABS(G77-$T$7)&lt;=설정!$C$15),AND(ISNUMBER($T$8),ABS(G77-$T$8)&lt;=설정!$C$15)),"경계",""))</f>
        <v/>
      </c>
      <c r="K77" s="14"/>
      <c r="L77" s="26" t="str">
        <f aca="false">IF(K77&lt;&gt;"",K77,I77)</f>
        <v/>
      </c>
      <c r="M77" s="30" t="str">
        <f aca="false">IF(G77="","",IF(E77="","공수1 미응시",IF(F77="","공수2 미응시","")))</f>
        <v/>
      </c>
      <c r="N77" s="10" t="str">
        <f aca="false">IF(H77="","",H77+ROW()/100000)</f>
        <v/>
      </c>
    </row>
    <row r="78" customFormat="false" ht="15" hidden="false" customHeight="false" outlineLevel="0" collapsed="false">
      <c r="A78" s="5" t="n">
        <v>72</v>
      </c>
      <c r="B78" s="27" t="str">
        <f aca="false">IF(학생명단!B78="","",학생명단!B78)</f>
        <v/>
      </c>
      <c r="C78" s="27" t="str">
        <f aca="false">IF(학생명단!C78="","",학생명단!C78)</f>
        <v/>
      </c>
      <c r="D78" s="27" t="str">
        <f aca="false">IF(학생명단!D78="","",학생명단!D78)</f>
        <v/>
      </c>
      <c r="E78" s="27" t="str">
        <f aca="false">공수1!Y78</f>
        <v/>
      </c>
      <c r="F78" s="27" t="str">
        <f aca="false">공수2!Y78</f>
        <v/>
      </c>
      <c r="G78" s="28" t="str">
        <f aca="false">IF(AND(E78="",F78=""),"",N(E78)*설정!$C$13+N(F78)*설정!$C$14)</f>
        <v/>
      </c>
      <c r="H78" s="27" t="str">
        <f aca="false">IF(G78="","",COUNTIF($G$7:$G$86,"&gt;"&amp;G78)+1)</f>
        <v/>
      </c>
      <c r="I78" s="27" t="str">
        <f aca="false">IF(H78="","",IF(H78&lt;=설정!$C$6,설정!$B$6,IF(H78&lt;=설정!$C$6+설정!$C$7,설정!$B$7,설정!$B$8)))</f>
        <v/>
      </c>
      <c r="J78" s="29" t="str">
        <f aca="false">IF(G78="","",IF(OR(AND(ISNUMBER($T$7),ABS(G78-$T$7)&lt;=설정!$C$15),AND(ISNUMBER($T$8),ABS(G78-$T$8)&lt;=설정!$C$15)),"경계",""))</f>
        <v/>
      </c>
      <c r="K78" s="14"/>
      <c r="L78" s="26" t="str">
        <f aca="false">IF(K78&lt;&gt;"",K78,I78)</f>
        <v/>
      </c>
      <c r="M78" s="30" t="str">
        <f aca="false">IF(G78="","",IF(E78="","공수1 미응시",IF(F78="","공수2 미응시","")))</f>
        <v/>
      </c>
      <c r="N78" s="10" t="str">
        <f aca="false">IF(H78="","",H78+ROW()/100000)</f>
        <v/>
      </c>
    </row>
    <row r="79" customFormat="false" ht="15" hidden="false" customHeight="false" outlineLevel="0" collapsed="false">
      <c r="A79" s="5" t="n">
        <v>73</v>
      </c>
      <c r="B79" s="27" t="str">
        <f aca="false">IF(학생명단!B79="","",학생명단!B79)</f>
        <v/>
      </c>
      <c r="C79" s="27" t="str">
        <f aca="false">IF(학생명단!C79="","",학생명단!C79)</f>
        <v/>
      </c>
      <c r="D79" s="27" t="str">
        <f aca="false">IF(학생명단!D79="","",학생명단!D79)</f>
        <v/>
      </c>
      <c r="E79" s="27" t="str">
        <f aca="false">공수1!Y79</f>
        <v/>
      </c>
      <c r="F79" s="27" t="str">
        <f aca="false">공수2!Y79</f>
        <v/>
      </c>
      <c r="G79" s="28" t="str">
        <f aca="false">IF(AND(E79="",F79=""),"",N(E79)*설정!$C$13+N(F79)*설정!$C$14)</f>
        <v/>
      </c>
      <c r="H79" s="27" t="str">
        <f aca="false">IF(G79="","",COUNTIF($G$7:$G$86,"&gt;"&amp;G79)+1)</f>
        <v/>
      </c>
      <c r="I79" s="27" t="str">
        <f aca="false">IF(H79="","",IF(H79&lt;=설정!$C$6,설정!$B$6,IF(H79&lt;=설정!$C$6+설정!$C$7,설정!$B$7,설정!$B$8)))</f>
        <v/>
      </c>
      <c r="J79" s="29" t="str">
        <f aca="false">IF(G79="","",IF(OR(AND(ISNUMBER($T$7),ABS(G79-$T$7)&lt;=설정!$C$15),AND(ISNUMBER($T$8),ABS(G79-$T$8)&lt;=설정!$C$15)),"경계",""))</f>
        <v/>
      </c>
      <c r="K79" s="14"/>
      <c r="L79" s="26" t="str">
        <f aca="false">IF(K79&lt;&gt;"",K79,I79)</f>
        <v/>
      </c>
      <c r="M79" s="30" t="str">
        <f aca="false">IF(G79="","",IF(E79="","공수1 미응시",IF(F79="","공수2 미응시","")))</f>
        <v/>
      </c>
      <c r="N79" s="10" t="str">
        <f aca="false">IF(H79="","",H79+ROW()/100000)</f>
        <v/>
      </c>
    </row>
    <row r="80" customFormat="false" ht="15" hidden="false" customHeight="false" outlineLevel="0" collapsed="false">
      <c r="A80" s="5" t="n">
        <v>74</v>
      </c>
      <c r="B80" s="27" t="str">
        <f aca="false">IF(학생명단!B80="","",학생명단!B80)</f>
        <v/>
      </c>
      <c r="C80" s="27" t="str">
        <f aca="false">IF(학생명단!C80="","",학생명단!C80)</f>
        <v/>
      </c>
      <c r="D80" s="27" t="str">
        <f aca="false">IF(학생명단!D80="","",학생명단!D80)</f>
        <v/>
      </c>
      <c r="E80" s="27" t="str">
        <f aca="false">공수1!Y80</f>
        <v/>
      </c>
      <c r="F80" s="27" t="str">
        <f aca="false">공수2!Y80</f>
        <v/>
      </c>
      <c r="G80" s="28" t="str">
        <f aca="false">IF(AND(E80="",F80=""),"",N(E80)*설정!$C$13+N(F80)*설정!$C$14)</f>
        <v/>
      </c>
      <c r="H80" s="27" t="str">
        <f aca="false">IF(G80="","",COUNTIF($G$7:$G$86,"&gt;"&amp;G80)+1)</f>
        <v/>
      </c>
      <c r="I80" s="27" t="str">
        <f aca="false">IF(H80="","",IF(H80&lt;=설정!$C$6,설정!$B$6,IF(H80&lt;=설정!$C$6+설정!$C$7,설정!$B$7,설정!$B$8)))</f>
        <v/>
      </c>
      <c r="J80" s="29" t="str">
        <f aca="false">IF(G80="","",IF(OR(AND(ISNUMBER($T$7),ABS(G80-$T$7)&lt;=설정!$C$15),AND(ISNUMBER($T$8),ABS(G80-$T$8)&lt;=설정!$C$15)),"경계",""))</f>
        <v/>
      </c>
      <c r="K80" s="14"/>
      <c r="L80" s="26" t="str">
        <f aca="false">IF(K80&lt;&gt;"",K80,I80)</f>
        <v/>
      </c>
      <c r="M80" s="30" t="str">
        <f aca="false">IF(G80="","",IF(E80="","공수1 미응시",IF(F80="","공수2 미응시","")))</f>
        <v/>
      </c>
      <c r="N80" s="10" t="str">
        <f aca="false">IF(H80="","",H80+ROW()/100000)</f>
        <v/>
      </c>
    </row>
    <row r="81" customFormat="false" ht="15" hidden="false" customHeight="false" outlineLevel="0" collapsed="false">
      <c r="A81" s="5" t="n">
        <v>75</v>
      </c>
      <c r="B81" s="27" t="str">
        <f aca="false">IF(학생명단!B81="","",학생명단!B81)</f>
        <v/>
      </c>
      <c r="C81" s="27" t="str">
        <f aca="false">IF(학생명단!C81="","",학생명단!C81)</f>
        <v/>
      </c>
      <c r="D81" s="27" t="str">
        <f aca="false">IF(학생명단!D81="","",학생명단!D81)</f>
        <v/>
      </c>
      <c r="E81" s="27" t="str">
        <f aca="false">공수1!Y81</f>
        <v/>
      </c>
      <c r="F81" s="27" t="str">
        <f aca="false">공수2!Y81</f>
        <v/>
      </c>
      <c r="G81" s="28" t="str">
        <f aca="false">IF(AND(E81="",F81=""),"",N(E81)*설정!$C$13+N(F81)*설정!$C$14)</f>
        <v/>
      </c>
      <c r="H81" s="27" t="str">
        <f aca="false">IF(G81="","",COUNTIF($G$7:$G$86,"&gt;"&amp;G81)+1)</f>
        <v/>
      </c>
      <c r="I81" s="27" t="str">
        <f aca="false">IF(H81="","",IF(H81&lt;=설정!$C$6,설정!$B$6,IF(H81&lt;=설정!$C$6+설정!$C$7,설정!$B$7,설정!$B$8)))</f>
        <v/>
      </c>
      <c r="J81" s="29" t="str">
        <f aca="false">IF(G81="","",IF(OR(AND(ISNUMBER($T$7),ABS(G81-$T$7)&lt;=설정!$C$15),AND(ISNUMBER($T$8),ABS(G81-$T$8)&lt;=설정!$C$15)),"경계",""))</f>
        <v/>
      </c>
      <c r="K81" s="14"/>
      <c r="L81" s="26" t="str">
        <f aca="false">IF(K81&lt;&gt;"",K81,I81)</f>
        <v/>
      </c>
      <c r="M81" s="30" t="str">
        <f aca="false">IF(G81="","",IF(E81="","공수1 미응시",IF(F81="","공수2 미응시","")))</f>
        <v/>
      </c>
      <c r="N81" s="10" t="str">
        <f aca="false">IF(H81="","",H81+ROW()/100000)</f>
        <v/>
      </c>
    </row>
    <row r="82" customFormat="false" ht="15" hidden="false" customHeight="false" outlineLevel="0" collapsed="false">
      <c r="A82" s="5" t="n">
        <v>76</v>
      </c>
      <c r="B82" s="27" t="str">
        <f aca="false">IF(학생명단!B82="","",학생명단!B82)</f>
        <v/>
      </c>
      <c r="C82" s="27" t="str">
        <f aca="false">IF(학생명단!C82="","",학생명단!C82)</f>
        <v/>
      </c>
      <c r="D82" s="27" t="str">
        <f aca="false">IF(학생명단!D82="","",학생명단!D82)</f>
        <v/>
      </c>
      <c r="E82" s="27" t="str">
        <f aca="false">공수1!Y82</f>
        <v/>
      </c>
      <c r="F82" s="27" t="str">
        <f aca="false">공수2!Y82</f>
        <v/>
      </c>
      <c r="G82" s="28" t="str">
        <f aca="false">IF(AND(E82="",F82=""),"",N(E82)*설정!$C$13+N(F82)*설정!$C$14)</f>
        <v/>
      </c>
      <c r="H82" s="27" t="str">
        <f aca="false">IF(G82="","",COUNTIF($G$7:$G$86,"&gt;"&amp;G82)+1)</f>
        <v/>
      </c>
      <c r="I82" s="27" t="str">
        <f aca="false">IF(H82="","",IF(H82&lt;=설정!$C$6,설정!$B$6,IF(H82&lt;=설정!$C$6+설정!$C$7,설정!$B$7,설정!$B$8)))</f>
        <v/>
      </c>
      <c r="J82" s="29" t="str">
        <f aca="false">IF(G82="","",IF(OR(AND(ISNUMBER($T$7),ABS(G82-$T$7)&lt;=설정!$C$15),AND(ISNUMBER($T$8),ABS(G82-$T$8)&lt;=설정!$C$15)),"경계",""))</f>
        <v/>
      </c>
      <c r="K82" s="14"/>
      <c r="L82" s="26" t="str">
        <f aca="false">IF(K82&lt;&gt;"",K82,I82)</f>
        <v/>
      </c>
      <c r="M82" s="30" t="str">
        <f aca="false">IF(G82="","",IF(E82="","공수1 미응시",IF(F82="","공수2 미응시","")))</f>
        <v/>
      </c>
      <c r="N82" s="10" t="str">
        <f aca="false">IF(H82="","",H82+ROW()/100000)</f>
        <v/>
      </c>
    </row>
    <row r="83" customFormat="false" ht="15" hidden="false" customHeight="false" outlineLevel="0" collapsed="false">
      <c r="A83" s="5" t="n">
        <v>77</v>
      </c>
      <c r="B83" s="27" t="str">
        <f aca="false">IF(학생명단!B83="","",학생명단!B83)</f>
        <v/>
      </c>
      <c r="C83" s="27" t="str">
        <f aca="false">IF(학생명단!C83="","",학생명단!C83)</f>
        <v/>
      </c>
      <c r="D83" s="27" t="str">
        <f aca="false">IF(학생명단!D83="","",학생명단!D83)</f>
        <v/>
      </c>
      <c r="E83" s="27" t="str">
        <f aca="false">공수1!Y83</f>
        <v/>
      </c>
      <c r="F83" s="27" t="str">
        <f aca="false">공수2!Y83</f>
        <v/>
      </c>
      <c r="G83" s="28" t="str">
        <f aca="false">IF(AND(E83="",F83=""),"",N(E83)*설정!$C$13+N(F83)*설정!$C$14)</f>
        <v/>
      </c>
      <c r="H83" s="27" t="str">
        <f aca="false">IF(G83="","",COUNTIF($G$7:$G$86,"&gt;"&amp;G83)+1)</f>
        <v/>
      </c>
      <c r="I83" s="27" t="str">
        <f aca="false">IF(H83="","",IF(H83&lt;=설정!$C$6,설정!$B$6,IF(H83&lt;=설정!$C$6+설정!$C$7,설정!$B$7,설정!$B$8)))</f>
        <v/>
      </c>
      <c r="J83" s="29" t="str">
        <f aca="false">IF(G83="","",IF(OR(AND(ISNUMBER($T$7),ABS(G83-$T$7)&lt;=설정!$C$15),AND(ISNUMBER($T$8),ABS(G83-$T$8)&lt;=설정!$C$15)),"경계",""))</f>
        <v/>
      </c>
      <c r="K83" s="14"/>
      <c r="L83" s="26" t="str">
        <f aca="false">IF(K83&lt;&gt;"",K83,I83)</f>
        <v/>
      </c>
      <c r="M83" s="30" t="str">
        <f aca="false">IF(G83="","",IF(E83="","공수1 미응시",IF(F83="","공수2 미응시","")))</f>
        <v/>
      </c>
      <c r="N83" s="10" t="str">
        <f aca="false">IF(H83="","",H83+ROW()/100000)</f>
        <v/>
      </c>
    </row>
    <row r="84" customFormat="false" ht="15" hidden="false" customHeight="false" outlineLevel="0" collapsed="false">
      <c r="A84" s="5" t="n">
        <v>78</v>
      </c>
      <c r="B84" s="27" t="str">
        <f aca="false">IF(학생명단!B84="","",학생명단!B84)</f>
        <v/>
      </c>
      <c r="C84" s="27" t="str">
        <f aca="false">IF(학생명단!C84="","",학생명단!C84)</f>
        <v/>
      </c>
      <c r="D84" s="27" t="str">
        <f aca="false">IF(학생명단!D84="","",학생명단!D84)</f>
        <v/>
      </c>
      <c r="E84" s="27" t="str">
        <f aca="false">공수1!Y84</f>
        <v/>
      </c>
      <c r="F84" s="27" t="str">
        <f aca="false">공수2!Y84</f>
        <v/>
      </c>
      <c r="G84" s="28" t="str">
        <f aca="false">IF(AND(E84="",F84=""),"",N(E84)*설정!$C$13+N(F84)*설정!$C$14)</f>
        <v/>
      </c>
      <c r="H84" s="27" t="str">
        <f aca="false">IF(G84="","",COUNTIF($G$7:$G$86,"&gt;"&amp;G84)+1)</f>
        <v/>
      </c>
      <c r="I84" s="27" t="str">
        <f aca="false">IF(H84="","",IF(H84&lt;=설정!$C$6,설정!$B$6,IF(H84&lt;=설정!$C$6+설정!$C$7,설정!$B$7,설정!$B$8)))</f>
        <v/>
      </c>
      <c r="J84" s="29" t="str">
        <f aca="false">IF(G84="","",IF(OR(AND(ISNUMBER($T$7),ABS(G84-$T$7)&lt;=설정!$C$15),AND(ISNUMBER($T$8),ABS(G84-$T$8)&lt;=설정!$C$15)),"경계",""))</f>
        <v/>
      </c>
      <c r="K84" s="14"/>
      <c r="L84" s="26" t="str">
        <f aca="false">IF(K84&lt;&gt;"",K84,I84)</f>
        <v/>
      </c>
      <c r="M84" s="30" t="str">
        <f aca="false">IF(G84="","",IF(E84="","공수1 미응시",IF(F84="","공수2 미응시","")))</f>
        <v/>
      </c>
      <c r="N84" s="10" t="str">
        <f aca="false">IF(H84="","",H84+ROW()/100000)</f>
        <v/>
      </c>
    </row>
    <row r="85" customFormat="false" ht="15" hidden="false" customHeight="false" outlineLevel="0" collapsed="false">
      <c r="A85" s="5" t="n">
        <v>79</v>
      </c>
      <c r="B85" s="27" t="str">
        <f aca="false">IF(학생명단!B85="","",학생명단!B85)</f>
        <v/>
      </c>
      <c r="C85" s="27" t="str">
        <f aca="false">IF(학생명단!C85="","",학생명단!C85)</f>
        <v/>
      </c>
      <c r="D85" s="27" t="str">
        <f aca="false">IF(학생명단!D85="","",학생명단!D85)</f>
        <v/>
      </c>
      <c r="E85" s="27" t="str">
        <f aca="false">공수1!Y85</f>
        <v/>
      </c>
      <c r="F85" s="27" t="str">
        <f aca="false">공수2!Y85</f>
        <v/>
      </c>
      <c r="G85" s="28" t="str">
        <f aca="false">IF(AND(E85="",F85=""),"",N(E85)*설정!$C$13+N(F85)*설정!$C$14)</f>
        <v/>
      </c>
      <c r="H85" s="27" t="str">
        <f aca="false">IF(G85="","",COUNTIF($G$7:$G$86,"&gt;"&amp;G85)+1)</f>
        <v/>
      </c>
      <c r="I85" s="27" t="str">
        <f aca="false">IF(H85="","",IF(H85&lt;=설정!$C$6,설정!$B$6,IF(H85&lt;=설정!$C$6+설정!$C$7,설정!$B$7,설정!$B$8)))</f>
        <v/>
      </c>
      <c r="J85" s="29" t="str">
        <f aca="false">IF(G85="","",IF(OR(AND(ISNUMBER($T$7),ABS(G85-$T$7)&lt;=설정!$C$15),AND(ISNUMBER($T$8),ABS(G85-$T$8)&lt;=설정!$C$15)),"경계",""))</f>
        <v/>
      </c>
      <c r="K85" s="14"/>
      <c r="L85" s="26" t="str">
        <f aca="false">IF(K85&lt;&gt;"",K85,I85)</f>
        <v/>
      </c>
      <c r="M85" s="30" t="str">
        <f aca="false">IF(G85="","",IF(E85="","공수1 미응시",IF(F85="","공수2 미응시","")))</f>
        <v/>
      </c>
      <c r="N85" s="10" t="str">
        <f aca="false">IF(H85="","",H85+ROW()/100000)</f>
        <v/>
      </c>
    </row>
    <row r="86" customFormat="false" ht="15" hidden="false" customHeight="false" outlineLevel="0" collapsed="false">
      <c r="A86" s="5" t="n">
        <v>80</v>
      </c>
      <c r="B86" s="27" t="str">
        <f aca="false">IF(학생명단!B86="","",학생명단!B86)</f>
        <v/>
      </c>
      <c r="C86" s="27" t="str">
        <f aca="false">IF(학생명단!C86="","",학생명단!C86)</f>
        <v/>
      </c>
      <c r="D86" s="27" t="str">
        <f aca="false">IF(학생명단!D86="","",학생명단!D86)</f>
        <v/>
      </c>
      <c r="E86" s="27" t="str">
        <f aca="false">공수1!Y86</f>
        <v/>
      </c>
      <c r="F86" s="27" t="str">
        <f aca="false">공수2!Y86</f>
        <v/>
      </c>
      <c r="G86" s="28" t="str">
        <f aca="false">IF(AND(E86="",F86=""),"",N(E86)*설정!$C$13+N(F86)*설정!$C$14)</f>
        <v/>
      </c>
      <c r="H86" s="27" t="str">
        <f aca="false">IF(G86="","",COUNTIF($G$7:$G$86,"&gt;"&amp;G86)+1)</f>
        <v/>
      </c>
      <c r="I86" s="27" t="str">
        <f aca="false">IF(H86="","",IF(H86&lt;=설정!$C$6,설정!$B$6,IF(H86&lt;=설정!$C$6+설정!$C$7,설정!$B$7,설정!$B$8)))</f>
        <v/>
      </c>
      <c r="J86" s="29" t="str">
        <f aca="false">IF(G86="","",IF(OR(AND(ISNUMBER($T$7),ABS(G86-$T$7)&lt;=설정!$C$15),AND(ISNUMBER($T$8),ABS(G86-$T$8)&lt;=설정!$C$15)),"경계",""))</f>
        <v/>
      </c>
      <c r="K86" s="14"/>
      <c r="L86" s="26" t="str">
        <f aca="false">IF(K86&lt;&gt;"",K86,I86)</f>
        <v/>
      </c>
      <c r="M86" s="30" t="str">
        <f aca="false">IF(G86="","",IF(E86="","공수1 미응시",IF(F86="","공수2 미응시","")))</f>
        <v/>
      </c>
      <c r="N86" s="10" t="str">
        <f aca="false">IF(H86="","",H86+ROW()/100000)</f>
        <v/>
      </c>
    </row>
  </sheetData>
  <mergeCells count="3">
    <mergeCell ref="A1:U1"/>
    <mergeCell ref="A2:U2"/>
    <mergeCell ref="P12:W14"/>
  </mergeCells>
  <conditionalFormatting sqref="A7:M86">
    <cfRule type="expression" priority="2" aboveAverage="0" equalAverage="0" bottom="0" percent="0" rank="0" text="" dxfId="2">
      <formula>$J7="경계"</formula>
    </cfRule>
  </conditionalFormatting>
  <conditionalFormatting sqref="L7:L86">
    <cfRule type="expression" priority="3" aboveAverage="0" equalAverage="0" bottom="0" percent="0" rank="0" text="" dxfId="3">
      <formula>AND($L7&lt;&gt;"",$L7=설정!$B$6)</formula>
    </cfRule>
    <cfRule type="expression" priority="4" aboveAverage="0" equalAverage="0" bottom="0" percent="0" rank="0" text="" dxfId="4">
      <formula>AND($L7&lt;&gt;"",$L7=설정!$B$7)</formula>
    </cfRule>
    <cfRule type="expression" priority="5" aboveAverage="0" equalAverage="0" bottom="0" percent="0" rank="0" text="" dxfId="5">
      <formula>AND($L7&lt;&gt;"",$L7=설정!$B$8)</formula>
    </cfRule>
  </conditionalFormatting>
  <dataValidations count="1">
    <dataValidation allowBlank="true" errorStyle="stop" operator="between" showDropDown="false" showErrorMessage="false" showInputMessage="false" sqref="K7:K86" type="list">
      <formula1>설정!$B$6:$B$8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6"/>
    <col collapsed="false" customWidth="true" hidden="false" outlineLevel="0" max="10" min="10" style="0" width="13"/>
    <col collapsed="false" customWidth="true" hidden="true" outlineLevel="0" max="12" min="11" style="0" width="13"/>
  </cols>
  <sheetData>
    <row r="1" customFormat="false" ht="25.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116</v>
      </c>
      <c r="B2" s="2"/>
      <c r="C2" s="2"/>
      <c r="D2" s="2"/>
      <c r="E2" s="2"/>
      <c r="F2" s="2"/>
      <c r="G2" s="2"/>
      <c r="H2" s="2"/>
      <c r="I2" s="2"/>
      <c r="J2" s="2"/>
    </row>
    <row r="6" customFormat="false" ht="15" hidden="false" customHeight="false" outlineLevel="0" collapsed="false">
      <c r="A6" s="4" t="s">
        <v>102</v>
      </c>
      <c r="B6" s="4" t="s">
        <v>51</v>
      </c>
      <c r="C6" s="4" t="s">
        <v>52</v>
      </c>
      <c r="D6" s="4" t="s">
        <v>53</v>
      </c>
      <c r="E6" s="4" t="s">
        <v>99</v>
      </c>
      <c r="F6" s="4" t="s">
        <v>100</v>
      </c>
      <c r="G6" s="4" t="s">
        <v>101</v>
      </c>
      <c r="H6" s="4" t="s">
        <v>106</v>
      </c>
      <c r="I6" s="4" t="s">
        <v>104</v>
      </c>
      <c r="J6" s="4" t="s">
        <v>55</v>
      </c>
    </row>
    <row r="7" customFormat="false" ht="15" hidden="false" customHeight="false" outlineLevel="0" collapsed="false">
      <c r="A7" s="27" t="str">
        <f aca="false">IF($L7="","",INDEX(반배정!H$7:H$86,$L7))</f>
        <v/>
      </c>
      <c r="B7" s="27" t="str">
        <f aca="false">IF($L7="","",INDEX(반배정!B$7:B$86,$L7))</f>
        <v/>
      </c>
      <c r="C7" s="27" t="str">
        <f aca="false">IF($L7="","",INDEX(반배정!C$7:C$86,$L7))</f>
        <v/>
      </c>
      <c r="D7" s="27" t="str">
        <f aca="false">IF($L7="","",INDEX(반배정!D$7:D$86,$L7))</f>
        <v/>
      </c>
      <c r="E7" s="27" t="str">
        <f aca="false">IF($L7="","",INDEX(반배정!E$7:E$86,$L7))</f>
        <v/>
      </c>
      <c r="F7" s="27" t="str">
        <f aca="false">IF($L7="","",INDEX(반배정!F$7:F$86,$L7))</f>
        <v/>
      </c>
      <c r="G7" s="28" t="str">
        <f aca="false">IF($L7="","",INDEX(반배정!G$7:G$86,$L7))</f>
        <v/>
      </c>
      <c r="H7" s="26" t="str">
        <f aca="false">IF($L7="","",INDEX(반배정!L$7:L$86,$L7))</f>
        <v/>
      </c>
      <c r="I7" s="27" t="str">
        <f aca="false">IF($L7="","",INDEX(반배정!J$7:J$86,$L7))</f>
        <v/>
      </c>
      <c r="J7" s="27" t="str">
        <f aca="false">IF($L7="","",INDEX(반배정!M$7:M$86,$L7))</f>
        <v/>
      </c>
      <c r="K7" s="10" t="str">
        <f aca="false">IFERROR(SMALL(반배정!$N$7:$N$86,1),"")</f>
        <v/>
      </c>
      <c r="L7" s="10" t="str">
        <f aca="false">IF(K7="","",MATCH(K7,반배정!$N$7:$N$86,0))</f>
        <v/>
      </c>
    </row>
    <row r="8" customFormat="false" ht="15" hidden="false" customHeight="false" outlineLevel="0" collapsed="false">
      <c r="A8" s="27" t="str">
        <f aca="false">IF($L8="","",INDEX(반배정!H$7:H$86,$L8))</f>
        <v/>
      </c>
      <c r="B8" s="27" t="str">
        <f aca="false">IF($L8="","",INDEX(반배정!B$7:B$86,$L8))</f>
        <v/>
      </c>
      <c r="C8" s="27" t="str">
        <f aca="false">IF($L8="","",INDEX(반배정!C$7:C$86,$L8))</f>
        <v/>
      </c>
      <c r="D8" s="27" t="str">
        <f aca="false">IF($L8="","",INDEX(반배정!D$7:D$86,$L8))</f>
        <v/>
      </c>
      <c r="E8" s="27" t="str">
        <f aca="false">IF($L8="","",INDEX(반배정!E$7:E$86,$L8))</f>
        <v/>
      </c>
      <c r="F8" s="27" t="str">
        <f aca="false">IF($L8="","",INDEX(반배정!F$7:F$86,$L8))</f>
        <v/>
      </c>
      <c r="G8" s="28" t="str">
        <f aca="false">IF($L8="","",INDEX(반배정!G$7:G$86,$L8))</f>
        <v/>
      </c>
      <c r="H8" s="26" t="str">
        <f aca="false">IF($L8="","",INDEX(반배정!L$7:L$86,$L8))</f>
        <v/>
      </c>
      <c r="I8" s="27" t="str">
        <f aca="false">IF($L8="","",INDEX(반배정!J$7:J$86,$L8))</f>
        <v/>
      </c>
      <c r="J8" s="27" t="str">
        <f aca="false">IF($L8="","",INDEX(반배정!M$7:M$86,$L8))</f>
        <v/>
      </c>
      <c r="K8" s="10" t="str">
        <f aca="false">IFERROR(SMALL(반배정!$N$7:$N$86,2),"")</f>
        <v/>
      </c>
      <c r="L8" s="10" t="str">
        <f aca="false">IF(K8="","",MATCH(K8,반배정!$N$7:$N$86,0))</f>
        <v/>
      </c>
    </row>
    <row r="9" customFormat="false" ht="15" hidden="false" customHeight="false" outlineLevel="0" collapsed="false">
      <c r="A9" s="27" t="str">
        <f aca="false">IF($L9="","",INDEX(반배정!H$7:H$86,$L9))</f>
        <v/>
      </c>
      <c r="B9" s="27" t="str">
        <f aca="false">IF($L9="","",INDEX(반배정!B$7:B$86,$L9))</f>
        <v/>
      </c>
      <c r="C9" s="27" t="str">
        <f aca="false">IF($L9="","",INDEX(반배정!C$7:C$86,$L9))</f>
        <v/>
      </c>
      <c r="D9" s="27" t="str">
        <f aca="false">IF($L9="","",INDEX(반배정!D$7:D$86,$L9))</f>
        <v/>
      </c>
      <c r="E9" s="27" t="str">
        <f aca="false">IF($L9="","",INDEX(반배정!E$7:E$86,$L9))</f>
        <v/>
      </c>
      <c r="F9" s="27" t="str">
        <f aca="false">IF($L9="","",INDEX(반배정!F$7:F$86,$L9))</f>
        <v/>
      </c>
      <c r="G9" s="28" t="str">
        <f aca="false">IF($L9="","",INDEX(반배정!G$7:G$86,$L9))</f>
        <v/>
      </c>
      <c r="H9" s="26" t="str">
        <f aca="false">IF($L9="","",INDEX(반배정!L$7:L$86,$L9))</f>
        <v/>
      </c>
      <c r="I9" s="27" t="str">
        <f aca="false">IF($L9="","",INDEX(반배정!J$7:J$86,$L9))</f>
        <v/>
      </c>
      <c r="J9" s="27" t="str">
        <f aca="false">IF($L9="","",INDEX(반배정!M$7:M$86,$L9))</f>
        <v/>
      </c>
      <c r="K9" s="10" t="str">
        <f aca="false">IFERROR(SMALL(반배정!$N$7:$N$86,3),"")</f>
        <v/>
      </c>
      <c r="L9" s="10" t="str">
        <f aca="false">IF(K9="","",MATCH(K9,반배정!$N$7:$N$86,0))</f>
        <v/>
      </c>
    </row>
    <row r="10" customFormat="false" ht="15" hidden="false" customHeight="false" outlineLevel="0" collapsed="false">
      <c r="A10" s="27" t="str">
        <f aca="false">IF($L10="","",INDEX(반배정!H$7:H$86,$L10))</f>
        <v/>
      </c>
      <c r="B10" s="27" t="str">
        <f aca="false">IF($L10="","",INDEX(반배정!B$7:B$86,$L10))</f>
        <v/>
      </c>
      <c r="C10" s="27" t="str">
        <f aca="false">IF($L10="","",INDEX(반배정!C$7:C$86,$L10))</f>
        <v/>
      </c>
      <c r="D10" s="27" t="str">
        <f aca="false">IF($L10="","",INDEX(반배정!D$7:D$86,$L10))</f>
        <v/>
      </c>
      <c r="E10" s="27" t="str">
        <f aca="false">IF($L10="","",INDEX(반배정!E$7:E$86,$L10))</f>
        <v/>
      </c>
      <c r="F10" s="27" t="str">
        <f aca="false">IF($L10="","",INDEX(반배정!F$7:F$86,$L10))</f>
        <v/>
      </c>
      <c r="G10" s="28" t="str">
        <f aca="false">IF($L10="","",INDEX(반배정!G$7:G$86,$L10))</f>
        <v/>
      </c>
      <c r="H10" s="26" t="str">
        <f aca="false">IF($L10="","",INDEX(반배정!L$7:L$86,$L10))</f>
        <v/>
      </c>
      <c r="I10" s="27" t="str">
        <f aca="false">IF($L10="","",INDEX(반배정!J$7:J$86,$L10))</f>
        <v/>
      </c>
      <c r="J10" s="27" t="str">
        <f aca="false">IF($L10="","",INDEX(반배정!M$7:M$86,$L10))</f>
        <v/>
      </c>
      <c r="K10" s="10" t="str">
        <f aca="false">IFERROR(SMALL(반배정!$N$7:$N$86,4),"")</f>
        <v/>
      </c>
      <c r="L10" s="10" t="str">
        <f aca="false">IF(K10="","",MATCH(K10,반배정!$N$7:$N$86,0))</f>
        <v/>
      </c>
    </row>
    <row r="11" customFormat="false" ht="15" hidden="false" customHeight="false" outlineLevel="0" collapsed="false">
      <c r="A11" s="27" t="str">
        <f aca="false">IF($L11="","",INDEX(반배정!H$7:H$86,$L11))</f>
        <v/>
      </c>
      <c r="B11" s="27" t="str">
        <f aca="false">IF($L11="","",INDEX(반배정!B$7:B$86,$L11))</f>
        <v/>
      </c>
      <c r="C11" s="27" t="str">
        <f aca="false">IF($L11="","",INDEX(반배정!C$7:C$86,$L11))</f>
        <v/>
      </c>
      <c r="D11" s="27" t="str">
        <f aca="false">IF($L11="","",INDEX(반배정!D$7:D$86,$L11))</f>
        <v/>
      </c>
      <c r="E11" s="27" t="str">
        <f aca="false">IF($L11="","",INDEX(반배정!E$7:E$86,$L11))</f>
        <v/>
      </c>
      <c r="F11" s="27" t="str">
        <f aca="false">IF($L11="","",INDEX(반배정!F$7:F$86,$L11))</f>
        <v/>
      </c>
      <c r="G11" s="28" t="str">
        <f aca="false">IF($L11="","",INDEX(반배정!G$7:G$86,$L11))</f>
        <v/>
      </c>
      <c r="H11" s="26" t="str">
        <f aca="false">IF($L11="","",INDEX(반배정!L$7:L$86,$L11))</f>
        <v/>
      </c>
      <c r="I11" s="27" t="str">
        <f aca="false">IF($L11="","",INDEX(반배정!J$7:J$86,$L11))</f>
        <v/>
      </c>
      <c r="J11" s="27" t="str">
        <f aca="false">IF($L11="","",INDEX(반배정!M$7:M$86,$L11))</f>
        <v/>
      </c>
      <c r="K11" s="10" t="str">
        <f aca="false">IFERROR(SMALL(반배정!$N$7:$N$86,5),"")</f>
        <v/>
      </c>
      <c r="L11" s="10" t="str">
        <f aca="false">IF(K11="","",MATCH(K11,반배정!$N$7:$N$86,0))</f>
        <v/>
      </c>
    </row>
    <row r="12" customFormat="false" ht="15" hidden="false" customHeight="false" outlineLevel="0" collapsed="false">
      <c r="A12" s="27" t="str">
        <f aca="false">IF($L12="","",INDEX(반배정!H$7:H$86,$L12))</f>
        <v/>
      </c>
      <c r="B12" s="27" t="str">
        <f aca="false">IF($L12="","",INDEX(반배정!B$7:B$86,$L12))</f>
        <v/>
      </c>
      <c r="C12" s="27" t="str">
        <f aca="false">IF($L12="","",INDEX(반배정!C$7:C$86,$L12))</f>
        <v/>
      </c>
      <c r="D12" s="27" t="str">
        <f aca="false">IF($L12="","",INDEX(반배정!D$7:D$86,$L12))</f>
        <v/>
      </c>
      <c r="E12" s="27" t="str">
        <f aca="false">IF($L12="","",INDEX(반배정!E$7:E$86,$L12))</f>
        <v/>
      </c>
      <c r="F12" s="27" t="str">
        <f aca="false">IF($L12="","",INDEX(반배정!F$7:F$86,$L12))</f>
        <v/>
      </c>
      <c r="G12" s="28" t="str">
        <f aca="false">IF($L12="","",INDEX(반배정!G$7:G$86,$L12))</f>
        <v/>
      </c>
      <c r="H12" s="26" t="str">
        <f aca="false">IF($L12="","",INDEX(반배정!L$7:L$86,$L12))</f>
        <v/>
      </c>
      <c r="I12" s="27" t="str">
        <f aca="false">IF($L12="","",INDEX(반배정!J$7:J$86,$L12))</f>
        <v/>
      </c>
      <c r="J12" s="27" t="str">
        <f aca="false">IF($L12="","",INDEX(반배정!M$7:M$86,$L12))</f>
        <v/>
      </c>
      <c r="K12" s="10" t="str">
        <f aca="false">IFERROR(SMALL(반배정!$N$7:$N$86,6),"")</f>
        <v/>
      </c>
      <c r="L12" s="10" t="str">
        <f aca="false">IF(K12="","",MATCH(K12,반배정!$N$7:$N$86,0))</f>
        <v/>
      </c>
    </row>
    <row r="13" customFormat="false" ht="15" hidden="false" customHeight="false" outlineLevel="0" collapsed="false">
      <c r="A13" s="27" t="str">
        <f aca="false">IF($L13="","",INDEX(반배정!H$7:H$86,$L13))</f>
        <v/>
      </c>
      <c r="B13" s="27" t="str">
        <f aca="false">IF($L13="","",INDEX(반배정!B$7:B$86,$L13))</f>
        <v/>
      </c>
      <c r="C13" s="27" t="str">
        <f aca="false">IF($L13="","",INDEX(반배정!C$7:C$86,$L13))</f>
        <v/>
      </c>
      <c r="D13" s="27" t="str">
        <f aca="false">IF($L13="","",INDEX(반배정!D$7:D$86,$L13))</f>
        <v/>
      </c>
      <c r="E13" s="27" t="str">
        <f aca="false">IF($L13="","",INDEX(반배정!E$7:E$86,$L13))</f>
        <v/>
      </c>
      <c r="F13" s="27" t="str">
        <f aca="false">IF($L13="","",INDEX(반배정!F$7:F$86,$L13))</f>
        <v/>
      </c>
      <c r="G13" s="28" t="str">
        <f aca="false">IF($L13="","",INDEX(반배정!G$7:G$86,$L13))</f>
        <v/>
      </c>
      <c r="H13" s="26" t="str">
        <f aca="false">IF($L13="","",INDEX(반배정!L$7:L$86,$L13))</f>
        <v/>
      </c>
      <c r="I13" s="27" t="str">
        <f aca="false">IF($L13="","",INDEX(반배정!J$7:J$86,$L13))</f>
        <v/>
      </c>
      <c r="J13" s="27" t="str">
        <f aca="false">IF($L13="","",INDEX(반배정!M$7:M$86,$L13))</f>
        <v/>
      </c>
      <c r="K13" s="10" t="str">
        <f aca="false">IFERROR(SMALL(반배정!$N$7:$N$86,7),"")</f>
        <v/>
      </c>
      <c r="L13" s="10" t="str">
        <f aca="false">IF(K13="","",MATCH(K13,반배정!$N$7:$N$86,0))</f>
        <v/>
      </c>
    </row>
    <row r="14" customFormat="false" ht="15" hidden="false" customHeight="false" outlineLevel="0" collapsed="false">
      <c r="A14" s="27" t="str">
        <f aca="false">IF($L14="","",INDEX(반배정!H$7:H$86,$L14))</f>
        <v/>
      </c>
      <c r="B14" s="27" t="str">
        <f aca="false">IF($L14="","",INDEX(반배정!B$7:B$86,$L14))</f>
        <v/>
      </c>
      <c r="C14" s="27" t="str">
        <f aca="false">IF($L14="","",INDEX(반배정!C$7:C$86,$L14))</f>
        <v/>
      </c>
      <c r="D14" s="27" t="str">
        <f aca="false">IF($L14="","",INDEX(반배정!D$7:D$86,$L14))</f>
        <v/>
      </c>
      <c r="E14" s="27" t="str">
        <f aca="false">IF($L14="","",INDEX(반배정!E$7:E$86,$L14))</f>
        <v/>
      </c>
      <c r="F14" s="27" t="str">
        <f aca="false">IF($L14="","",INDEX(반배정!F$7:F$86,$L14))</f>
        <v/>
      </c>
      <c r="G14" s="28" t="str">
        <f aca="false">IF($L14="","",INDEX(반배정!G$7:G$86,$L14))</f>
        <v/>
      </c>
      <c r="H14" s="26" t="str">
        <f aca="false">IF($L14="","",INDEX(반배정!L$7:L$86,$L14))</f>
        <v/>
      </c>
      <c r="I14" s="27" t="str">
        <f aca="false">IF($L14="","",INDEX(반배정!J$7:J$86,$L14))</f>
        <v/>
      </c>
      <c r="J14" s="27" t="str">
        <f aca="false">IF($L14="","",INDEX(반배정!M$7:M$86,$L14))</f>
        <v/>
      </c>
      <c r="K14" s="10" t="str">
        <f aca="false">IFERROR(SMALL(반배정!$N$7:$N$86,8),"")</f>
        <v/>
      </c>
      <c r="L14" s="10" t="str">
        <f aca="false">IF(K14="","",MATCH(K14,반배정!$N$7:$N$86,0))</f>
        <v/>
      </c>
    </row>
    <row r="15" customFormat="false" ht="15" hidden="false" customHeight="false" outlineLevel="0" collapsed="false">
      <c r="A15" s="27" t="str">
        <f aca="false">IF($L15="","",INDEX(반배정!H$7:H$86,$L15))</f>
        <v/>
      </c>
      <c r="B15" s="27" t="str">
        <f aca="false">IF($L15="","",INDEX(반배정!B$7:B$86,$L15))</f>
        <v/>
      </c>
      <c r="C15" s="27" t="str">
        <f aca="false">IF($L15="","",INDEX(반배정!C$7:C$86,$L15))</f>
        <v/>
      </c>
      <c r="D15" s="27" t="str">
        <f aca="false">IF($L15="","",INDEX(반배정!D$7:D$86,$L15))</f>
        <v/>
      </c>
      <c r="E15" s="27" t="str">
        <f aca="false">IF($L15="","",INDEX(반배정!E$7:E$86,$L15))</f>
        <v/>
      </c>
      <c r="F15" s="27" t="str">
        <f aca="false">IF($L15="","",INDEX(반배정!F$7:F$86,$L15))</f>
        <v/>
      </c>
      <c r="G15" s="28" t="str">
        <f aca="false">IF($L15="","",INDEX(반배정!G$7:G$86,$L15))</f>
        <v/>
      </c>
      <c r="H15" s="26" t="str">
        <f aca="false">IF($L15="","",INDEX(반배정!L$7:L$86,$L15))</f>
        <v/>
      </c>
      <c r="I15" s="27" t="str">
        <f aca="false">IF($L15="","",INDEX(반배정!J$7:J$86,$L15))</f>
        <v/>
      </c>
      <c r="J15" s="27" t="str">
        <f aca="false">IF($L15="","",INDEX(반배정!M$7:M$86,$L15))</f>
        <v/>
      </c>
      <c r="K15" s="10" t="str">
        <f aca="false">IFERROR(SMALL(반배정!$N$7:$N$86,9),"")</f>
        <v/>
      </c>
      <c r="L15" s="10" t="str">
        <f aca="false">IF(K15="","",MATCH(K15,반배정!$N$7:$N$86,0))</f>
        <v/>
      </c>
    </row>
    <row r="16" customFormat="false" ht="15" hidden="false" customHeight="false" outlineLevel="0" collapsed="false">
      <c r="A16" s="27" t="str">
        <f aca="false">IF($L16="","",INDEX(반배정!H$7:H$86,$L16))</f>
        <v/>
      </c>
      <c r="B16" s="27" t="str">
        <f aca="false">IF($L16="","",INDEX(반배정!B$7:B$86,$L16))</f>
        <v/>
      </c>
      <c r="C16" s="27" t="str">
        <f aca="false">IF($L16="","",INDEX(반배정!C$7:C$86,$L16))</f>
        <v/>
      </c>
      <c r="D16" s="27" t="str">
        <f aca="false">IF($L16="","",INDEX(반배정!D$7:D$86,$L16))</f>
        <v/>
      </c>
      <c r="E16" s="27" t="str">
        <f aca="false">IF($L16="","",INDEX(반배정!E$7:E$86,$L16))</f>
        <v/>
      </c>
      <c r="F16" s="27" t="str">
        <f aca="false">IF($L16="","",INDEX(반배정!F$7:F$86,$L16))</f>
        <v/>
      </c>
      <c r="G16" s="28" t="str">
        <f aca="false">IF($L16="","",INDEX(반배정!G$7:G$86,$L16))</f>
        <v/>
      </c>
      <c r="H16" s="26" t="str">
        <f aca="false">IF($L16="","",INDEX(반배정!L$7:L$86,$L16))</f>
        <v/>
      </c>
      <c r="I16" s="27" t="str">
        <f aca="false">IF($L16="","",INDEX(반배정!J$7:J$86,$L16))</f>
        <v/>
      </c>
      <c r="J16" s="27" t="str">
        <f aca="false">IF($L16="","",INDEX(반배정!M$7:M$86,$L16))</f>
        <v/>
      </c>
      <c r="K16" s="10" t="str">
        <f aca="false">IFERROR(SMALL(반배정!$N$7:$N$86,10),"")</f>
        <v/>
      </c>
      <c r="L16" s="10" t="str">
        <f aca="false">IF(K16="","",MATCH(K16,반배정!$N$7:$N$86,0))</f>
        <v/>
      </c>
    </row>
    <row r="17" customFormat="false" ht="15" hidden="false" customHeight="false" outlineLevel="0" collapsed="false">
      <c r="A17" s="27" t="str">
        <f aca="false">IF($L17="","",INDEX(반배정!H$7:H$86,$L17))</f>
        <v/>
      </c>
      <c r="B17" s="27" t="str">
        <f aca="false">IF($L17="","",INDEX(반배정!B$7:B$86,$L17))</f>
        <v/>
      </c>
      <c r="C17" s="27" t="str">
        <f aca="false">IF($L17="","",INDEX(반배정!C$7:C$86,$L17))</f>
        <v/>
      </c>
      <c r="D17" s="27" t="str">
        <f aca="false">IF($L17="","",INDEX(반배정!D$7:D$86,$L17))</f>
        <v/>
      </c>
      <c r="E17" s="27" t="str">
        <f aca="false">IF($L17="","",INDEX(반배정!E$7:E$86,$L17))</f>
        <v/>
      </c>
      <c r="F17" s="27" t="str">
        <f aca="false">IF($L17="","",INDEX(반배정!F$7:F$86,$L17))</f>
        <v/>
      </c>
      <c r="G17" s="28" t="str">
        <f aca="false">IF($L17="","",INDEX(반배정!G$7:G$86,$L17))</f>
        <v/>
      </c>
      <c r="H17" s="26" t="str">
        <f aca="false">IF($L17="","",INDEX(반배정!L$7:L$86,$L17))</f>
        <v/>
      </c>
      <c r="I17" s="27" t="str">
        <f aca="false">IF($L17="","",INDEX(반배정!J$7:J$86,$L17))</f>
        <v/>
      </c>
      <c r="J17" s="27" t="str">
        <f aca="false">IF($L17="","",INDEX(반배정!M$7:M$86,$L17))</f>
        <v/>
      </c>
      <c r="K17" s="10" t="str">
        <f aca="false">IFERROR(SMALL(반배정!$N$7:$N$86,11),"")</f>
        <v/>
      </c>
      <c r="L17" s="10" t="str">
        <f aca="false">IF(K17="","",MATCH(K17,반배정!$N$7:$N$86,0))</f>
        <v/>
      </c>
    </row>
    <row r="18" customFormat="false" ht="15" hidden="false" customHeight="false" outlineLevel="0" collapsed="false">
      <c r="A18" s="27" t="str">
        <f aca="false">IF($L18="","",INDEX(반배정!H$7:H$86,$L18))</f>
        <v/>
      </c>
      <c r="B18" s="27" t="str">
        <f aca="false">IF($L18="","",INDEX(반배정!B$7:B$86,$L18))</f>
        <v/>
      </c>
      <c r="C18" s="27" t="str">
        <f aca="false">IF($L18="","",INDEX(반배정!C$7:C$86,$L18))</f>
        <v/>
      </c>
      <c r="D18" s="27" t="str">
        <f aca="false">IF($L18="","",INDEX(반배정!D$7:D$86,$L18))</f>
        <v/>
      </c>
      <c r="E18" s="27" t="str">
        <f aca="false">IF($L18="","",INDEX(반배정!E$7:E$86,$L18))</f>
        <v/>
      </c>
      <c r="F18" s="27" t="str">
        <f aca="false">IF($L18="","",INDEX(반배정!F$7:F$86,$L18))</f>
        <v/>
      </c>
      <c r="G18" s="28" t="str">
        <f aca="false">IF($L18="","",INDEX(반배정!G$7:G$86,$L18))</f>
        <v/>
      </c>
      <c r="H18" s="26" t="str">
        <f aca="false">IF($L18="","",INDEX(반배정!L$7:L$86,$L18))</f>
        <v/>
      </c>
      <c r="I18" s="27" t="str">
        <f aca="false">IF($L18="","",INDEX(반배정!J$7:J$86,$L18))</f>
        <v/>
      </c>
      <c r="J18" s="27" t="str">
        <f aca="false">IF($L18="","",INDEX(반배정!M$7:M$86,$L18))</f>
        <v/>
      </c>
      <c r="K18" s="10" t="str">
        <f aca="false">IFERROR(SMALL(반배정!$N$7:$N$86,12),"")</f>
        <v/>
      </c>
      <c r="L18" s="10" t="str">
        <f aca="false">IF(K18="","",MATCH(K18,반배정!$N$7:$N$86,0))</f>
        <v/>
      </c>
    </row>
    <row r="19" customFormat="false" ht="15" hidden="false" customHeight="false" outlineLevel="0" collapsed="false">
      <c r="A19" s="27" t="str">
        <f aca="false">IF($L19="","",INDEX(반배정!H$7:H$86,$L19))</f>
        <v/>
      </c>
      <c r="B19" s="27" t="str">
        <f aca="false">IF($L19="","",INDEX(반배정!B$7:B$86,$L19))</f>
        <v/>
      </c>
      <c r="C19" s="27" t="str">
        <f aca="false">IF($L19="","",INDEX(반배정!C$7:C$86,$L19))</f>
        <v/>
      </c>
      <c r="D19" s="27" t="str">
        <f aca="false">IF($L19="","",INDEX(반배정!D$7:D$86,$L19))</f>
        <v/>
      </c>
      <c r="E19" s="27" t="str">
        <f aca="false">IF($L19="","",INDEX(반배정!E$7:E$86,$L19))</f>
        <v/>
      </c>
      <c r="F19" s="27" t="str">
        <f aca="false">IF($L19="","",INDEX(반배정!F$7:F$86,$L19))</f>
        <v/>
      </c>
      <c r="G19" s="28" t="str">
        <f aca="false">IF($L19="","",INDEX(반배정!G$7:G$86,$L19))</f>
        <v/>
      </c>
      <c r="H19" s="26" t="str">
        <f aca="false">IF($L19="","",INDEX(반배정!L$7:L$86,$L19))</f>
        <v/>
      </c>
      <c r="I19" s="27" t="str">
        <f aca="false">IF($L19="","",INDEX(반배정!J$7:J$86,$L19))</f>
        <v/>
      </c>
      <c r="J19" s="27" t="str">
        <f aca="false">IF($L19="","",INDEX(반배정!M$7:M$86,$L19))</f>
        <v/>
      </c>
      <c r="K19" s="10" t="str">
        <f aca="false">IFERROR(SMALL(반배정!$N$7:$N$86,13),"")</f>
        <v/>
      </c>
      <c r="L19" s="10" t="str">
        <f aca="false">IF(K19="","",MATCH(K19,반배정!$N$7:$N$86,0))</f>
        <v/>
      </c>
    </row>
    <row r="20" customFormat="false" ht="15" hidden="false" customHeight="false" outlineLevel="0" collapsed="false">
      <c r="A20" s="27" t="str">
        <f aca="false">IF($L20="","",INDEX(반배정!H$7:H$86,$L20))</f>
        <v/>
      </c>
      <c r="B20" s="27" t="str">
        <f aca="false">IF($L20="","",INDEX(반배정!B$7:B$86,$L20))</f>
        <v/>
      </c>
      <c r="C20" s="27" t="str">
        <f aca="false">IF($L20="","",INDEX(반배정!C$7:C$86,$L20))</f>
        <v/>
      </c>
      <c r="D20" s="27" t="str">
        <f aca="false">IF($L20="","",INDEX(반배정!D$7:D$86,$L20))</f>
        <v/>
      </c>
      <c r="E20" s="27" t="str">
        <f aca="false">IF($L20="","",INDEX(반배정!E$7:E$86,$L20))</f>
        <v/>
      </c>
      <c r="F20" s="27" t="str">
        <f aca="false">IF($L20="","",INDEX(반배정!F$7:F$86,$L20))</f>
        <v/>
      </c>
      <c r="G20" s="28" t="str">
        <f aca="false">IF($L20="","",INDEX(반배정!G$7:G$86,$L20))</f>
        <v/>
      </c>
      <c r="H20" s="26" t="str">
        <f aca="false">IF($L20="","",INDEX(반배정!L$7:L$86,$L20))</f>
        <v/>
      </c>
      <c r="I20" s="27" t="str">
        <f aca="false">IF($L20="","",INDEX(반배정!J$7:J$86,$L20))</f>
        <v/>
      </c>
      <c r="J20" s="27" t="str">
        <f aca="false">IF($L20="","",INDEX(반배정!M$7:M$86,$L20))</f>
        <v/>
      </c>
      <c r="K20" s="10" t="str">
        <f aca="false">IFERROR(SMALL(반배정!$N$7:$N$86,14),"")</f>
        <v/>
      </c>
      <c r="L20" s="10" t="str">
        <f aca="false">IF(K20="","",MATCH(K20,반배정!$N$7:$N$86,0))</f>
        <v/>
      </c>
    </row>
    <row r="21" customFormat="false" ht="15" hidden="false" customHeight="false" outlineLevel="0" collapsed="false">
      <c r="A21" s="27" t="str">
        <f aca="false">IF($L21="","",INDEX(반배정!H$7:H$86,$L21))</f>
        <v/>
      </c>
      <c r="B21" s="27" t="str">
        <f aca="false">IF($L21="","",INDEX(반배정!B$7:B$86,$L21))</f>
        <v/>
      </c>
      <c r="C21" s="27" t="str">
        <f aca="false">IF($L21="","",INDEX(반배정!C$7:C$86,$L21))</f>
        <v/>
      </c>
      <c r="D21" s="27" t="str">
        <f aca="false">IF($L21="","",INDEX(반배정!D$7:D$86,$L21))</f>
        <v/>
      </c>
      <c r="E21" s="27" t="str">
        <f aca="false">IF($L21="","",INDEX(반배정!E$7:E$86,$L21))</f>
        <v/>
      </c>
      <c r="F21" s="27" t="str">
        <f aca="false">IF($L21="","",INDEX(반배정!F$7:F$86,$L21))</f>
        <v/>
      </c>
      <c r="G21" s="28" t="str">
        <f aca="false">IF($L21="","",INDEX(반배정!G$7:G$86,$L21))</f>
        <v/>
      </c>
      <c r="H21" s="26" t="str">
        <f aca="false">IF($L21="","",INDEX(반배정!L$7:L$86,$L21))</f>
        <v/>
      </c>
      <c r="I21" s="27" t="str">
        <f aca="false">IF($L21="","",INDEX(반배정!J$7:J$86,$L21))</f>
        <v/>
      </c>
      <c r="J21" s="27" t="str">
        <f aca="false">IF($L21="","",INDEX(반배정!M$7:M$86,$L21))</f>
        <v/>
      </c>
      <c r="K21" s="10" t="str">
        <f aca="false">IFERROR(SMALL(반배정!$N$7:$N$86,15),"")</f>
        <v/>
      </c>
      <c r="L21" s="10" t="str">
        <f aca="false">IF(K21="","",MATCH(K21,반배정!$N$7:$N$86,0))</f>
        <v/>
      </c>
    </row>
    <row r="22" customFormat="false" ht="15" hidden="false" customHeight="false" outlineLevel="0" collapsed="false">
      <c r="A22" s="27" t="str">
        <f aca="false">IF($L22="","",INDEX(반배정!H$7:H$86,$L22))</f>
        <v/>
      </c>
      <c r="B22" s="27" t="str">
        <f aca="false">IF($L22="","",INDEX(반배정!B$7:B$86,$L22))</f>
        <v/>
      </c>
      <c r="C22" s="27" t="str">
        <f aca="false">IF($L22="","",INDEX(반배정!C$7:C$86,$L22))</f>
        <v/>
      </c>
      <c r="D22" s="27" t="str">
        <f aca="false">IF($L22="","",INDEX(반배정!D$7:D$86,$L22))</f>
        <v/>
      </c>
      <c r="E22" s="27" t="str">
        <f aca="false">IF($L22="","",INDEX(반배정!E$7:E$86,$L22))</f>
        <v/>
      </c>
      <c r="F22" s="27" t="str">
        <f aca="false">IF($L22="","",INDEX(반배정!F$7:F$86,$L22))</f>
        <v/>
      </c>
      <c r="G22" s="28" t="str">
        <f aca="false">IF($L22="","",INDEX(반배정!G$7:G$86,$L22))</f>
        <v/>
      </c>
      <c r="H22" s="26" t="str">
        <f aca="false">IF($L22="","",INDEX(반배정!L$7:L$86,$L22))</f>
        <v/>
      </c>
      <c r="I22" s="27" t="str">
        <f aca="false">IF($L22="","",INDEX(반배정!J$7:J$86,$L22))</f>
        <v/>
      </c>
      <c r="J22" s="27" t="str">
        <f aca="false">IF($L22="","",INDEX(반배정!M$7:M$86,$L22))</f>
        <v/>
      </c>
      <c r="K22" s="10" t="str">
        <f aca="false">IFERROR(SMALL(반배정!$N$7:$N$86,16),"")</f>
        <v/>
      </c>
      <c r="L22" s="10" t="str">
        <f aca="false">IF(K22="","",MATCH(K22,반배정!$N$7:$N$86,0))</f>
        <v/>
      </c>
    </row>
    <row r="23" customFormat="false" ht="15" hidden="false" customHeight="false" outlineLevel="0" collapsed="false">
      <c r="A23" s="27" t="str">
        <f aca="false">IF($L23="","",INDEX(반배정!H$7:H$86,$L23))</f>
        <v/>
      </c>
      <c r="B23" s="27" t="str">
        <f aca="false">IF($L23="","",INDEX(반배정!B$7:B$86,$L23))</f>
        <v/>
      </c>
      <c r="C23" s="27" t="str">
        <f aca="false">IF($L23="","",INDEX(반배정!C$7:C$86,$L23))</f>
        <v/>
      </c>
      <c r="D23" s="27" t="str">
        <f aca="false">IF($L23="","",INDEX(반배정!D$7:D$86,$L23))</f>
        <v/>
      </c>
      <c r="E23" s="27" t="str">
        <f aca="false">IF($L23="","",INDEX(반배정!E$7:E$86,$L23))</f>
        <v/>
      </c>
      <c r="F23" s="27" t="str">
        <f aca="false">IF($L23="","",INDEX(반배정!F$7:F$86,$L23))</f>
        <v/>
      </c>
      <c r="G23" s="28" t="str">
        <f aca="false">IF($L23="","",INDEX(반배정!G$7:G$86,$L23))</f>
        <v/>
      </c>
      <c r="H23" s="26" t="str">
        <f aca="false">IF($L23="","",INDEX(반배정!L$7:L$86,$L23))</f>
        <v/>
      </c>
      <c r="I23" s="27" t="str">
        <f aca="false">IF($L23="","",INDEX(반배정!J$7:J$86,$L23))</f>
        <v/>
      </c>
      <c r="J23" s="27" t="str">
        <f aca="false">IF($L23="","",INDEX(반배정!M$7:M$86,$L23))</f>
        <v/>
      </c>
      <c r="K23" s="10" t="str">
        <f aca="false">IFERROR(SMALL(반배정!$N$7:$N$86,17),"")</f>
        <v/>
      </c>
      <c r="L23" s="10" t="str">
        <f aca="false">IF(K23="","",MATCH(K23,반배정!$N$7:$N$86,0))</f>
        <v/>
      </c>
    </row>
    <row r="24" customFormat="false" ht="15" hidden="false" customHeight="false" outlineLevel="0" collapsed="false">
      <c r="A24" s="27" t="str">
        <f aca="false">IF($L24="","",INDEX(반배정!H$7:H$86,$L24))</f>
        <v/>
      </c>
      <c r="B24" s="27" t="str">
        <f aca="false">IF($L24="","",INDEX(반배정!B$7:B$86,$L24))</f>
        <v/>
      </c>
      <c r="C24" s="27" t="str">
        <f aca="false">IF($L24="","",INDEX(반배정!C$7:C$86,$L24))</f>
        <v/>
      </c>
      <c r="D24" s="27" t="str">
        <f aca="false">IF($L24="","",INDEX(반배정!D$7:D$86,$L24))</f>
        <v/>
      </c>
      <c r="E24" s="27" t="str">
        <f aca="false">IF($L24="","",INDEX(반배정!E$7:E$86,$L24))</f>
        <v/>
      </c>
      <c r="F24" s="27" t="str">
        <f aca="false">IF($L24="","",INDEX(반배정!F$7:F$86,$L24))</f>
        <v/>
      </c>
      <c r="G24" s="28" t="str">
        <f aca="false">IF($L24="","",INDEX(반배정!G$7:G$86,$L24))</f>
        <v/>
      </c>
      <c r="H24" s="26" t="str">
        <f aca="false">IF($L24="","",INDEX(반배정!L$7:L$86,$L24))</f>
        <v/>
      </c>
      <c r="I24" s="27" t="str">
        <f aca="false">IF($L24="","",INDEX(반배정!J$7:J$86,$L24))</f>
        <v/>
      </c>
      <c r="J24" s="27" t="str">
        <f aca="false">IF($L24="","",INDEX(반배정!M$7:M$86,$L24))</f>
        <v/>
      </c>
      <c r="K24" s="10" t="str">
        <f aca="false">IFERROR(SMALL(반배정!$N$7:$N$86,18),"")</f>
        <v/>
      </c>
      <c r="L24" s="10" t="str">
        <f aca="false">IF(K24="","",MATCH(K24,반배정!$N$7:$N$86,0))</f>
        <v/>
      </c>
    </row>
    <row r="25" customFormat="false" ht="15" hidden="false" customHeight="false" outlineLevel="0" collapsed="false">
      <c r="A25" s="27" t="str">
        <f aca="false">IF($L25="","",INDEX(반배정!H$7:H$86,$L25))</f>
        <v/>
      </c>
      <c r="B25" s="27" t="str">
        <f aca="false">IF($L25="","",INDEX(반배정!B$7:B$86,$L25))</f>
        <v/>
      </c>
      <c r="C25" s="27" t="str">
        <f aca="false">IF($L25="","",INDEX(반배정!C$7:C$86,$L25))</f>
        <v/>
      </c>
      <c r="D25" s="27" t="str">
        <f aca="false">IF($L25="","",INDEX(반배정!D$7:D$86,$L25))</f>
        <v/>
      </c>
      <c r="E25" s="27" t="str">
        <f aca="false">IF($L25="","",INDEX(반배정!E$7:E$86,$L25))</f>
        <v/>
      </c>
      <c r="F25" s="27" t="str">
        <f aca="false">IF($L25="","",INDEX(반배정!F$7:F$86,$L25))</f>
        <v/>
      </c>
      <c r="G25" s="28" t="str">
        <f aca="false">IF($L25="","",INDEX(반배정!G$7:G$86,$L25))</f>
        <v/>
      </c>
      <c r="H25" s="26" t="str">
        <f aca="false">IF($L25="","",INDEX(반배정!L$7:L$86,$L25))</f>
        <v/>
      </c>
      <c r="I25" s="27" t="str">
        <f aca="false">IF($L25="","",INDEX(반배정!J$7:J$86,$L25))</f>
        <v/>
      </c>
      <c r="J25" s="27" t="str">
        <f aca="false">IF($L25="","",INDEX(반배정!M$7:M$86,$L25))</f>
        <v/>
      </c>
      <c r="K25" s="10" t="str">
        <f aca="false">IFERROR(SMALL(반배정!$N$7:$N$86,19),"")</f>
        <v/>
      </c>
      <c r="L25" s="10" t="str">
        <f aca="false">IF(K25="","",MATCH(K25,반배정!$N$7:$N$86,0))</f>
        <v/>
      </c>
    </row>
    <row r="26" customFormat="false" ht="15" hidden="false" customHeight="false" outlineLevel="0" collapsed="false">
      <c r="A26" s="27" t="str">
        <f aca="false">IF($L26="","",INDEX(반배정!H$7:H$86,$L26))</f>
        <v/>
      </c>
      <c r="B26" s="27" t="str">
        <f aca="false">IF($L26="","",INDEX(반배정!B$7:B$86,$L26))</f>
        <v/>
      </c>
      <c r="C26" s="27" t="str">
        <f aca="false">IF($L26="","",INDEX(반배정!C$7:C$86,$L26))</f>
        <v/>
      </c>
      <c r="D26" s="27" t="str">
        <f aca="false">IF($L26="","",INDEX(반배정!D$7:D$86,$L26))</f>
        <v/>
      </c>
      <c r="E26" s="27" t="str">
        <f aca="false">IF($L26="","",INDEX(반배정!E$7:E$86,$L26))</f>
        <v/>
      </c>
      <c r="F26" s="27" t="str">
        <f aca="false">IF($L26="","",INDEX(반배정!F$7:F$86,$L26))</f>
        <v/>
      </c>
      <c r="G26" s="28" t="str">
        <f aca="false">IF($L26="","",INDEX(반배정!G$7:G$86,$L26))</f>
        <v/>
      </c>
      <c r="H26" s="26" t="str">
        <f aca="false">IF($L26="","",INDEX(반배정!L$7:L$86,$L26))</f>
        <v/>
      </c>
      <c r="I26" s="27" t="str">
        <f aca="false">IF($L26="","",INDEX(반배정!J$7:J$86,$L26))</f>
        <v/>
      </c>
      <c r="J26" s="27" t="str">
        <f aca="false">IF($L26="","",INDEX(반배정!M$7:M$86,$L26))</f>
        <v/>
      </c>
      <c r="K26" s="10" t="str">
        <f aca="false">IFERROR(SMALL(반배정!$N$7:$N$86,20),"")</f>
        <v/>
      </c>
      <c r="L26" s="10" t="str">
        <f aca="false">IF(K26="","",MATCH(K26,반배정!$N$7:$N$86,0))</f>
        <v/>
      </c>
    </row>
    <row r="27" customFormat="false" ht="15" hidden="false" customHeight="false" outlineLevel="0" collapsed="false">
      <c r="A27" s="27" t="str">
        <f aca="false">IF($L27="","",INDEX(반배정!H$7:H$86,$L27))</f>
        <v/>
      </c>
      <c r="B27" s="27" t="str">
        <f aca="false">IF($L27="","",INDEX(반배정!B$7:B$86,$L27))</f>
        <v/>
      </c>
      <c r="C27" s="27" t="str">
        <f aca="false">IF($L27="","",INDEX(반배정!C$7:C$86,$L27))</f>
        <v/>
      </c>
      <c r="D27" s="27" t="str">
        <f aca="false">IF($L27="","",INDEX(반배정!D$7:D$86,$L27))</f>
        <v/>
      </c>
      <c r="E27" s="27" t="str">
        <f aca="false">IF($L27="","",INDEX(반배정!E$7:E$86,$L27))</f>
        <v/>
      </c>
      <c r="F27" s="27" t="str">
        <f aca="false">IF($L27="","",INDEX(반배정!F$7:F$86,$L27))</f>
        <v/>
      </c>
      <c r="G27" s="28" t="str">
        <f aca="false">IF($L27="","",INDEX(반배정!G$7:G$86,$L27))</f>
        <v/>
      </c>
      <c r="H27" s="26" t="str">
        <f aca="false">IF($L27="","",INDEX(반배정!L$7:L$86,$L27))</f>
        <v/>
      </c>
      <c r="I27" s="27" t="str">
        <f aca="false">IF($L27="","",INDEX(반배정!J$7:J$86,$L27))</f>
        <v/>
      </c>
      <c r="J27" s="27" t="str">
        <f aca="false">IF($L27="","",INDEX(반배정!M$7:M$86,$L27))</f>
        <v/>
      </c>
      <c r="K27" s="10" t="str">
        <f aca="false">IFERROR(SMALL(반배정!$N$7:$N$86,21),"")</f>
        <v/>
      </c>
      <c r="L27" s="10" t="str">
        <f aca="false">IF(K27="","",MATCH(K27,반배정!$N$7:$N$86,0))</f>
        <v/>
      </c>
    </row>
    <row r="28" customFormat="false" ht="15" hidden="false" customHeight="false" outlineLevel="0" collapsed="false">
      <c r="A28" s="27" t="str">
        <f aca="false">IF($L28="","",INDEX(반배정!H$7:H$86,$L28))</f>
        <v/>
      </c>
      <c r="B28" s="27" t="str">
        <f aca="false">IF($L28="","",INDEX(반배정!B$7:B$86,$L28))</f>
        <v/>
      </c>
      <c r="C28" s="27" t="str">
        <f aca="false">IF($L28="","",INDEX(반배정!C$7:C$86,$L28))</f>
        <v/>
      </c>
      <c r="D28" s="27" t="str">
        <f aca="false">IF($L28="","",INDEX(반배정!D$7:D$86,$L28))</f>
        <v/>
      </c>
      <c r="E28" s="27" t="str">
        <f aca="false">IF($L28="","",INDEX(반배정!E$7:E$86,$L28))</f>
        <v/>
      </c>
      <c r="F28" s="27" t="str">
        <f aca="false">IF($L28="","",INDEX(반배정!F$7:F$86,$L28))</f>
        <v/>
      </c>
      <c r="G28" s="28" t="str">
        <f aca="false">IF($L28="","",INDEX(반배정!G$7:G$86,$L28))</f>
        <v/>
      </c>
      <c r="H28" s="26" t="str">
        <f aca="false">IF($L28="","",INDEX(반배정!L$7:L$86,$L28))</f>
        <v/>
      </c>
      <c r="I28" s="27" t="str">
        <f aca="false">IF($L28="","",INDEX(반배정!J$7:J$86,$L28))</f>
        <v/>
      </c>
      <c r="J28" s="27" t="str">
        <f aca="false">IF($L28="","",INDEX(반배정!M$7:M$86,$L28))</f>
        <v/>
      </c>
      <c r="K28" s="10" t="str">
        <f aca="false">IFERROR(SMALL(반배정!$N$7:$N$86,22),"")</f>
        <v/>
      </c>
      <c r="L28" s="10" t="str">
        <f aca="false">IF(K28="","",MATCH(K28,반배정!$N$7:$N$86,0))</f>
        <v/>
      </c>
    </row>
    <row r="29" customFormat="false" ht="15" hidden="false" customHeight="false" outlineLevel="0" collapsed="false">
      <c r="A29" s="27" t="str">
        <f aca="false">IF($L29="","",INDEX(반배정!H$7:H$86,$L29))</f>
        <v/>
      </c>
      <c r="B29" s="27" t="str">
        <f aca="false">IF($L29="","",INDEX(반배정!B$7:B$86,$L29))</f>
        <v/>
      </c>
      <c r="C29" s="27" t="str">
        <f aca="false">IF($L29="","",INDEX(반배정!C$7:C$86,$L29))</f>
        <v/>
      </c>
      <c r="D29" s="27" t="str">
        <f aca="false">IF($L29="","",INDEX(반배정!D$7:D$86,$L29))</f>
        <v/>
      </c>
      <c r="E29" s="27" t="str">
        <f aca="false">IF($L29="","",INDEX(반배정!E$7:E$86,$L29))</f>
        <v/>
      </c>
      <c r="F29" s="27" t="str">
        <f aca="false">IF($L29="","",INDEX(반배정!F$7:F$86,$L29))</f>
        <v/>
      </c>
      <c r="G29" s="28" t="str">
        <f aca="false">IF($L29="","",INDEX(반배정!G$7:G$86,$L29))</f>
        <v/>
      </c>
      <c r="H29" s="26" t="str">
        <f aca="false">IF($L29="","",INDEX(반배정!L$7:L$86,$L29))</f>
        <v/>
      </c>
      <c r="I29" s="27" t="str">
        <f aca="false">IF($L29="","",INDEX(반배정!J$7:J$86,$L29))</f>
        <v/>
      </c>
      <c r="J29" s="27" t="str">
        <f aca="false">IF($L29="","",INDEX(반배정!M$7:M$86,$L29))</f>
        <v/>
      </c>
      <c r="K29" s="10" t="str">
        <f aca="false">IFERROR(SMALL(반배정!$N$7:$N$86,23),"")</f>
        <v/>
      </c>
      <c r="L29" s="10" t="str">
        <f aca="false">IF(K29="","",MATCH(K29,반배정!$N$7:$N$86,0))</f>
        <v/>
      </c>
    </row>
    <row r="30" customFormat="false" ht="15" hidden="false" customHeight="false" outlineLevel="0" collapsed="false">
      <c r="A30" s="27" t="str">
        <f aca="false">IF($L30="","",INDEX(반배정!H$7:H$86,$L30))</f>
        <v/>
      </c>
      <c r="B30" s="27" t="str">
        <f aca="false">IF($L30="","",INDEX(반배정!B$7:B$86,$L30))</f>
        <v/>
      </c>
      <c r="C30" s="27" t="str">
        <f aca="false">IF($L30="","",INDEX(반배정!C$7:C$86,$L30))</f>
        <v/>
      </c>
      <c r="D30" s="27" t="str">
        <f aca="false">IF($L30="","",INDEX(반배정!D$7:D$86,$L30))</f>
        <v/>
      </c>
      <c r="E30" s="27" t="str">
        <f aca="false">IF($L30="","",INDEX(반배정!E$7:E$86,$L30))</f>
        <v/>
      </c>
      <c r="F30" s="27" t="str">
        <f aca="false">IF($L30="","",INDEX(반배정!F$7:F$86,$L30))</f>
        <v/>
      </c>
      <c r="G30" s="28" t="str">
        <f aca="false">IF($L30="","",INDEX(반배정!G$7:G$86,$L30))</f>
        <v/>
      </c>
      <c r="H30" s="26" t="str">
        <f aca="false">IF($L30="","",INDEX(반배정!L$7:L$86,$L30))</f>
        <v/>
      </c>
      <c r="I30" s="27" t="str">
        <f aca="false">IF($L30="","",INDEX(반배정!J$7:J$86,$L30))</f>
        <v/>
      </c>
      <c r="J30" s="27" t="str">
        <f aca="false">IF($L30="","",INDEX(반배정!M$7:M$86,$L30))</f>
        <v/>
      </c>
      <c r="K30" s="10" t="str">
        <f aca="false">IFERROR(SMALL(반배정!$N$7:$N$86,24),"")</f>
        <v/>
      </c>
      <c r="L30" s="10" t="str">
        <f aca="false">IF(K30="","",MATCH(K30,반배정!$N$7:$N$86,0))</f>
        <v/>
      </c>
    </row>
    <row r="31" customFormat="false" ht="15" hidden="false" customHeight="false" outlineLevel="0" collapsed="false">
      <c r="A31" s="27" t="str">
        <f aca="false">IF($L31="","",INDEX(반배정!H$7:H$86,$L31))</f>
        <v/>
      </c>
      <c r="B31" s="27" t="str">
        <f aca="false">IF($L31="","",INDEX(반배정!B$7:B$86,$L31))</f>
        <v/>
      </c>
      <c r="C31" s="27" t="str">
        <f aca="false">IF($L31="","",INDEX(반배정!C$7:C$86,$L31))</f>
        <v/>
      </c>
      <c r="D31" s="27" t="str">
        <f aca="false">IF($L31="","",INDEX(반배정!D$7:D$86,$L31))</f>
        <v/>
      </c>
      <c r="E31" s="27" t="str">
        <f aca="false">IF($L31="","",INDEX(반배정!E$7:E$86,$L31))</f>
        <v/>
      </c>
      <c r="F31" s="27" t="str">
        <f aca="false">IF($L31="","",INDEX(반배정!F$7:F$86,$L31))</f>
        <v/>
      </c>
      <c r="G31" s="28" t="str">
        <f aca="false">IF($L31="","",INDEX(반배정!G$7:G$86,$L31))</f>
        <v/>
      </c>
      <c r="H31" s="26" t="str">
        <f aca="false">IF($L31="","",INDEX(반배정!L$7:L$86,$L31))</f>
        <v/>
      </c>
      <c r="I31" s="27" t="str">
        <f aca="false">IF($L31="","",INDEX(반배정!J$7:J$86,$L31))</f>
        <v/>
      </c>
      <c r="J31" s="27" t="str">
        <f aca="false">IF($L31="","",INDEX(반배정!M$7:M$86,$L31))</f>
        <v/>
      </c>
      <c r="K31" s="10" t="str">
        <f aca="false">IFERROR(SMALL(반배정!$N$7:$N$86,25),"")</f>
        <v/>
      </c>
      <c r="L31" s="10" t="str">
        <f aca="false">IF(K31="","",MATCH(K31,반배정!$N$7:$N$86,0))</f>
        <v/>
      </c>
    </row>
    <row r="32" customFormat="false" ht="15" hidden="false" customHeight="false" outlineLevel="0" collapsed="false">
      <c r="A32" s="27" t="str">
        <f aca="false">IF($L32="","",INDEX(반배정!H$7:H$86,$L32))</f>
        <v/>
      </c>
      <c r="B32" s="27" t="str">
        <f aca="false">IF($L32="","",INDEX(반배정!B$7:B$86,$L32))</f>
        <v/>
      </c>
      <c r="C32" s="27" t="str">
        <f aca="false">IF($L32="","",INDEX(반배정!C$7:C$86,$L32))</f>
        <v/>
      </c>
      <c r="D32" s="27" t="str">
        <f aca="false">IF($L32="","",INDEX(반배정!D$7:D$86,$L32))</f>
        <v/>
      </c>
      <c r="E32" s="27" t="str">
        <f aca="false">IF($L32="","",INDEX(반배정!E$7:E$86,$L32))</f>
        <v/>
      </c>
      <c r="F32" s="27" t="str">
        <f aca="false">IF($L32="","",INDEX(반배정!F$7:F$86,$L32))</f>
        <v/>
      </c>
      <c r="G32" s="28" t="str">
        <f aca="false">IF($L32="","",INDEX(반배정!G$7:G$86,$L32))</f>
        <v/>
      </c>
      <c r="H32" s="26" t="str">
        <f aca="false">IF($L32="","",INDEX(반배정!L$7:L$86,$L32))</f>
        <v/>
      </c>
      <c r="I32" s="27" t="str">
        <f aca="false">IF($L32="","",INDEX(반배정!J$7:J$86,$L32))</f>
        <v/>
      </c>
      <c r="J32" s="27" t="str">
        <f aca="false">IF($L32="","",INDEX(반배정!M$7:M$86,$L32))</f>
        <v/>
      </c>
      <c r="K32" s="10" t="str">
        <f aca="false">IFERROR(SMALL(반배정!$N$7:$N$86,26),"")</f>
        <v/>
      </c>
      <c r="L32" s="10" t="str">
        <f aca="false">IF(K32="","",MATCH(K32,반배정!$N$7:$N$86,0))</f>
        <v/>
      </c>
    </row>
    <row r="33" customFormat="false" ht="15" hidden="false" customHeight="false" outlineLevel="0" collapsed="false">
      <c r="A33" s="27" t="str">
        <f aca="false">IF($L33="","",INDEX(반배정!H$7:H$86,$L33))</f>
        <v/>
      </c>
      <c r="B33" s="27" t="str">
        <f aca="false">IF($L33="","",INDEX(반배정!B$7:B$86,$L33))</f>
        <v/>
      </c>
      <c r="C33" s="27" t="str">
        <f aca="false">IF($L33="","",INDEX(반배정!C$7:C$86,$L33))</f>
        <v/>
      </c>
      <c r="D33" s="27" t="str">
        <f aca="false">IF($L33="","",INDEX(반배정!D$7:D$86,$L33))</f>
        <v/>
      </c>
      <c r="E33" s="27" t="str">
        <f aca="false">IF($L33="","",INDEX(반배정!E$7:E$86,$L33))</f>
        <v/>
      </c>
      <c r="F33" s="27" t="str">
        <f aca="false">IF($L33="","",INDEX(반배정!F$7:F$86,$L33))</f>
        <v/>
      </c>
      <c r="G33" s="28" t="str">
        <f aca="false">IF($L33="","",INDEX(반배정!G$7:G$86,$L33))</f>
        <v/>
      </c>
      <c r="H33" s="26" t="str">
        <f aca="false">IF($L33="","",INDEX(반배정!L$7:L$86,$L33))</f>
        <v/>
      </c>
      <c r="I33" s="27" t="str">
        <f aca="false">IF($L33="","",INDEX(반배정!J$7:J$86,$L33))</f>
        <v/>
      </c>
      <c r="J33" s="27" t="str">
        <f aca="false">IF($L33="","",INDEX(반배정!M$7:M$86,$L33))</f>
        <v/>
      </c>
      <c r="K33" s="10" t="str">
        <f aca="false">IFERROR(SMALL(반배정!$N$7:$N$86,27),"")</f>
        <v/>
      </c>
      <c r="L33" s="10" t="str">
        <f aca="false">IF(K33="","",MATCH(K33,반배정!$N$7:$N$86,0))</f>
        <v/>
      </c>
    </row>
    <row r="34" customFormat="false" ht="15" hidden="false" customHeight="false" outlineLevel="0" collapsed="false">
      <c r="A34" s="27" t="str">
        <f aca="false">IF($L34="","",INDEX(반배정!H$7:H$86,$L34))</f>
        <v/>
      </c>
      <c r="B34" s="27" t="str">
        <f aca="false">IF($L34="","",INDEX(반배정!B$7:B$86,$L34))</f>
        <v/>
      </c>
      <c r="C34" s="27" t="str">
        <f aca="false">IF($L34="","",INDEX(반배정!C$7:C$86,$L34))</f>
        <v/>
      </c>
      <c r="D34" s="27" t="str">
        <f aca="false">IF($L34="","",INDEX(반배정!D$7:D$86,$L34))</f>
        <v/>
      </c>
      <c r="E34" s="27" t="str">
        <f aca="false">IF($L34="","",INDEX(반배정!E$7:E$86,$L34))</f>
        <v/>
      </c>
      <c r="F34" s="27" t="str">
        <f aca="false">IF($L34="","",INDEX(반배정!F$7:F$86,$L34))</f>
        <v/>
      </c>
      <c r="G34" s="28" t="str">
        <f aca="false">IF($L34="","",INDEX(반배정!G$7:G$86,$L34))</f>
        <v/>
      </c>
      <c r="H34" s="26" t="str">
        <f aca="false">IF($L34="","",INDEX(반배정!L$7:L$86,$L34))</f>
        <v/>
      </c>
      <c r="I34" s="27" t="str">
        <f aca="false">IF($L34="","",INDEX(반배정!J$7:J$86,$L34))</f>
        <v/>
      </c>
      <c r="J34" s="27" t="str">
        <f aca="false">IF($L34="","",INDEX(반배정!M$7:M$86,$L34))</f>
        <v/>
      </c>
      <c r="K34" s="10" t="str">
        <f aca="false">IFERROR(SMALL(반배정!$N$7:$N$86,28),"")</f>
        <v/>
      </c>
      <c r="L34" s="10" t="str">
        <f aca="false">IF(K34="","",MATCH(K34,반배정!$N$7:$N$86,0))</f>
        <v/>
      </c>
    </row>
    <row r="35" customFormat="false" ht="15" hidden="false" customHeight="false" outlineLevel="0" collapsed="false">
      <c r="A35" s="27" t="str">
        <f aca="false">IF($L35="","",INDEX(반배정!H$7:H$86,$L35))</f>
        <v/>
      </c>
      <c r="B35" s="27" t="str">
        <f aca="false">IF($L35="","",INDEX(반배정!B$7:B$86,$L35))</f>
        <v/>
      </c>
      <c r="C35" s="27" t="str">
        <f aca="false">IF($L35="","",INDEX(반배정!C$7:C$86,$L35))</f>
        <v/>
      </c>
      <c r="D35" s="27" t="str">
        <f aca="false">IF($L35="","",INDEX(반배정!D$7:D$86,$L35))</f>
        <v/>
      </c>
      <c r="E35" s="27" t="str">
        <f aca="false">IF($L35="","",INDEX(반배정!E$7:E$86,$L35))</f>
        <v/>
      </c>
      <c r="F35" s="27" t="str">
        <f aca="false">IF($L35="","",INDEX(반배정!F$7:F$86,$L35))</f>
        <v/>
      </c>
      <c r="G35" s="28" t="str">
        <f aca="false">IF($L35="","",INDEX(반배정!G$7:G$86,$L35))</f>
        <v/>
      </c>
      <c r="H35" s="26" t="str">
        <f aca="false">IF($L35="","",INDEX(반배정!L$7:L$86,$L35))</f>
        <v/>
      </c>
      <c r="I35" s="27" t="str">
        <f aca="false">IF($L35="","",INDEX(반배정!J$7:J$86,$L35))</f>
        <v/>
      </c>
      <c r="J35" s="27" t="str">
        <f aca="false">IF($L35="","",INDEX(반배정!M$7:M$86,$L35))</f>
        <v/>
      </c>
      <c r="K35" s="10" t="str">
        <f aca="false">IFERROR(SMALL(반배정!$N$7:$N$86,29),"")</f>
        <v/>
      </c>
      <c r="L35" s="10" t="str">
        <f aca="false">IF(K35="","",MATCH(K35,반배정!$N$7:$N$86,0))</f>
        <v/>
      </c>
    </row>
    <row r="36" customFormat="false" ht="15" hidden="false" customHeight="false" outlineLevel="0" collapsed="false">
      <c r="A36" s="27" t="str">
        <f aca="false">IF($L36="","",INDEX(반배정!H$7:H$86,$L36))</f>
        <v/>
      </c>
      <c r="B36" s="27" t="str">
        <f aca="false">IF($L36="","",INDEX(반배정!B$7:B$86,$L36))</f>
        <v/>
      </c>
      <c r="C36" s="27" t="str">
        <f aca="false">IF($L36="","",INDEX(반배정!C$7:C$86,$L36))</f>
        <v/>
      </c>
      <c r="D36" s="27" t="str">
        <f aca="false">IF($L36="","",INDEX(반배정!D$7:D$86,$L36))</f>
        <v/>
      </c>
      <c r="E36" s="27" t="str">
        <f aca="false">IF($L36="","",INDEX(반배정!E$7:E$86,$L36))</f>
        <v/>
      </c>
      <c r="F36" s="27" t="str">
        <f aca="false">IF($L36="","",INDEX(반배정!F$7:F$86,$L36))</f>
        <v/>
      </c>
      <c r="G36" s="28" t="str">
        <f aca="false">IF($L36="","",INDEX(반배정!G$7:G$86,$L36))</f>
        <v/>
      </c>
      <c r="H36" s="26" t="str">
        <f aca="false">IF($L36="","",INDEX(반배정!L$7:L$86,$L36))</f>
        <v/>
      </c>
      <c r="I36" s="27" t="str">
        <f aca="false">IF($L36="","",INDEX(반배정!J$7:J$86,$L36))</f>
        <v/>
      </c>
      <c r="J36" s="27" t="str">
        <f aca="false">IF($L36="","",INDEX(반배정!M$7:M$86,$L36))</f>
        <v/>
      </c>
      <c r="K36" s="10" t="str">
        <f aca="false">IFERROR(SMALL(반배정!$N$7:$N$86,30),"")</f>
        <v/>
      </c>
      <c r="L36" s="10" t="str">
        <f aca="false">IF(K36="","",MATCH(K36,반배정!$N$7:$N$86,0))</f>
        <v/>
      </c>
    </row>
    <row r="37" customFormat="false" ht="15" hidden="false" customHeight="false" outlineLevel="0" collapsed="false">
      <c r="A37" s="27" t="str">
        <f aca="false">IF($L37="","",INDEX(반배정!H$7:H$86,$L37))</f>
        <v/>
      </c>
      <c r="B37" s="27" t="str">
        <f aca="false">IF($L37="","",INDEX(반배정!B$7:B$86,$L37))</f>
        <v/>
      </c>
      <c r="C37" s="27" t="str">
        <f aca="false">IF($L37="","",INDEX(반배정!C$7:C$86,$L37))</f>
        <v/>
      </c>
      <c r="D37" s="27" t="str">
        <f aca="false">IF($L37="","",INDEX(반배정!D$7:D$86,$L37))</f>
        <v/>
      </c>
      <c r="E37" s="27" t="str">
        <f aca="false">IF($L37="","",INDEX(반배정!E$7:E$86,$L37))</f>
        <v/>
      </c>
      <c r="F37" s="27" t="str">
        <f aca="false">IF($L37="","",INDEX(반배정!F$7:F$86,$L37))</f>
        <v/>
      </c>
      <c r="G37" s="28" t="str">
        <f aca="false">IF($L37="","",INDEX(반배정!G$7:G$86,$L37))</f>
        <v/>
      </c>
      <c r="H37" s="26" t="str">
        <f aca="false">IF($L37="","",INDEX(반배정!L$7:L$86,$L37))</f>
        <v/>
      </c>
      <c r="I37" s="27" t="str">
        <f aca="false">IF($L37="","",INDEX(반배정!J$7:J$86,$L37))</f>
        <v/>
      </c>
      <c r="J37" s="27" t="str">
        <f aca="false">IF($L37="","",INDEX(반배정!M$7:M$86,$L37))</f>
        <v/>
      </c>
      <c r="K37" s="10" t="str">
        <f aca="false">IFERROR(SMALL(반배정!$N$7:$N$86,31),"")</f>
        <v/>
      </c>
      <c r="L37" s="10" t="str">
        <f aca="false">IF(K37="","",MATCH(K37,반배정!$N$7:$N$86,0))</f>
        <v/>
      </c>
    </row>
    <row r="38" customFormat="false" ht="15" hidden="false" customHeight="false" outlineLevel="0" collapsed="false">
      <c r="A38" s="27" t="str">
        <f aca="false">IF($L38="","",INDEX(반배정!H$7:H$86,$L38))</f>
        <v/>
      </c>
      <c r="B38" s="27" t="str">
        <f aca="false">IF($L38="","",INDEX(반배정!B$7:B$86,$L38))</f>
        <v/>
      </c>
      <c r="C38" s="27" t="str">
        <f aca="false">IF($L38="","",INDEX(반배정!C$7:C$86,$L38))</f>
        <v/>
      </c>
      <c r="D38" s="27" t="str">
        <f aca="false">IF($L38="","",INDEX(반배정!D$7:D$86,$L38))</f>
        <v/>
      </c>
      <c r="E38" s="27" t="str">
        <f aca="false">IF($L38="","",INDEX(반배정!E$7:E$86,$L38))</f>
        <v/>
      </c>
      <c r="F38" s="27" t="str">
        <f aca="false">IF($L38="","",INDEX(반배정!F$7:F$86,$L38))</f>
        <v/>
      </c>
      <c r="G38" s="28" t="str">
        <f aca="false">IF($L38="","",INDEX(반배정!G$7:G$86,$L38))</f>
        <v/>
      </c>
      <c r="H38" s="26" t="str">
        <f aca="false">IF($L38="","",INDEX(반배정!L$7:L$86,$L38))</f>
        <v/>
      </c>
      <c r="I38" s="27" t="str">
        <f aca="false">IF($L38="","",INDEX(반배정!J$7:J$86,$L38))</f>
        <v/>
      </c>
      <c r="J38" s="27" t="str">
        <f aca="false">IF($L38="","",INDEX(반배정!M$7:M$86,$L38))</f>
        <v/>
      </c>
      <c r="K38" s="10" t="str">
        <f aca="false">IFERROR(SMALL(반배정!$N$7:$N$86,32),"")</f>
        <v/>
      </c>
      <c r="L38" s="10" t="str">
        <f aca="false">IF(K38="","",MATCH(K38,반배정!$N$7:$N$86,0))</f>
        <v/>
      </c>
    </row>
    <row r="39" customFormat="false" ht="15" hidden="false" customHeight="false" outlineLevel="0" collapsed="false">
      <c r="A39" s="27" t="str">
        <f aca="false">IF($L39="","",INDEX(반배정!H$7:H$86,$L39))</f>
        <v/>
      </c>
      <c r="B39" s="27" t="str">
        <f aca="false">IF($L39="","",INDEX(반배정!B$7:B$86,$L39))</f>
        <v/>
      </c>
      <c r="C39" s="27" t="str">
        <f aca="false">IF($L39="","",INDEX(반배정!C$7:C$86,$L39))</f>
        <v/>
      </c>
      <c r="D39" s="27" t="str">
        <f aca="false">IF($L39="","",INDEX(반배정!D$7:D$86,$L39))</f>
        <v/>
      </c>
      <c r="E39" s="27" t="str">
        <f aca="false">IF($L39="","",INDEX(반배정!E$7:E$86,$L39))</f>
        <v/>
      </c>
      <c r="F39" s="27" t="str">
        <f aca="false">IF($L39="","",INDEX(반배정!F$7:F$86,$L39))</f>
        <v/>
      </c>
      <c r="G39" s="28" t="str">
        <f aca="false">IF($L39="","",INDEX(반배정!G$7:G$86,$L39))</f>
        <v/>
      </c>
      <c r="H39" s="26" t="str">
        <f aca="false">IF($L39="","",INDEX(반배정!L$7:L$86,$L39))</f>
        <v/>
      </c>
      <c r="I39" s="27" t="str">
        <f aca="false">IF($L39="","",INDEX(반배정!J$7:J$86,$L39))</f>
        <v/>
      </c>
      <c r="J39" s="27" t="str">
        <f aca="false">IF($L39="","",INDEX(반배정!M$7:M$86,$L39))</f>
        <v/>
      </c>
      <c r="K39" s="10" t="str">
        <f aca="false">IFERROR(SMALL(반배정!$N$7:$N$86,33),"")</f>
        <v/>
      </c>
      <c r="L39" s="10" t="str">
        <f aca="false">IF(K39="","",MATCH(K39,반배정!$N$7:$N$86,0))</f>
        <v/>
      </c>
    </row>
    <row r="40" customFormat="false" ht="15" hidden="false" customHeight="false" outlineLevel="0" collapsed="false">
      <c r="A40" s="27" t="str">
        <f aca="false">IF($L40="","",INDEX(반배정!H$7:H$86,$L40))</f>
        <v/>
      </c>
      <c r="B40" s="27" t="str">
        <f aca="false">IF($L40="","",INDEX(반배정!B$7:B$86,$L40))</f>
        <v/>
      </c>
      <c r="C40" s="27" t="str">
        <f aca="false">IF($L40="","",INDEX(반배정!C$7:C$86,$L40))</f>
        <v/>
      </c>
      <c r="D40" s="27" t="str">
        <f aca="false">IF($L40="","",INDEX(반배정!D$7:D$86,$L40))</f>
        <v/>
      </c>
      <c r="E40" s="27" t="str">
        <f aca="false">IF($L40="","",INDEX(반배정!E$7:E$86,$L40))</f>
        <v/>
      </c>
      <c r="F40" s="27" t="str">
        <f aca="false">IF($L40="","",INDEX(반배정!F$7:F$86,$L40))</f>
        <v/>
      </c>
      <c r="G40" s="28" t="str">
        <f aca="false">IF($L40="","",INDEX(반배정!G$7:G$86,$L40))</f>
        <v/>
      </c>
      <c r="H40" s="26" t="str">
        <f aca="false">IF($L40="","",INDEX(반배정!L$7:L$86,$L40))</f>
        <v/>
      </c>
      <c r="I40" s="27" t="str">
        <f aca="false">IF($L40="","",INDEX(반배정!J$7:J$86,$L40))</f>
        <v/>
      </c>
      <c r="J40" s="27" t="str">
        <f aca="false">IF($L40="","",INDEX(반배정!M$7:M$86,$L40))</f>
        <v/>
      </c>
      <c r="K40" s="10" t="str">
        <f aca="false">IFERROR(SMALL(반배정!$N$7:$N$86,34),"")</f>
        <v/>
      </c>
      <c r="L40" s="10" t="str">
        <f aca="false">IF(K40="","",MATCH(K40,반배정!$N$7:$N$86,0))</f>
        <v/>
      </c>
    </row>
    <row r="41" customFormat="false" ht="15" hidden="false" customHeight="false" outlineLevel="0" collapsed="false">
      <c r="A41" s="27" t="str">
        <f aca="false">IF($L41="","",INDEX(반배정!H$7:H$86,$L41))</f>
        <v/>
      </c>
      <c r="B41" s="27" t="str">
        <f aca="false">IF($L41="","",INDEX(반배정!B$7:B$86,$L41))</f>
        <v/>
      </c>
      <c r="C41" s="27" t="str">
        <f aca="false">IF($L41="","",INDEX(반배정!C$7:C$86,$L41))</f>
        <v/>
      </c>
      <c r="D41" s="27" t="str">
        <f aca="false">IF($L41="","",INDEX(반배정!D$7:D$86,$L41))</f>
        <v/>
      </c>
      <c r="E41" s="27" t="str">
        <f aca="false">IF($L41="","",INDEX(반배정!E$7:E$86,$L41))</f>
        <v/>
      </c>
      <c r="F41" s="27" t="str">
        <f aca="false">IF($L41="","",INDEX(반배정!F$7:F$86,$L41))</f>
        <v/>
      </c>
      <c r="G41" s="28" t="str">
        <f aca="false">IF($L41="","",INDEX(반배정!G$7:G$86,$L41))</f>
        <v/>
      </c>
      <c r="H41" s="26" t="str">
        <f aca="false">IF($L41="","",INDEX(반배정!L$7:L$86,$L41))</f>
        <v/>
      </c>
      <c r="I41" s="27" t="str">
        <f aca="false">IF($L41="","",INDEX(반배정!J$7:J$86,$L41))</f>
        <v/>
      </c>
      <c r="J41" s="27" t="str">
        <f aca="false">IF($L41="","",INDEX(반배정!M$7:M$86,$L41))</f>
        <v/>
      </c>
      <c r="K41" s="10" t="str">
        <f aca="false">IFERROR(SMALL(반배정!$N$7:$N$86,35),"")</f>
        <v/>
      </c>
      <c r="L41" s="10" t="str">
        <f aca="false">IF(K41="","",MATCH(K41,반배정!$N$7:$N$86,0))</f>
        <v/>
      </c>
    </row>
    <row r="42" customFormat="false" ht="15" hidden="false" customHeight="false" outlineLevel="0" collapsed="false">
      <c r="A42" s="27" t="str">
        <f aca="false">IF($L42="","",INDEX(반배정!H$7:H$86,$L42))</f>
        <v/>
      </c>
      <c r="B42" s="27" t="str">
        <f aca="false">IF($L42="","",INDEX(반배정!B$7:B$86,$L42))</f>
        <v/>
      </c>
      <c r="C42" s="27" t="str">
        <f aca="false">IF($L42="","",INDEX(반배정!C$7:C$86,$L42))</f>
        <v/>
      </c>
      <c r="D42" s="27" t="str">
        <f aca="false">IF($L42="","",INDEX(반배정!D$7:D$86,$L42))</f>
        <v/>
      </c>
      <c r="E42" s="27" t="str">
        <f aca="false">IF($L42="","",INDEX(반배정!E$7:E$86,$L42))</f>
        <v/>
      </c>
      <c r="F42" s="27" t="str">
        <f aca="false">IF($L42="","",INDEX(반배정!F$7:F$86,$L42))</f>
        <v/>
      </c>
      <c r="G42" s="28" t="str">
        <f aca="false">IF($L42="","",INDEX(반배정!G$7:G$86,$L42))</f>
        <v/>
      </c>
      <c r="H42" s="26" t="str">
        <f aca="false">IF($L42="","",INDEX(반배정!L$7:L$86,$L42))</f>
        <v/>
      </c>
      <c r="I42" s="27" t="str">
        <f aca="false">IF($L42="","",INDEX(반배정!J$7:J$86,$L42))</f>
        <v/>
      </c>
      <c r="J42" s="27" t="str">
        <f aca="false">IF($L42="","",INDEX(반배정!M$7:M$86,$L42))</f>
        <v/>
      </c>
      <c r="K42" s="10" t="str">
        <f aca="false">IFERROR(SMALL(반배정!$N$7:$N$86,36),"")</f>
        <v/>
      </c>
      <c r="L42" s="10" t="str">
        <f aca="false">IF(K42="","",MATCH(K42,반배정!$N$7:$N$86,0))</f>
        <v/>
      </c>
    </row>
    <row r="43" customFormat="false" ht="15" hidden="false" customHeight="false" outlineLevel="0" collapsed="false">
      <c r="A43" s="27" t="str">
        <f aca="false">IF($L43="","",INDEX(반배정!H$7:H$86,$L43))</f>
        <v/>
      </c>
      <c r="B43" s="27" t="str">
        <f aca="false">IF($L43="","",INDEX(반배정!B$7:B$86,$L43))</f>
        <v/>
      </c>
      <c r="C43" s="27" t="str">
        <f aca="false">IF($L43="","",INDEX(반배정!C$7:C$86,$L43))</f>
        <v/>
      </c>
      <c r="D43" s="27" t="str">
        <f aca="false">IF($L43="","",INDEX(반배정!D$7:D$86,$L43))</f>
        <v/>
      </c>
      <c r="E43" s="27" t="str">
        <f aca="false">IF($L43="","",INDEX(반배정!E$7:E$86,$L43))</f>
        <v/>
      </c>
      <c r="F43" s="27" t="str">
        <f aca="false">IF($L43="","",INDEX(반배정!F$7:F$86,$L43))</f>
        <v/>
      </c>
      <c r="G43" s="28" t="str">
        <f aca="false">IF($L43="","",INDEX(반배정!G$7:G$86,$L43))</f>
        <v/>
      </c>
      <c r="H43" s="26" t="str">
        <f aca="false">IF($L43="","",INDEX(반배정!L$7:L$86,$L43))</f>
        <v/>
      </c>
      <c r="I43" s="27" t="str">
        <f aca="false">IF($L43="","",INDEX(반배정!J$7:J$86,$L43))</f>
        <v/>
      </c>
      <c r="J43" s="27" t="str">
        <f aca="false">IF($L43="","",INDEX(반배정!M$7:M$86,$L43))</f>
        <v/>
      </c>
      <c r="K43" s="10" t="str">
        <f aca="false">IFERROR(SMALL(반배정!$N$7:$N$86,37),"")</f>
        <v/>
      </c>
      <c r="L43" s="10" t="str">
        <f aca="false">IF(K43="","",MATCH(K43,반배정!$N$7:$N$86,0))</f>
        <v/>
      </c>
    </row>
    <row r="44" customFormat="false" ht="15" hidden="false" customHeight="false" outlineLevel="0" collapsed="false">
      <c r="A44" s="27" t="str">
        <f aca="false">IF($L44="","",INDEX(반배정!H$7:H$86,$L44))</f>
        <v/>
      </c>
      <c r="B44" s="27" t="str">
        <f aca="false">IF($L44="","",INDEX(반배정!B$7:B$86,$L44))</f>
        <v/>
      </c>
      <c r="C44" s="27" t="str">
        <f aca="false">IF($L44="","",INDEX(반배정!C$7:C$86,$L44))</f>
        <v/>
      </c>
      <c r="D44" s="27" t="str">
        <f aca="false">IF($L44="","",INDEX(반배정!D$7:D$86,$L44))</f>
        <v/>
      </c>
      <c r="E44" s="27" t="str">
        <f aca="false">IF($L44="","",INDEX(반배정!E$7:E$86,$L44))</f>
        <v/>
      </c>
      <c r="F44" s="27" t="str">
        <f aca="false">IF($L44="","",INDEX(반배정!F$7:F$86,$L44))</f>
        <v/>
      </c>
      <c r="G44" s="28" t="str">
        <f aca="false">IF($L44="","",INDEX(반배정!G$7:G$86,$L44))</f>
        <v/>
      </c>
      <c r="H44" s="26" t="str">
        <f aca="false">IF($L44="","",INDEX(반배정!L$7:L$86,$L44))</f>
        <v/>
      </c>
      <c r="I44" s="27" t="str">
        <f aca="false">IF($L44="","",INDEX(반배정!J$7:J$86,$L44))</f>
        <v/>
      </c>
      <c r="J44" s="27" t="str">
        <f aca="false">IF($L44="","",INDEX(반배정!M$7:M$86,$L44))</f>
        <v/>
      </c>
      <c r="K44" s="10" t="str">
        <f aca="false">IFERROR(SMALL(반배정!$N$7:$N$86,38),"")</f>
        <v/>
      </c>
      <c r="L44" s="10" t="str">
        <f aca="false">IF(K44="","",MATCH(K44,반배정!$N$7:$N$86,0))</f>
        <v/>
      </c>
    </row>
    <row r="45" customFormat="false" ht="15" hidden="false" customHeight="false" outlineLevel="0" collapsed="false">
      <c r="A45" s="27" t="str">
        <f aca="false">IF($L45="","",INDEX(반배정!H$7:H$86,$L45))</f>
        <v/>
      </c>
      <c r="B45" s="27" t="str">
        <f aca="false">IF($L45="","",INDEX(반배정!B$7:B$86,$L45))</f>
        <v/>
      </c>
      <c r="C45" s="27" t="str">
        <f aca="false">IF($L45="","",INDEX(반배정!C$7:C$86,$L45))</f>
        <v/>
      </c>
      <c r="D45" s="27" t="str">
        <f aca="false">IF($L45="","",INDEX(반배정!D$7:D$86,$L45))</f>
        <v/>
      </c>
      <c r="E45" s="27" t="str">
        <f aca="false">IF($L45="","",INDEX(반배정!E$7:E$86,$L45))</f>
        <v/>
      </c>
      <c r="F45" s="27" t="str">
        <f aca="false">IF($L45="","",INDEX(반배정!F$7:F$86,$L45))</f>
        <v/>
      </c>
      <c r="G45" s="28" t="str">
        <f aca="false">IF($L45="","",INDEX(반배정!G$7:G$86,$L45))</f>
        <v/>
      </c>
      <c r="H45" s="26" t="str">
        <f aca="false">IF($L45="","",INDEX(반배정!L$7:L$86,$L45))</f>
        <v/>
      </c>
      <c r="I45" s="27" t="str">
        <f aca="false">IF($L45="","",INDEX(반배정!J$7:J$86,$L45))</f>
        <v/>
      </c>
      <c r="J45" s="27" t="str">
        <f aca="false">IF($L45="","",INDEX(반배정!M$7:M$86,$L45))</f>
        <v/>
      </c>
      <c r="K45" s="10" t="str">
        <f aca="false">IFERROR(SMALL(반배정!$N$7:$N$86,39),"")</f>
        <v/>
      </c>
      <c r="L45" s="10" t="str">
        <f aca="false">IF(K45="","",MATCH(K45,반배정!$N$7:$N$86,0))</f>
        <v/>
      </c>
    </row>
    <row r="46" customFormat="false" ht="15" hidden="false" customHeight="false" outlineLevel="0" collapsed="false">
      <c r="A46" s="27" t="str">
        <f aca="false">IF($L46="","",INDEX(반배정!H$7:H$86,$L46))</f>
        <v/>
      </c>
      <c r="B46" s="27" t="str">
        <f aca="false">IF($L46="","",INDEX(반배정!B$7:B$86,$L46))</f>
        <v/>
      </c>
      <c r="C46" s="27" t="str">
        <f aca="false">IF($L46="","",INDEX(반배정!C$7:C$86,$L46))</f>
        <v/>
      </c>
      <c r="D46" s="27" t="str">
        <f aca="false">IF($L46="","",INDEX(반배정!D$7:D$86,$L46))</f>
        <v/>
      </c>
      <c r="E46" s="27" t="str">
        <f aca="false">IF($L46="","",INDEX(반배정!E$7:E$86,$L46))</f>
        <v/>
      </c>
      <c r="F46" s="27" t="str">
        <f aca="false">IF($L46="","",INDEX(반배정!F$7:F$86,$L46))</f>
        <v/>
      </c>
      <c r="G46" s="28" t="str">
        <f aca="false">IF($L46="","",INDEX(반배정!G$7:G$86,$L46))</f>
        <v/>
      </c>
      <c r="H46" s="26" t="str">
        <f aca="false">IF($L46="","",INDEX(반배정!L$7:L$86,$L46))</f>
        <v/>
      </c>
      <c r="I46" s="27" t="str">
        <f aca="false">IF($L46="","",INDEX(반배정!J$7:J$86,$L46))</f>
        <v/>
      </c>
      <c r="J46" s="27" t="str">
        <f aca="false">IF($L46="","",INDEX(반배정!M$7:M$86,$L46))</f>
        <v/>
      </c>
      <c r="K46" s="10" t="str">
        <f aca="false">IFERROR(SMALL(반배정!$N$7:$N$86,40),"")</f>
        <v/>
      </c>
      <c r="L46" s="10" t="str">
        <f aca="false">IF(K46="","",MATCH(K46,반배정!$N$7:$N$86,0))</f>
        <v/>
      </c>
    </row>
    <row r="47" customFormat="false" ht="15" hidden="false" customHeight="false" outlineLevel="0" collapsed="false">
      <c r="A47" s="27" t="str">
        <f aca="false">IF($L47="","",INDEX(반배정!H$7:H$86,$L47))</f>
        <v/>
      </c>
      <c r="B47" s="27" t="str">
        <f aca="false">IF($L47="","",INDEX(반배정!B$7:B$86,$L47))</f>
        <v/>
      </c>
      <c r="C47" s="27" t="str">
        <f aca="false">IF($L47="","",INDEX(반배정!C$7:C$86,$L47))</f>
        <v/>
      </c>
      <c r="D47" s="27" t="str">
        <f aca="false">IF($L47="","",INDEX(반배정!D$7:D$86,$L47))</f>
        <v/>
      </c>
      <c r="E47" s="27" t="str">
        <f aca="false">IF($L47="","",INDEX(반배정!E$7:E$86,$L47))</f>
        <v/>
      </c>
      <c r="F47" s="27" t="str">
        <f aca="false">IF($L47="","",INDEX(반배정!F$7:F$86,$L47))</f>
        <v/>
      </c>
      <c r="G47" s="28" t="str">
        <f aca="false">IF($L47="","",INDEX(반배정!G$7:G$86,$L47))</f>
        <v/>
      </c>
      <c r="H47" s="26" t="str">
        <f aca="false">IF($L47="","",INDEX(반배정!L$7:L$86,$L47))</f>
        <v/>
      </c>
      <c r="I47" s="27" t="str">
        <f aca="false">IF($L47="","",INDEX(반배정!J$7:J$86,$L47))</f>
        <v/>
      </c>
      <c r="J47" s="27" t="str">
        <f aca="false">IF($L47="","",INDEX(반배정!M$7:M$86,$L47))</f>
        <v/>
      </c>
      <c r="K47" s="10" t="str">
        <f aca="false">IFERROR(SMALL(반배정!$N$7:$N$86,41),"")</f>
        <v/>
      </c>
      <c r="L47" s="10" t="str">
        <f aca="false">IF(K47="","",MATCH(K47,반배정!$N$7:$N$86,0))</f>
        <v/>
      </c>
    </row>
    <row r="48" customFormat="false" ht="15" hidden="false" customHeight="false" outlineLevel="0" collapsed="false">
      <c r="A48" s="27" t="str">
        <f aca="false">IF($L48="","",INDEX(반배정!H$7:H$86,$L48))</f>
        <v/>
      </c>
      <c r="B48" s="27" t="str">
        <f aca="false">IF($L48="","",INDEX(반배정!B$7:B$86,$L48))</f>
        <v/>
      </c>
      <c r="C48" s="27" t="str">
        <f aca="false">IF($L48="","",INDEX(반배정!C$7:C$86,$L48))</f>
        <v/>
      </c>
      <c r="D48" s="27" t="str">
        <f aca="false">IF($L48="","",INDEX(반배정!D$7:D$86,$L48))</f>
        <v/>
      </c>
      <c r="E48" s="27" t="str">
        <f aca="false">IF($L48="","",INDEX(반배정!E$7:E$86,$L48))</f>
        <v/>
      </c>
      <c r="F48" s="27" t="str">
        <f aca="false">IF($L48="","",INDEX(반배정!F$7:F$86,$L48))</f>
        <v/>
      </c>
      <c r="G48" s="28" t="str">
        <f aca="false">IF($L48="","",INDEX(반배정!G$7:G$86,$L48))</f>
        <v/>
      </c>
      <c r="H48" s="26" t="str">
        <f aca="false">IF($L48="","",INDEX(반배정!L$7:L$86,$L48))</f>
        <v/>
      </c>
      <c r="I48" s="27" t="str">
        <f aca="false">IF($L48="","",INDEX(반배정!J$7:J$86,$L48))</f>
        <v/>
      </c>
      <c r="J48" s="27" t="str">
        <f aca="false">IF($L48="","",INDEX(반배정!M$7:M$86,$L48))</f>
        <v/>
      </c>
      <c r="K48" s="10" t="str">
        <f aca="false">IFERROR(SMALL(반배정!$N$7:$N$86,42),"")</f>
        <v/>
      </c>
      <c r="L48" s="10" t="str">
        <f aca="false">IF(K48="","",MATCH(K48,반배정!$N$7:$N$86,0))</f>
        <v/>
      </c>
    </row>
    <row r="49" customFormat="false" ht="15" hidden="false" customHeight="false" outlineLevel="0" collapsed="false">
      <c r="A49" s="27" t="str">
        <f aca="false">IF($L49="","",INDEX(반배정!H$7:H$86,$L49))</f>
        <v/>
      </c>
      <c r="B49" s="27" t="str">
        <f aca="false">IF($L49="","",INDEX(반배정!B$7:B$86,$L49))</f>
        <v/>
      </c>
      <c r="C49" s="27" t="str">
        <f aca="false">IF($L49="","",INDEX(반배정!C$7:C$86,$L49))</f>
        <v/>
      </c>
      <c r="D49" s="27" t="str">
        <f aca="false">IF($L49="","",INDEX(반배정!D$7:D$86,$L49))</f>
        <v/>
      </c>
      <c r="E49" s="27" t="str">
        <f aca="false">IF($L49="","",INDEX(반배정!E$7:E$86,$L49))</f>
        <v/>
      </c>
      <c r="F49" s="27" t="str">
        <f aca="false">IF($L49="","",INDEX(반배정!F$7:F$86,$L49))</f>
        <v/>
      </c>
      <c r="G49" s="28" t="str">
        <f aca="false">IF($L49="","",INDEX(반배정!G$7:G$86,$L49))</f>
        <v/>
      </c>
      <c r="H49" s="26" t="str">
        <f aca="false">IF($L49="","",INDEX(반배정!L$7:L$86,$L49))</f>
        <v/>
      </c>
      <c r="I49" s="27" t="str">
        <f aca="false">IF($L49="","",INDEX(반배정!J$7:J$86,$L49))</f>
        <v/>
      </c>
      <c r="J49" s="27" t="str">
        <f aca="false">IF($L49="","",INDEX(반배정!M$7:M$86,$L49))</f>
        <v/>
      </c>
      <c r="K49" s="10" t="str">
        <f aca="false">IFERROR(SMALL(반배정!$N$7:$N$86,43),"")</f>
        <v/>
      </c>
      <c r="L49" s="10" t="str">
        <f aca="false">IF(K49="","",MATCH(K49,반배정!$N$7:$N$86,0))</f>
        <v/>
      </c>
    </row>
    <row r="50" customFormat="false" ht="15" hidden="false" customHeight="false" outlineLevel="0" collapsed="false">
      <c r="A50" s="27" t="str">
        <f aca="false">IF($L50="","",INDEX(반배정!H$7:H$86,$L50))</f>
        <v/>
      </c>
      <c r="B50" s="27" t="str">
        <f aca="false">IF($L50="","",INDEX(반배정!B$7:B$86,$L50))</f>
        <v/>
      </c>
      <c r="C50" s="27" t="str">
        <f aca="false">IF($L50="","",INDEX(반배정!C$7:C$86,$L50))</f>
        <v/>
      </c>
      <c r="D50" s="27" t="str">
        <f aca="false">IF($L50="","",INDEX(반배정!D$7:D$86,$L50))</f>
        <v/>
      </c>
      <c r="E50" s="27" t="str">
        <f aca="false">IF($L50="","",INDEX(반배정!E$7:E$86,$L50))</f>
        <v/>
      </c>
      <c r="F50" s="27" t="str">
        <f aca="false">IF($L50="","",INDEX(반배정!F$7:F$86,$L50))</f>
        <v/>
      </c>
      <c r="G50" s="28" t="str">
        <f aca="false">IF($L50="","",INDEX(반배정!G$7:G$86,$L50))</f>
        <v/>
      </c>
      <c r="H50" s="26" t="str">
        <f aca="false">IF($L50="","",INDEX(반배정!L$7:L$86,$L50))</f>
        <v/>
      </c>
      <c r="I50" s="27" t="str">
        <f aca="false">IF($L50="","",INDEX(반배정!J$7:J$86,$L50))</f>
        <v/>
      </c>
      <c r="J50" s="27" t="str">
        <f aca="false">IF($L50="","",INDEX(반배정!M$7:M$86,$L50))</f>
        <v/>
      </c>
      <c r="K50" s="10" t="str">
        <f aca="false">IFERROR(SMALL(반배정!$N$7:$N$86,44),"")</f>
        <v/>
      </c>
      <c r="L50" s="10" t="str">
        <f aca="false">IF(K50="","",MATCH(K50,반배정!$N$7:$N$86,0))</f>
        <v/>
      </c>
    </row>
    <row r="51" customFormat="false" ht="15" hidden="false" customHeight="false" outlineLevel="0" collapsed="false">
      <c r="A51" s="27" t="str">
        <f aca="false">IF($L51="","",INDEX(반배정!H$7:H$86,$L51))</f>
        <v/>
      </c>
      <c r="B51" s="27" t="str">
        <f aca="false">IF($L51="","",INDEX(반배정!B$7:B$86,$L51))</f>
        <v/>
      </c>
      <c r="C51" s="27" t="str">
        <f aca="false">IF($L51="","",INDEX(반배정!C$7:C$86,$L51))</f>
        <v/>
      </c>
      <c r="D51" s="27" t="str">
        <f aca="false">IF($L51="","",INDEX(반배정!D$7:D$86,$L51))</f>
        <v/>
      </c>
      <c r="E51" s="27" t="str">
        <f aca="false">IF($L51="","",INDEX(반배정!E$7:E$86,$L51))</f>
        <v/>
      </c>
      <c r="F51" s="27" t="str">
        <f aca="false">IF($L51="","",INDEX(반배정!F$7:F$86,$L51))</f>
        <v/>
      </c>
      <c r="G51" s="28" t="str">
        <f aca="false">IF($L51="","",INDEX(반배정!G$7:G$86,$L51))</f>
        <v/>
      </c>
      <c r="H51" s="26" t="str">
        <f aca="false">IF($L51="","",INDEX(반배정!L$7:L$86,$L51))</f>
        <v/>
      </c>
      <c r="I51" s="27" t="str">
        <f aca="false">IF($L51="","",INDEX(반배정!J$7:J$86,$L51))</f>
        <v/>
      </c>
      <c r="J51" s="27" t="str">
        <f aca="false">IF($L51="","",INDEX(반배정!M$7:M$86,$L51))</f>
        <v/>
      </c>
      <c r="K51" s="10" t="str">
        <f aca="false">IFERROR(SMALL(반배정!$N$7:$N$86,45),"")</f>
        <v/>
      </c>
      <c r="L51" s="10" t="str">
        <f aca="false">IF(K51="","",MATCH(K51,반배정!$N$7:$N$86,0))</f>
        <v/>
      </c>
    </row>
    <row r="52" customFormat="false" ht="15" hidden="false" customHeight="false" outlineLevel="0" collapsed="false">
      <c r="A52" s="27" t="str">
        <f aca="false">IF($L52="","",INDEX(반배정!H$7:H$86,$L52))</f>
        <v/>
      </c>
      <c r="B52" s="27" t="str">
        <f aca="false">IF($L52="","",INDEX(반배정!B$7:B$86,$L52))</f>
        <v/>
      </c>
      <c r="C52" s="27" t="str">
        <f aca="false">IF($L52="","",INDEX(반배정!C$7:C$86,$L52))</f>
        <v/>
      </c>
      <c r="D52" s="27" t="str">
        <f aca="false">IF($L52="","",INDEX(반배정!D$7:D$86,$L52))</f>
        <v/>
      </c>
      <c r="E52" s="27" t="str">
        <f aca="false">IF($L52="","",INDEX(반배정!E$7:E$86,$L52))</f>
        <v/>
      </c>
      <c r="F52" s="27" t="str">
        <f aca="false">IF($L52="","",INDEX(반배정!F$7:F$86,$L52))</f>
        <v/>
      </c>
      <c r="G52" s="28" t="str">
        <f aca="false">IF($L52="","",INDEX(반배정!G$7:G$86,$L52))</f>
        <v/>
      </c>
      <c r="H52" s="26" t="str">
        <f aca="false">IF($L52="","",INDEX(반배정!L$7:L$86,$L52))</f>
        <v/>
      </c>
      <c r="I52" s="27" t="str">
        <f aca="false">IF($L52="","",INDEX(반배정!J$7:J$86,$L52))</f>
        <v/>
      </c>
      <c r="J52" s="27" t="str">
        <f aca="false">IF($L52="","",INDEX(반배정!M$7:M$86,$L52))</f>
        <v/>
      </c>
      <c r="K52" s="10" t="str">
        <f aca="false">IFERROR(SMALL(반배정!$N$7:$N$86,46),"")</f>
        <v/>
      </c>
      <c r="L52" s="10" t="str">
        <f aca="false">IF(K52="","",MATCH(K52,반배정!$N$7:$N$86,0))</f>
        <v/>
      </c>
    </row>
    <row r="53" customFormat="false" ht="15" hidden="false" customHeight="false" outlineLevel="0" collapsed="false">
      <c r="A53" s="27" t="str">
        <f aca="false">IF($L53="","",INDEX(반배정!H$7:H$86,$L53))</f>
        <v/>
      </c>
      <c r="B53" s="27" t="str">
        <f aca="false">IF($L53="","",INDEX(반배정!B$7:B$86,$L53))</f>
        <v/>
      </c>
      <c r="C53" s="27" t="str">
        <f aca="false">IF($L53="","",INDEX(반배정!C$7:C$86,$L53))</f>
        <v/>
      </c>
      <c r="D53" s="27" t="str">
        <f aca="false">IF($L53="","",INDEX(반배정!D$7:D$86,$L53))</f>
        <v/>
      </c>
      <c r="E53" s="27" t="str">
        <f aca="false">IF($L53="","",INDEX(반배정!E$7:E$86,$L53))</f>
        <v/>
      </c>
      <c r="F53" s="27" t="str">
        <f aca="false">IF($L53="","",INDEX(반배정!F$7:F$86,$L53))</f>
        <v/>
      </c>
      <c r="G53" s="28" t="str">
        <f aca="false">IF($L53="","",INDEX(반배정!G$7:G$86,$L53))</f>
        <v/>
      </c>
      <c r="H53" s="26" t="str">
        <f aca="false">IF($L53="","",INDEX(반배정!L$7:L$86,$L53))</f>
        <v/>
      </c>
      <c r="I53" s="27" t="str">
        <f aca="false">IF($L53="","",INDEX(반배정!J$7:J$86,$L53))</f>
        <v/>
      </c>
      <c r="J53" s="27" t="str">
        <f aca="false">IF($L53="","",INDEX(반배정!M$7:M$86,$L53))</f>
        <v/>
      </c>
      <c r="K53" s="10" t="str">
        <f aca="false">IFERROR(SMALL(반배정!$N$7:$N$86,47),"")</f>
        <v/>
      </c>
      <c r="L53" s="10" t="str">
        <f aca="false">IF(K53="","",MATCH(K53,반배정!$N$7:$N$86,0))</f>
        <v/>
      </c>
    </row>
    <row r="54" customFormat="false" ht="15" hidden="false" customHeight="false" outlineLevel="0" collapsed="false">
      <c r="A54" s="27" t="str">
        <f aca="false">IF($L54="","",INDEX(반배정!H$7:H$86,$L54))</f>
        <v/>
      </c>
      <c r="B54" s="27" t="str">
        <f aca="false">IF($L54="","",INDEX(반배정!B$7:B$86,$L54))</f>
        <v/>
      </c>
      <c r="C54" s="27" t="str">
        <f aca="false">IF($L54="","",INDEX(반배정!C$7:C$86,$L54))</f>
        <v/>
      </c>
      <c r="D54" s="27" t="str">
        <f aca="false">IF($L54="","",INDEX(반배정!D$7:D$86,$L54))</f>
        <v/>
      </c>
      <c r="E54" s="27" t="str">
        <f aca="false">IF($L54="","",INDEX(반배정!E$7:E$86,$L54))</f>
        <v/>
      </c>
      <c r="F54" s="27" t="str">
        <f aca="false">IF($L54="","",INDEX(반배정!F$7:F$86,$L54))</f>
        <v/>
      </c>
      <c r="G54" s="28" t="str">
        <f aca="false">IF($L54="","",INDEX(반배정!G$7:G$86,$L54))</f>
        <v/>
      </c>
      <c r="H54" s="26" t="str">
        <f aca="false">IF($L54="","",INDEX(반배정!L$7:L$86,$L54))</f>
        <v/>
      </c>
      <c r="I54" s="27" t="str">
        <f aca="false">IF($L54="","",INDEX(반배정!J$7:J$86,$L54))</f>
        <v/>
      </c>
      <c r="J54" s="27" t="str">
        <f aca="false">IF($L54="","",INDEX(반배정!M$7:M$86,$L54))</f>
        <v/>
      </c>
      <c r="K54" s="10" t="str">
        <f aca="false">IFERROR(SMALL(반배정!$N$7:$N$86,48),"")</f>
        <v/>
      </c>
      <c r="L54" s="10" t="str">
        <f aca="false">IF(K54="","",MATCH(K54,반배정!$N$7:$N$86,0))</f>
        <v/>
      </c>
    </row>
    <row r="55" customFormat="false" ht="15" hidden="false" customHeight="false" outlineLevel="0" collapsed="false">
      <c r="A55" s="27" t="str">
        <f aca="false">IF($L55="","",INDEX(반배정!H$7:H$86,$L55))</f>
        <v/>
      </c>
      <c r="B55" s="27" t="str">
        <f aca="false">IF($L55="","",INDEX(반배정!B$7:B$86,$L55))</f>
        <v/>
      </c>
      <c r="C55" s="27" t="str">
        <f aca="false">IF($L55="","",INDEX(반배정!C$7:C$86,$L55))</f>
        <v/>
      </c>
      <c r="D55" s="27" t="str">
        <f aca="false">IF($L55="","",INDEX(반배정!D$7:D$86,$L55))</f>
        <v/>
      </c>
      <c r="E55" s="27" t="str">
        <f aca="false">IF($L55="","",INDEX(반배정!E$7:E$86,$L55))</f>
        <v/>
      </c>
      <c r="F55" s="27" t="str">
        <f aca="false">IF($L55="","",INDEX(반배정!F$7:F$86,$L55))</f>
        <v/>
      </c>
      <c r="G55" s="28" t="str">
        <f aca="false">IF($L55="","",INDEX(반배정!G$7:G$86,$L55))</f>
        <v/>
      </c>
      <c r="H55" s="26" t="str">
        <f aca="false">IF($L55="","",INDEX(반배정!L$7:L$86,$L55))</f>
        <v/>
      </c>
      <c r="I55" s="27" t="str">
        <f aca="false">IF($L55="","",INDEX(반배정!J$7:J$86,$L55))</f>
        <v/>
      </c>
      <c r="J55" s="27" t="str">
        <f aca="false">IF($L55="","",INDEX(반배정!M$7:M$86,$L55))</f>
        <v/>
      </c>
      <c r="K55" s="10" t="str">
        <f aca="false">IFERROR(SMALL(반배정!$N$7:$N$86,49),"")</f>
        <v/>
      </c>
      <c r="L55" s="10" t="str">
        <f aca="false">IF(K55="","",MATCH(K55,반배정!$N$7:$N$86,0))</f>
        <v/>
      </c>
    </row>
    <row r="56" customFormat="false" ht="15" hidden="false" customHeight="false" outlineLevel="0" collapsed="false">
      <c r="A56" s="27" t="str">
        <f aca="false">IF($L56="","",INDEX(반배정!H$7:H$86,$L56))</f>
        <v/>
      </c>
      <c r="B56" s="27" t="str">
        <f aca="false">IF($L56="","",INDEX(반배정!B$7:B$86,$L56))</f>
        <v/>
      </c>
      <c r="C56" s="27" t="str">
        <f aca="false">IF($L56="","",INDEX(반배정!C$7:C$86,$L56))</f>
        <v/>
      </c>
      <c r="D56" s="27" t="str">
        <f aca="false">IF($L56="","",INDEX(반배정!D$7:D$86,$L56))</f>
        <v/>
      </c>
      <c r="E56" s="27" t="str">
        <f aca="false">IF($L56="","",INDEX(반배정!E$7:E$86,$L56))</f>
        <v/>
      </c>
      <c r="F56" s="27" t="str">
        <f aca="false">IF($L56="","",INDEX(반배정!F$7:F$86,$L56))</f>
        <v/>
      </c>
      <c r="G56" s="28" t="str">
        <f aca="false">IF($L56="","",INDEX(반배정!G$7:G$86,$L56))</f>
        <v/>
      </c>
      <c r="H56" s="26" t="str">
        <f aca="false">IF($L56="","",INDEX(반배정!L$7:L$86,$L56))</f>
        <v/>
      </c>
      <c r="I56" s="27" t="str">
        <f aca="false">IF($L56="","",INDEX(반배정!J$7:J$86,$L56))</f>
        <v/>
      </c>
      <c r="J56" s="27" t="str">
        <f aca="false">IF($L56="","",INDEX(반배정!M$7:M$86,$L56))</f>
        <v/>
      </c>
      <c r="K56" s="10" t="str">
        <f aca="false">IFERROR(SMALL(반배정!$N$7:$N$86,50),"")</f>
        <v/>
      </c>
      <c r="L56" s="10" t="str">
        <f aca="false">IF(K56="","",MATCH(K56,반배정!$N$7:$N$86,0))</f>
        <v/>
      </c>
    </row>
    <row r="57" customFormat="false" ht="15" hidden="false" customHeight="false" outlineLevel="0" collapsed="false">
      <c r="A57" s="27" t="str">
        <f aca="false">IF($L57="","",INDEX(반배정!H$7:H$86,$L57))</f>
        <v/>
      </c>
      <c r="B57" s="27" t="str">
        <f aca="false">IF($L57="","",INDEX(반배정!B$7:B$86,$L57))</f>
        <v/>
      </c>
      <c r="C57" s="27" t="str">
        <f aca="false">IF($L57="","",INDEX(반배정!C$7:C$86,$L57))</f>
        <v/>
      </c>
      <c r="D57" s="27" t="str">
        <f aca="false">IF($L57="","",INDEX(반배정!D$7:D$86,$L57))</f>
        <v/>
      </c>
      <c r="E57" s="27" t="str">
        <f aca="false">IF($L57="","",INDEX(반배정!E$7:E$86,$L57))</f>
        <v/>
      </c>
      <c r="F57" s="27" t="str">
        <f aca="false">IF($L57="","",INDEX(반배정!F$7:F$86,$L57))</f>
        <v/>
      </c>
      <c r="G57" s="28" t="str">
        <f aca="false">IF($L57="","",INDEX(반배정!G$7:G$86,$L57))</f>
        <v/>
      </c>
      <c r="H57" s="26" t="str">
        <f aca="false">IF($L57="","",INDEX(반배정!L$7:L$86,$L57))</f>
        <v/>
      </c>
      <c r="I57" s="27" t="str">
        <f aca="false">IF($L57="","",INDEX(반배정!J$7:J$86,$L57))</f>
        <v/>
      </c>
      <c r="J57" s="27" t="str">
        <f aca="false">IF($L57="","",INDEX(반배정!M$7:M$86,$L57))</f>
        <v/>
      </c>
      <c r="K57" s="10" t="str">
        <f aca="false">IFERROR(SMALL(반배정!$N$7:$N$86,51),"")</f>
        <v/>
      </c>
      <c r="L57" s="10" t="str">
        <f aca="false">IF(K57="","",MATCH(K57,반배정!$N$7:$N$86,0))</f>
        <v/>
      </c>
    </row>
    <row r="58" customFormat="false" ht="15" hidden="false" customHeight="false" outlineLevel="0" collapsed="false">
      <c r="A58" s="27" t="str">
        <f aca="false">IF($L58="","",INDEX(반배정!H$7:H$86,$L58))</f>
        <v/>
      </c>
      <c r="B58" s="27" t="str">
        <f aca="false">IF($L58="","",INDEX(반배정!B$7:B$86,$L58))</f>
        <v/>
      </c>
      <c r="C58" s="27" t="str">
        <f aca="false">IF($L58="","",INDEX(반배정!C$7:C$86,$L58))</f>
        <v/>
      </c>
      <c r="D58" s="27" t="str">
        <f aca="false">IF($L58="","",INDEX(반배정!D$7:D$86,$L58))</f>
        <v/>
      </c>
      <c r="E58" s="27" t="str">
        <f aca="false">IF($L58="","",INDEX(반배정!E$7:E$86,$L58))</f>
        <v/>
      </c>
      <c r="F58" s="27" t="str">
        <f aca="false">IF($L58="","",INDEX(반배정!F$7:F$86,$L58))</f>
        <v/>
      </c>
      <c r="G58" s="28" t="str">
        <f aca="false">IF($L58="","",INDEX(반배정!G$7:G$86,$L58))</f>
        <v/>
      </c>
      <c r="H58" s="26" t="str">
        <f aca="false">IF($L58="","",INDEX(반배정!L$7:L$86,$L58))</f>
        <v/>
      </c>
      <c r="I58" s="27" t="str">
        <f aca="false">IF($L58="","",INDEX(반배정!J$7:J$86,$L58))</f>
        <v/>
      </c>
      <c r="J58" s="27" t="str">
        <f aca="false">IF($L58="","",INDEX(반배정!M$7:M$86,$L58))</f>
        <v/>
      </c>
      <c r="K58" s="10" t="str">
        <f aca="false">IFERROR(SMALL(반배정!$N$7:$N$86,52),"")</f>
        <v/>
      </c>
      <c r="L58" s="10" t="str">
        <f aca="false">IF(K58="","",MATCH(K58,반배정!$N$7:$N$86,0))</f>
        <v/>
      </c>
    </row>
    <row r="59" customFormat="false" ht="15" hidden="false" customHeight="false" outlineLevel="0" collapsed="false">
      <c r="A59" s="27" t="str">
        <f aca="false">IF($L59="","",INDEX(반배정!H$7:H$86,$L59))</f>
        <v/>
      </c>
      <c r="B59" s="27" t="str">
        <f aca="false">IF($L59="","",INDEX(반배정!B$7:B$86,$L59))</f>
        <v/>
      </c>
      <c r="C59" s="27" t="str">
        <f aca="false">IF($L59="","",INDEX(반배정!C$7:C$86,$L59))</f>
        <v/>
      </c>
      <c r="D59" s="27" t="str">
        <f aca="false">IF($L59="","",INDEX(반배정!D$7:D$86,$L59))</f>
        <v/>
      </c>
      <c r="E59" s="27" t="str">
        <f aca="false">IF($L59="","",INDEX(반배정!E$7:E$86,$L59))</f>
        <v/>
      </c>
      <c r="F59" s="27" t="str">
        <f aca="false">IF($L59="","",INDEX(반배정!F$7:F$86,$L59))</f>
        <v/>
      </c>
      <c r="G59" s="28" t="str">
        <f aca="false">IF($L59="","",INDEX(반배정!G$7:G$86,$L59))</f>
        <v/>
      </c>
      <c r="H59" s="26" t="str">
        <f aca="false">IF($L59="","",INDEX(반배정!L$7:L$86,$L59))</f>
        <v/>
      </c>
      <c r="I59" s="27" t="str">
        <f aca="false">IF($L59="","",INDEX(반배정!J$7:J$86,$L59))</f>
        <v/>
      </c>
      <c r="J59" s="27" t="str">
        <f aca="false">IF($L59="","",INDEX(반배정!M$7:M$86,$L59))</f>
        <v/>
      </c>
      <c r="K59" s="10" t="str">
        <f aca="false">IFERROR(SMALL(반배정!$N$7:$N$86,53),"")</f>
        <v/>
      </c>
      <c r="L59" s="10" t="str">
        <f aca="false">IF(K59="","",MATCH(K59,반배정!$N$7:$N$86,0))</f>
        <v/>
      </c>
    </row>
    <row r="60" customFormat="false" ht="15" hidden="false" customHeight="false" outlineLevel="0" collapsed="false">
      <c r="A60" s="27" t="str">
        <f aca="false">IF($L60="","",INDEX(반배정!H$7:H$86,$L60))</f>
        <v/>
      </c>
      <c r="B60" s="27" t="str">
        <f aca="false">IF($L60="","",INDEX(반배정!B$7:B$86,$L60))</f>
        <v/>
      </c>
      <c r="C60" s="27" t="str">
        <f aca="false">IF($L60="","",INDEX(반배정!C$7:C$86,$L60))</f>
        <v/>
      </c>
      <c r="D60" s="27" t="str">
        <f aca="false">IF($L60="","",INDEX(반배정!D$7:D$86,$L60))</f>
        <v/>
      </c>
      <c r="E60" s="27" t="str">
        <f aca="false">IF($L60="","",INDEX(반배정!E$7:E$86,$L60))</f>
        <v/>
      </c>
      <c r="F60" s="27" t="str">
        <f aca="false">IF($L60="","",INDEX(반배정!F$7:F$86,$L60))</f>
        <v/>
      </c>
      <c r="G60" s="28" t="str">
        <f aca="false">IF($L60="","",INDEX(반배정!G$7:G$86,$L60))</f>
        <v/>
      </c>
      <c r="H60" s="26" t="str">
        <f aca="false">IF($L60="","",INDEX(반배정!L$7:L$86,$L60))</f>
        <v/>
      </c>
      <c r="I60" s="27" t="str">
        <f aca="false">IF($L60="","",INDEX(반배정!J$7:J$86,$L60))</f>
        <v/>
      </c>
      <c r="J60" s="27" t="str">
        <f aca="false">IF($L60="","",INDEX(반배정!M$7:M$86,$L60))</f>
        <v/>
      </c>
      <c r="K60" s="10" t="str">
        <f aca="false">IFERROR(SMALL(반배정!$N$7:$N$86,54),"")</f>
        <v/>
      </c>
      <c r="L60" s="10" t="str">
        <f aca="false">IF(K60="","",MATCH(K60,반배정!$N$7:$N$86,0))</f>
        <v/>
      </c>
    </row>
    <row r="61" customFormat="false" ht="15" hidden="false" customHeight="false" outlineLevel="0" collapsed="false">
      <c r="A61" s="27" t="str">
        <f aca="false">IF($L61="","",INDEX(반배정!H$7:H$86,$L61))</f>
        <v/>
      </c>
      <c r="B61" s="27" t="str">
        <f aca="false">IF($L61="","",INDEX(반배정!B$7:B$86,$L61))</f>
        <v/>
      </c>
      <c r="C61" s="27" t="str">
        <f aca="false">IF($L61="","",INDEX(반배정!C$7:C$86,$L61))</f>
        <v/>
      </c>
      <c r="D61" s="27" t="str">
        <f aca="false">IF($L61="","",INDEX(반배정!D$7:D$86,$L61))</f>
        <v/>
      </c>
      <c r="E61" s="27" t="str">
        <f aca="false">IF($L61="","",INDEX(반배정!E$7:E$86,$L61))</f>
        <v/>
      </c>
      <c r="F61" s="27" t="str">
        <f aca="false">IF($L61="","",INDEX(반배정!F$7:F$86,$L61))</f>
        <v/>
      </c>
      <c r="G61" s="28" t="str">
        <f aca="false">IF($L61="","",INDEX(반배정!G$7:G$86,$L61))</f>
        <v/>
      </c>
      <c r="H61" s="26" t="str">
        <f aca="false">IF($L61="","",INDEX(반배정!L$7:L$86,$L61))</f>
        <v/>
      </c>
      <c r="I61" s="27" t="str">
        <f aca="false">IF($L61="","",INDEX(반배정!J$7:J$86,$L61))</f>
        <v/>
      </c>
      <c r="J61" s="27" t="str">
        <f aca="false">IF($L61="","",INDEX(반배정!M$7:M$86,$L61))</f>
        <v/>
      </c>
      <c r="K61" s="10" t="str">
        <f aca="false">IFERROR(SMALL(반배정!$N$7:$N$86,55),"")</f>
        <v/>
      </c>
      <c r="L61" s="10" t="str">
        <f aca="false">IF(K61="","",MATCH(K61,반배정!$N$7:$N$86,0))</f>
        <v/>
      </c>
    </row>
    <row r="62" customFormat="false" ht="15" hidden="false" customHeight="false" outlineLevel="0" collapsed="false">
      <c r="A62" s="27" t="str">
        <f aca="false">IF($L62="","",INDEX(반배정!H$7:H$86,$L62))</f>
        <v/>
      </c>
      <c r="B62" s="27" t="str">
        <f aca="false">IF($L62="","",INDEX(반배정!B$7:B$86,$L62))</f>
        <v/>
      </c>
      <c r="C62" s="27" t="str">
        <f aca="false">IF($L62="","",INDEX(반배정!C$7:C$86,$L62))</f>
        <v/>
      </c>
      <c r="D62" s="27" t="str">
        <f aca="false">IF($L62="","",INDEX(반배정!D$7:D$86,$L62))</f>
        <v/>
      </c>
      <c r="E62" s="27" t="str">
        <f aca="false">IF($L62="","",INDEX(반배정!E$7:E$86,$L62))</f>
        <v/>
      </c>
      <c r="F62" s="27" t="str">
        <f aca="false">IF($L62="","",INDEX(반배정!F$7:F$86,$L62))</f>
        <v/>
      </c>
      <c r="G62" s="28" t="str">
        <f aca="false">IF($L62="","",INDEX(반배정!G$7:G$86,$L62))</f>
        <v/>
      </c>
      <c r="H62" s="26" t="str">
        <f aca="false">IF($L62="","",INDEX(반배정!L$7:L$86,$L62))</f>
        <v/>
      </c>
      <c r="I62" s="27" t="str">
        <f aca="false">IF($L62="","",INDEX(반배정!J$7:J$86,$L62))</f>
        <v/>
      </c>
      <c r="J62" s="27" t="str">
        <f aca="false">IF($L62="","",INDEX(반배정!M$7:M$86,$L62))</f>
        <v/>
      </c>
      <c r="K62" s="10" t="str">
        <f aca="false">IFERROR(SMALL(반배정!$N$7:$N$86,56),"")</f>
        <v/>
      </c>
      <c r="L62" s="10" t="str">
        <f aca="false">IF(K62="","",MATCH(K62,반배정!$N$7:$N$86,0))</f>
        <v/>
      </c>
    </row>
    <row r="63" customFormat="false" ht="15" hidden="false" customHeight="false" outlineLevel="0" collapsed="false">
      <c r="A63" s="27" t="str">
        <f aca="false">IF($L63="","",INDEX(반배정!H$7:H$86,$L63))</f>
        <v/>
      </c>
      <c r="B63" s="27" t="str">
        <f aca="false">IF($L63="","",INDEX(반배정!B$7:B$86,$L63))</f>
        <v/>
      </c>
      <c r="C63" s="27" t="str">
        <f aca="false">IF($L63="","",INDEX(반배정!C$7:C$86,$L63))</f>
        <v/>
      </c>
      <c r="D63" s="27" t="str">
        <f aca="false">IF($L63="","",INDEX(반배정!D$7:D$86,$L63))</f>
        <v/>
      </c>
      <c r="E63" s="27" t="str">
        <f aca="false">IF($L63="","",INDEX(반배정!E$7:E$86,$L63))</f>
        <v/>
      </c>
      <c r="F63" s="27" t="str">
        <f aca="false">IF($L63="","",INDEX(반배정!F$7:F$86,$L63))</f>
        <v/>
      </c>
      <c r="G63" s="28" t="str">
        <f aca="false">IF($L63="","",INDEX(반배정!G$7:G$86,$L63))</f>
        <v/>
      </c>
      <c r="H63" s="26" t="str">
        <f aca="false">IF($L63="","",INDEX(반배정!L$7:L$86,$L63))</f>
        <v/>
      </c>
      <c r="I63" s="27" t="str">
        <f aca="false">IF($L63="","",INDEX(반배정!J$7:J$86,$L63))</f>
        <v/>
      </c>
      <c r="J63" s="27" t="str">
        <f aca="false">IF($L63="","",INDEX(반배정!M$7:M$86,$L63))</f>
        <v/>
      </c>
      <c r="K63" s="10" t="str">
        <f aca="false">IFERROR(SMALL(반배정!$N$7:$N$86,57),"")</f>
        <v/>
      </c>
      <c r="L63" s="10" t="str">
        <f aca="false">IF(K63="","",MATCH(K63,반배정!$N$7:$N$86,0))</f>
        <v/>
      </c>
    </row>
    <row r="64" customFormat="false" ht="15" hidden="false" customHeight="false" outlineLevel="0" collapsed="false">
      <c r="A64" s="27" t="str">
        <f aca="false">IF($L64="","",INDEX(반배정!H$7:H$86,$L64))</f>
        <v/>
      </c>
      <c r="B64" s="27" t="str">
        <f aca="false">IF($L64="","",INDEX(반배정!B$7:B$86,$L64))</f>
        <v/>
      </c>
      <c r="C64" s="27" t="str">
        <f aca="false">IF($L64="","",INDEX(반배정!C$7:C$86,$L64))</f>
        <v/>
      </c>
      <c r="D64" s="27" t="str">
        <f aca="false">IF($L64="","",INDEX(반배정!D$7:D$86,$L64))</f>
        <v/>
      </c>
      <c r="E64" s="27" t="str">
        <f aca="false">IF($L64="","",INDEX(반배정!E$7:E$86,$L64))</f>
        <v/>
      </c>
      <c r="F64" s="27" t="str">
        <f aca="false">IF($L64="","",INDEX(반배정!F$7:F$86,$L64))</f>
        <v/>
      </c>
      <c r="G64" s="28" t="str">
        <f aca="false">IF($L64="","",INDEX(반배정!G$7:G$86,$L64))</f>
        <v/>
      </c>
      <c r="H64" s="26" t="str">
        <f aca="false">IF($L64="","",INDEX(반배정!L$7:L$86,$L64))</f>
        <v/>
      </c>
      <c r="I64" s="27" t="str">
        <f aca="false">IF($L64="","",INDEX(반배정!J$7:J$86,$L64))</f>
        <v/>
      </c>
      <c r="J64" s="27" t="str">
        <f aca="false">IF($L64="","",INDEX(반배정!M$7:M$86,$L64))</f>
        <v/>
      </c>
      <c r="K64" s="10" t="str">
        <f aca="false">IFERROR(SMALL(반배정!$N$7:$N$86,58),"")</f>
        <v/>
      </c>
      <c r="L64" s="10" t="str">
        <f aca="false">IF(K64="","",MATCH(K64,반배정!$N$7:$N$86,0))</f>
        <v/>
      </c>
    </row>
    <row r="65" customFormat="false" ht="15" hidden="false" customHeight="false" outlineLevel="0" collapsed="false">
      <c r="A65" s="27" t="str">
        <f aca="false">IF($L65="","",INDEX(반배정!H$7:H$86,$L65))</f>
        <v/>
      </c>
      <c r="B65" s="27" t="str">
        <f aca="false">IF($L65="","",INDEX(반배정!B$7:B$86,$L65))</f>
        <v/>
      </c>
      <c r="C65" s="27" t="str">
        <f aca="false">IF($L65="","",INDEX(반배정!C$7:C$86,$L65))</f>
        <v/>
      </c>
      <c r="D65" s="27" t="str">
        <f aca="false">IF($L65="","",INDEX(반배정!D$7:D$86,$L65))</f>
        <v/>
      </c>
      <c r="E65" s="27" t="str">
        <f aca="false">IF($L65="","",INDEX(반배정!E$7:E$86,$L65))</f>
        <v/>
      </c>
      <c r="F65" s="27" t="str">
        <f aca="false">IF($L65="","",INDEX(반배정!F$7:F$86,$L65))</f>
        <v/>
      </c>
      <c r="G65" s="28" t="str">
        <f aca="false">IF($L65="","",INDEX(반배정!G$7:G$86,$L65))</f>
        <v/>
      </c>
      <c r="H65" s="26" t="str">
        <f aca="false">IF($L65="","",INDEX(반배정!L$7:L$86,$L65))</f>
        <v/>
      </c>
      <c r="I65" s="27" t="str">
        <f aca="false">IF($L65="","",INDEX(반배정!J$7:J$86,$L65))</f>
        <v/>
      </c>
      <c r="J65" s="27" t="str">
        <f aca="false">IF($L65="","",INDEX(반배정!M$7:M$86,$L65))</f>
        <v/>
      </c>
      <c r="K65" s="10" t="str">
        <f aca="false">IFERROR(SMALL(반배정!$N$7:$N$86,59),"")</f>
        <v/>
      </c>
      <c r="L65" s="10" t="str">
        <f aca="false">IF(K65="","",MATCH(K65,반배정!$N$7:$N$86,0))</f>
        <v/>
      </c>
    </row>
    <row r="66" customFormat="false" ht="15" hidden="false" customHeight="false" outlineLevel="0" collapsed="false">
      <c r="A66" s="27" t="str">
        <f aca="false">IF($L66="","",INDEX(반배정!H$7:H$86,$L66))</f>
        <v/>
      </c>
      <c r="B66" s="27" t="str">
        <f aca="false">IF($L66="","",INDEX(반배정!B$7:B$86,$L66))</f>
        <v/>
      </c>
      <c r="C66" s="27" t="str">
        <f aca="false">IF($L66="","",INDEX(반배정!C$7:C$86,$L66))</f>
        <v/>
      </c>
      <c r="D66" s="27" t="str">
        <f aca="false">IF($L66="","",INDEX(반배정!D$7:D$86,$L66))</f>
        <v/>
      </c>
      <c r="E66" s="27" t="str">
        <f aca="false">IF($L66="","",INDEX(반배정!E$7:E$86,$L66))</f>
        <v/>
      </c>
      <c r="F66" s="27" t="str">
        <f aca="false">IF($L66="","",INDEX(반배정!F$7:F$86,$L66))</f>
        <v/>
      </c>
      <c r="G66" s="28" t="str">
        <f aca="false">IF($L66="","",INDEX(반배정!G$7:G$86,$L66))</f>
        <v/>
      </c>
      <c r="H66" s="26" t="str">
        <f aca="false">IF($L66="","",INDEX(반배정!L$7:L$86,$L66))</f>
        <v/>
      </c>
      <c r="I66" s="27" t="str">
        <f aca="false">IF($L66="","",INDEX(반배정!J$7:J$86,$L66))</f>
        <v/>
      </c>
      <c r="J66" s="27" t="str">
        <f aca="false">IF($L66="","",INDEX(반배정!M$7:M$86,$L66))</f>
        <v/>
      </c>
      <c r="K66" s="10" t="str">
        <f aca="false">IFERROR(SMALL(반배정!$N$7:$N$86,60),"")</f>
        <v/>
      </c>
      <c r="L66" s="10" t="str">
        <f aca="false">IF(K66="","",MATCH(K66,반배정!$N$7:$N$86,0))</f>
        <v/>
      </c>
    </row>
    <row r="67" customFormat="false" ht="15" hidden="false" customHeight="false" outlineLevel="0" collapsed="false">
      <c r="A67" s="27" t="str">
        <f aca="false">IF($L67="","",INDEX(반배정!H$7:H$86,$L67))</f>
        <v/>
      </c>
      <c r="B67" s="27" t="str">
        <f aca="false">IF($L67="","",INDEX(반배정!B$7:B$86,$L67))</f>
        <v/>
      </c>
      <c r="C67" s="27" t="str">
        <f aca="false">IF($L67="","",INDEX(반배정!C$7:C$86,$L67))</f>
        <v/>
      </c>
      <c r="D67" s="27" t="str">
        <f aca="false">IF($L67="","",INDEX(반배정!D$7:D$86,$L67))</f>
        <v/>
      </c>
      <c r="E67" s="27" t="str">
        <f aca="false">IF($L67="","",INDEX(반배정!E$7:E$86,$L67))</f>
        <v/>
      </c>
      <c r="F67" s="27" t="str">
        <f aca="false">IF($L67="","",INDEX(반배정!F$7:F$86,$L67))</f>
        <v/>
      </c>
      <c r="G67" s="28" t="str">
        <f aca="false">IF($L67="","",INDEX(반배정!G$7:G$86,$L67))</f>
        <v/>
      </c>
      <c r="H67" s="26" t="str">
        <f aca="false">IF($L67="","",INDEX(반배정!L$7:L$86,$L67))</f>
        <v/>
      </c>
      <c r="I67" s="27" t="str">
        <f aca="false">IF($L67="","",INDEX(반배정!J$7:J$86,$L67))</f>
        <v/>
      </c>
      <c r="J67" s="27" t="str">
        <f aca="false">IF($L67="","",INDEX(반배정!M$7:M$86,$L67))</f>
        <v/>
      </c>
      <c r="K67" s="10" t="str">
        <f aca="false">IFERROR(SMALL(반배정!$N$7:$N$86,61),"")</f>
        <v/>
      </c>
      <c r="L67" s="10" t="str">
        <f aca="false">IF(K67="","",MATCH(K67,반배정!$N$7:$N$86,0))</f>
        <v/>
      </c>
    </row>
    <row r="68" customFormat="false" ht="15" hidden="false" customHeight="false" outlineLevel="0" collapsed="false">
      <c r="A68" s="27" t="str">
        <f aca="false">IF($L68="","",INDEX(반배정!H$7:H$86,$L68))</f>
        <v/>
      </c>
      <c r="B68" s="27" t="str">
        <f aca="false">IF($L68="","",INDEX(반배정!B$7:B$86,$L68))</f>
        <v/>
      </c>
      <c r="C68" s="27" t="str">
        <f aca="false">IF($L68="","",INDEX(반배정!C$7:C$86,$L68))</f>
        <v/>
      </c>
      <c r="D68" s="27" t="str">
        <f aca="false">IF($L68="","",INDEX(반배정!D$7:D$86,$L68))</f>
        <v/>
      </c>
      <c r="E68" s="27" t="str">
        <f aca="false">IF($L68="","",INDEX(반배정!E$7:E$86,$L68))</f>
        <v/>
      </c>
      <c r="F68" s="27" t="str">
        <f aca="false">IF($L68="","",INDEX(반배정!F$7:F$86,$L68))</f>
        <v/>
      </c>
      <c r="G68" s="28" t="str">
        <f aca="false">IF($L68="","",INDEX(반배정!G$7:G$86,$L68))</f>
        <v/>
      </c>
      <c r="H68" s="26" t="str">
        <f aca="false">IF($L68="","",INDEX(반배정!L$7:L$86,$L68))</f>
        <v/>
      </c>
      <c r="I68" s="27" t="str">
        <f aca="false">IF($L68="","",INDEX(반배정!J$7:J$86,$L68))</f>
        <v/>
      </c>
      <c r="J68" s="27" t="str">
        <f aca="false">IF($L68="","",INDEX(반배정!M$7:M$86,$L68))</f>
        <v/>
      </c>
      <c r="K68" s="10" t="str">
        <f aca="false">IFERROR(SMALL(반배정!$N$7:$N$86,62),"")</f>
        <v/>
      </c>
      <c r="L68" s="10" t="str">
        <f aca="false">IF(K68="","",MATCH(K68,반배정!$N$7:$N$86,0))</f>
        <v/>
      </c>
    </row>
    <row r="69" customFormat="false" ht="15" hidden="false" customHeight="false" outlineLevel="0" collapsed="false">
      <c r="A69" s="27" t="str">
        <f aca="false">IF($L69="","",INDEX(반배정!H$7:H$86,$L69))</f>
        <v/>
      </c>
      <c r="B69" s="27" t="str">
        <f aca="false">IF($L69="","",INDEX(반배정!B$7:B$86,$L69))</f>
        <v/>
      </c>
      <c r="C69" s="27" t="str">
        <f aca="false">IF($L69="","",INDEX(반배정!C$7:C$86,$L69))</f>
        <v/>
      </c>
      <c r="D69" s="27" t="str">
        <f aca="false">IF($L69="","",INDEX(반배정!D$7:D$86,$L69))</f>
        <v/>
      </c>
      <c r="E69" s="27" t="str">
        <f aca="false">IF($L69="","",INDEX(반배정!E$7:E$86,$L69))</f>
        <v/>
      </c>
      <c r="F69" s="27" t="str">
        <f aca="false">IF($L69="","",INDEX(반배정!F$7:F$86,$L69))</f>
        <v/>
      </c>
      <c r="G69" s="28" t="str">
        <f aca="false">IF($L69="","",INDEX(반배정!G$7:G$86,$L69))</f>
        <v/>
      </c>
      <c r="H69" s="26" t="str">
        <f aca="false">IF($L69="","",INDEX(반배정!L$7:L$86,$L69))</f>
        <v/>
      </c>
      <c r="I69" s="27" t="str">
        <f aca="false">IF($L69="","",INDEX(반배정!J$7:J$86,$L69))</f>
        <v/>
      </c>
      <c r="J69" s="27" t="str">
        <f aca="false">IF($L69="","",INDEX(반배정!M$7:M$86,$L69))</f>
        <v/>
      </c>
      <c r="K69" s="10" t="str">
        <f aca="false">IFERROR(SMALL(반배정!$N$7:$N$86,63),"")</f>
        <v/>
      </c>
      <c r="L69" s="10" t="str">
        <f aca="false">IF(K69="","",MATCH(K69,반배정!$N$7:$N$86,0))</f>
        <v/>
      </c>
    </row>
    <row r="70" customFormat="false" ht="15" hidden="false" customHeight="false" outlineLevel="0" collapsed="false">
      <c r="A70" s="27" t="str">
        <f aca="false">IF($L70="","",INDEX(반배정!H$7:H$86,$L70))</f>
        <v/>
      </c>
      <c r="B70" s="27" t="str">
        <f aca="false">IF($L70="","",INDEX(반배정!B$7:B$86,$L70))</f>
        <v/>
      </c>
      <c r="C70" s="27" t="str">
        <f aca="false">IF($L70="","",INDEX(반배정!C$7:C$86,$L70))</f>
        <v/>
      </c>
      <c r="D70" s="27" t="str">
        <f aca="false">IF($L70="","",INDEX(반배정!D$7:D$86,$L70))</f>
        <v/>
      </c>
      <c r="E70" s="27" t="str">
        <f aca="false">IF($L70="","",INDEX(반배정!E$7:E$86,$L70))</f>
        <v/>
      </c>
      <c r="F70" s="27" t="str">
        <f aca="false">IF($L70="","",INDEX(반배정!F$7:F$86,$L70))</f>
        <v/>
      </c>
      <c r="G70" s="28" t="str">
        <f aca="false">IF($L70="","",INDEX(반배정!G$7:G$86,$L70))</f>
        <v/>
      </c>
      <c r="H70" s="26" t="str">
        <f aca="false">IF($L70="","",INDEX(반배정!L$7:L$86,$L70))</f>
        <v/>
      </c>
      <c r="I70" s="27" t="str">
        <f aca="false">IF($L70="","",INDEX(반배정!J$7:J$86,$L70))</f>
        <v/>
      </c>
      <c r="J70" s="27" t="str">
        <f aca="false">IF($L70="","",INDEX(반배정!M$7:M$86,$L70))</f>
        <v/>
      </c>
      <c r="K70" s="10" t="str">
        <f aca="false">IFERROR(SMALL(반배정!$N$7:$N$86,64),"")</f>
        <v/>
      </c>
      <c r="L70" s="10" t="str">
        <f aca="false">IF(K70="","",MATCH(K70,반배정!$N$7:$N$86,0))</f>
        <v/>
      </c>
    </row>
    <row r="71" customFormat="false" ht="15" hidden="false" customHeight="false" outlineLevel="0" collapsed="false">
      <c r="A71" s="27" t="str">
        <f aca="false">IF($L71="","",INDEX(반배정!H$7:H$86,$L71))</f>
        <v/>
      </c>
      <c r="B71" s="27" t="str">
        <f aca="false">IF($L71="","",INDEX(반배정!B$7:B$86,$L71))</f>
        <v/>
      </c>
      <c r="C71" s="27" t="str">
        <f aca="false">IF($L71="","",INDEX(반배정!C$7:C$86,$L71))</f>
        <v/>
      </c>
      <c r="D71" s="27" t="str">
        <f aca="false">IF($L71="","",INDEX(반배정!D$7:D$86,$L71))</f>
        <v/>
      </c>
      <c r="E71" s="27" t="str">
        <f aca="false">IF($L71="","",INDEX(반배정!E$7:E$86,$L71))</f>
        <v/>
      </c>
      <c r="F71" s="27" t="str">
        <f aca="false">IF($L71="","",INDEX(반배정!F$7:F$86,$L71))</f>
        <v/>
      </c>
      <c r="G71" s="28" t="str">
        <f aca="false">IF($L71="","",INDEX(반배정!G$7:G$86,$L71))</f>
        <v/>
      </c>
      <c r="H71" s="26" t="str">
        <f aca="false">IF($L71="","",INDEX(반배정!L$7:L$86,$L71))</f>
        <v/>
      </c>
      <c r="I71" s="27" t="str">
        <f aca="false">IF($L71="","",INDEX(반배정!J$7:J$86,$L71))</f>
        <v/>
      </c>
      <c r="J71" s="27" t="str">
        <f aca="false">IF($L71="","",INDEX(반배정!M$7:M$86,$L71))</f>
        <v/>
      </c>
      <c r="K71" s="10" t="str">
        <f aca="false">IFERROR(SMALL(반배정!$N$7:$N$86,65),"")</f>
        <v/>
      </c>
      <c r="L71" s="10" t="str">
        <f aca="false">IF(K71="","",MATCH(K71,반배정!$N$7:$N$86,0))</f>
        <v/>
      </c>
    </row>
    <row r="72" customFormat="false" ht="15" hidden="false" customHeight="false" outlineLevel="0" collapsed="false">
      <c r="A72" s="27" t="str">
        <f aca="false">IF($L72="","",INDEX(반배정!H$7:H$86,$L72))</f>
        <v/>
      </c>
      <c r="B72" s="27" t="str">
        <f aca="false">IF($L72="","",INDEX(반배정!B$7:B$86,$L72))</f>
        <v/>
      </c>
      <c r="C72" s="27" t="str">
        <f aca="false">IF($L72="","",INDEX(반배정!C$7:C$86,$L72))</f>
        <v/>
      </c>
      <c r="D72" s="27" t="str">
        <f aca="false">IF($L72="","",INDEX(반배정!D$7:D$86,$L72))</f>
        <v/>
      </c>
      <c r="E72" s="27" t="str">
        <f aca="false">IF($L72="","",INDEX(반배정!E$7:E$86,$L72))</f>
        <v/>
      </c>
      <c r="F72" s="27" t="str">
        <f aca="false">IF($L72="","",INDEX(반배정!F$7:F$86,$L72))</f>
        <v/>
      </c>
      <c r="G72" s="28" t="str">
        <f aca="false">IF($L72="","",INDEX(반배정!G$7:G$86,$L72))</f>
        <v/>
      </c>
      <c r="H72" s="26" t="str">
        <f aca="false">IF($L72="","",INDEX(반배정!L$7:L$86,$L72))</f>
        <v/>
      </c>
      <c r="I72" s="27" t="str">
        <f aca="false">IF($L72="","",INDEX(반배정!J$7:J$86,$L72))</f>
        <v/>
      </c>
      <c r="J72" s="27" t="str">
        <f aca="false">IF($L72="","",INDEX(반배정!M$7:M$86,$L72))</f>
        <v/>
      </c>
      <c r="K72" s="10" t="str">
        <f aca="false">IFERROR(SMALL(반배정!$N$7:$N$86,66),"")</f>
        <v/>
      </c>
      <c r="L72" s="10" t="str">
        <f aca="false">IF(K72="","",MATCH(K72,반배정!$N$7:$N$86,0))</f>
        <v/>
      </c>
    </row>
    <row r="73" customFormat="false" ht="15" hidden="false" customHeight="false" outlineLevel="0" collapsed="false">
      <c r="A73" s="27" t="str">
        <f aca="false">IF($L73="","",INDEX(반배정!H$7:H$86,$L73))</f>
        <v/>
      </c>
      <c r="B73" s="27" t="str">
        <f aca="false">IF($L73="","",INDEX(반배정!B$7:B$86,$L73))</f>
        <v/>
      </c>
      <c r="C73" s="27" t="str">
        <f aca="false">IF($L73="","",INDEX(반배정!C$7:C$86,$L73))</f>
        <v/>
      </c>
      <c r="D73" s="27" t="str">
        <f aca="false">IF($L73="","",INDEX(반배정!D$7:D$86,$L73))</f>
        <v/>
      </c>
      <c r="E73" s="27" t="str">
        <f aca="false">IF($L73="","",INDEX(반배정!E$7:E$86,$L73))</f>
        <v/>
      </c>
      <c r="F73" s="27" t="str">
        <f aca="false">IF($L73="","",INDEX(반배정!F$7:F$86,$L73))</f>
        <v/>
      </c>
      <c r="G73" s="28" t="str">
        <f aca="false">IF($L73="","",INDEX(반배정!G$7:G$86,$L73))</f>
        <v/>
      </c>
      <c r="H73" s="26" t="str">
        <f aca="false">IF($L73="","",INDEX(반배정!L$7:L$86,$L73))</f>
        <v/>
      </c>
      <c r="I73" s="27" t="str">
        <f aca="false">IF($L73="","",INDEX(반배정!J$7:J$86,$L73))</f>
        <v/>
      </c>
      <c r="J73" s="27" t="str">
        <f aca="false">IF($L73="","",INDEX(반배정!M$7:M$86,$L73))</f>
        <v/>
      </c>
      <c r="K73" s="10" t="str">
        <f aca="false">IFERROR(SMALL(반배정!$N$7:$N$86,67),"")</f>
        <v/>
      </c>
      <c r="L73" s="10" t="str">
        <f aca="false">IF(K73="","",MATCH(K73,반배정!$N$7:$N$86,0))</f>
        <v/>
      </c>
    </row>
    <row r="74" customFormat="false" ht="15" hidden="false" customHeight="false" outlineLevel="0" collapsed="false">
      <c r="A74" s="27" t="str">
        <f aca="false">IF($L74="","",INDEX(반배정!H$7:H$86,$L74))</f>
        <v/>
      </c>
      <c r="B74" s="27" t="str">
        <f aca="false">IF($L74="","",INDEX(반배정!B$7:B$86,$L74))</f>
        <v/>
      </c>
      <c r="C74" s="27" t="str">
        <f aca="false">IF($L74="","",INDEX(반배정!C$7:C$86,$L74))</f>
        <v/>
      </c>
      <c r="D74" s="27" t="str">
        <f aca="false">IF($L74="","",INDEX(반배정!D$7:D$86,$L74))</f>
        <v/>
      </c>
      <c r="E74" s="27" t="str">
        <f aca="false">IF($L74="","",INDEX(반배정!E$7:E$86,$L74))</f>
        <v/>
      </c>
      <c r="F74" s="27" t="str">
        <f aca="false">IF($L74="","",INDEX(반배정!F$7:F$86,$L74))</f>
        <v/>
      </c>
      <c r="G74" s="28" t="str">
        <f aca="false">IF($L74="","",INDEX(반배정!G$7:G$86,$L74))</f>
        <v/>
      </c>
      <c r="H74" s="26" t="str">
        <f aca="false">IF($L74="","",INDEX(반배정!L$7:L$86,$L74))</f>
        <v/>
      </c>
      <c r="I74" s="27" t="str">
        <f aca="false">IF($L74="","",INDEX(반배정!J$7:J$86,$L74))</f>
        <v/>
      </c>
      <c r="J74" s="27" t="str">
        <f aca="false">IF($L74="","",INDEX(반배정!M$7:M$86,$L74))</f>
        <v/>
      </c>
      <c r="K74" s="10" t="str">
        <f aca="false">IFERROR(SMALL(반배정!$N$7:$N$86,68),"")</f>
        <v/>
      </c>
      <c r="L74" s="10" t="str">
        <f aca="false">IF(K74="","",MATCH(K74,반배정!$N$7:$N$86,0))</f>
        <v/>
      </c>
    </row>
    <row r="75" customFormat="false" ht="15" hidden="false" customHeight="false" outlineLevel="0" collapsed="false">
      <c r="A75" s="27" t="str">
        <f aca="false">IF($L75="","",INDEX(반배정!H$7:H$86,$L75))</f>
        <v/>
      </c>
      <c r="B75" s="27" t="str">
        <f aca="false">IF($L75="","",INDEX(반배정!B$7:B$86,$L75))</f>
        <v/>
      </c>
      <c r="C75" s="27" t="str">
        <f aca="false">IF($L75="","",INDEX(반배정!C$7:C$86,$L75))</f>
        <v/>
      </c>
      <c r="D75" s="27" t="str">
        <f aca="false">IF($L75="","",INDEX(반배정!D$7:D$86,$L75))</f>
        <v/>
      </c>
      <c r="E75" s="27" t="str">
        <f aca="false">IF($L75="","",INDEX(반배정!E$7:E$86,$L75))</f>
        <v/>
      </c>
      <c r="F75" s="27" t="str">
        <f aca="false">IF($L75="","",INDEX(반배정!F$7:F$86,$L75))</f>
        <v/>
      </c>
      <c r="G75" s="28" t="str">
        <f aca="false">IF($L75="","",INDEX(반배정!G$7:G$86,$L75))</f>
        <v/>
      </c>
      <c r="H75" s="26" t="str">
        <f aca="false">IF($L75="","",INDEX(반배정!L$7:L$86,$L75))</f>
        <v/>
      </c>
      <c r="I75" s="27" t="str">
        <f aca="false">IF($L75="","",INDEX(반배정!J$7:J$86,$L75))</f>
        <v/>
      </c>
      <c r="J75" s="27" t="str">
        <f aca="false">IF($L75="","",INDEX(반배정!M$7:M$86,$L75))</f>
        <v/>
      </c>
      <c r="K75" s="10" t="str">
        <f aca="false">IFERROR(SMALL(반배정!$N$7:$N$86,69),"")</f>
        <v/>
      </c>
      <c r="L75" s="10" t="str">
        <f aca="false">IF(K75="","",MATCH(K75,반배정!$N$7:$N$86,0))</f>
        <v/>
      </c>
    </row>
    <row r="76" customFormat="false" ht="15" hidden="false" customHeight="false" outlineLevel="0" collapsed="false">
      <c r="A76" s="27" t="str">
        <f aca="false">IF($L76="","",INDEX(반배정!H$7:H$86,$L76))</f>
        <v/>
      </c>
      <c r="B76" s="27" t="str">
        <f aca="false">IF($L76="","",INDEX(반배정!B$7:B$86,$L76))</f>
        <v/>
      </c>
      <c r="C76" s="27" t="str">
        <f aca="false">IF($L76="","",INDEX(반배정!C$7:C$86,$L76))</f>
        <v/>
      </c>
      <c r="D76" s="27" t="str">
        <f aca="false">IF($L76="","",INDEX(반배정!D$7:D$86,$L76))</f>
        <v/>
      </c>
      <c r="E76" s="27" t="str">
        <f aca="false">IF($L76="","",INDEX(반배정!E$7:E$86,$L76))</f>
        <v/>
      </c>
      <c r="F76" s="27" t="str">
        <f aca="false">IF($L76="","",INDEX(반배정!F$7:F$86,$L76))</f>
        <v/>
      </c>
      <c r="G76" s="28" t="str">
        <f aca="false">IF($L76="","",INDEX(반배정!G$7:G$86,$L76))</f>
        <v/>
      </c>
      <c r="H76" s="26" t="str">
        <f aca="false">IF($L76="","",INDEX(반배정!L$7:L$86,$L76))</f>
        <v/>
      </c>
      <c r="I76" s="27" t="str">
        <f aca="false">IF($L76="","",INDEX(반배정!J$7:J$86,$L76))</f>
        <v/>
      </c>
      <c r="J76" s="27" t="str">
        <f aca="false">IF($L76="","",INDEX(반배정!M$7:M$86,$L76))</f>
        <v/>
      </c>
      <c r="K76" s="10" t="str">
        <f aca="false">IFERROR(SMALL(반배정!$N$7:$N$86,70),"")</f>
        <v/>
      </c>
      <c r="L76" s="10" t="str">
        <f aca="false">IF(K76="","",MATCH(K76,반배정!$N$7:$N$86,0))</f>
        <v/>
      </c>
    </row>
    <row r="77" customFormat="false" ht="15" hidden="false" customHeight="false" outlineLevel="0" collapsed="false">
      <c r="A77" s="27" t="str">
        <f aca="false">IF($L77="","",INDEX(반배정!H$7:H$86,$L77))</f>
        <v/>
      </c>
      <c r="B77" s="27" t="str">
        <f aca="false">IF($L77="","",INDEX(반배정!B$7:B$86,$L77))</f>
        <v/>
      </c>
      <c r="C77" s="27" t="str">
        <f aca="false">IF($L77="","",INDEX(반배정!C$7:C$86,$L77))</f>
        <v/>
      </c>
      <c r="D77" s="27" t="str">
        <f aca="false">IF($L77="","",INDEX(반배정!D$7:D$86,$L77))</f>
        <v/>
      </c>
      <c r="E77" s="27" t="str">
        <f aca="false">IF($L77="","",INDEX(반배정!E$7:E$86,$L77))</f>
        <v/>
      </c>
      <c r="F77" s="27" t="str">
        <f aca="false">IF($L77="","",INDEX(반배정!F$7:F$86,$L77))</f>
        <v/>
      </c>
      <c r="G77" s="28" t="str">
        <f aca="false">IF($L77="","",INDEX(반배정!G$7:G$86,$L77))</f>
        <v/>
      </c>
      <c r="H77" s="26" t="str">
        <f aca="false">IF($L77="","",INDEX(반배정!L$7:L$86,$L77))</f>
        <v/>
      </c>
      <c r="I77" s="27" t="str">
        <f aca="false">IF($L77="","",INDEX(반배정!J$7:J$86,$L77))</f>
        <v/>
      </c>
      <c r="J77" s="27" t="str">
        <f aca="false">IF($L77="","",INDEX(반배정!M$7:M$86,$L77))</f>
        <v/>
      </c>
      <c r="K77" s="10" t="str">
        <f aca="false">IFERROR(SMALL(반배정!$N$7:$N$86,71),"")</f>
        <v/>
      </c>
      <c r="L77" s="10" t="str">
        <f aca="false">IF(K77="","",MATCH(K77,반배정!$N$7:$N$86,0))</f>
        <v/>
      </c>
    </row>
    <row r="78" customFormat="false" ht="15" hidden="false" customHeight="false" outlineLevel="0" collapsed="false">
      <c r="A78" s="27" t="str">
        <f aca="false">IF($L78="","",INDEX(반배정!H$7:H$86,$L78))</f>
        <v/>
      </c>
      <c r="B78" s="27" t="str">
        <f aca="false">IF($L78="","",INDEX(반배정!B$7:B$86,$L78))</f>
        <v/>
      </c>
      <c r="C78" s="27" t="str">
        <f aca="false">IF($L78="","",INDEX(반배정!C$7:C$86,$L78))</f>
        <v/>
      </c>
      <c r="D78" s="27" t="str">
        <f aca="false">IF($L78="","",INDEX(반배정!D$7:D$86,$L78))</f>
        <v/>
      </c>
      <c r="E78" s="27" t="str">
        <f aca="false">IF($L78="","",INDEX(반배정!E$7:E$86,$L78))</f>
        <v/>
      </c>
      <c r="F78" s="27" t="str">
        <f aca="false">IF($L78="","",INDEX(반배정!F$7:F$86,$L78))</f>
        <v/>
      </c>
      <c r="G78" s="28" t="str">
        <f aca="false">IF($L78="","",INDEX(반배정!G$7:G$86,$L78))</f>
        <v/>
      </c>
      <c r="H78" s="26" t="str">
        <f aca="false">IF($L78="","",INDEX(반배정!L$7:L$86,$L78))</f>
        <v/>
      </c>
      <c r="I78" s="27" t="str">
        <f aca="false">IF($L78="","",INDEX(반배정!J$7:J$86,$L78))</f>
        <v/>
      </c>
      <c r="J78" s="27" t="str">
        <f aca="false">IF($L78="","",INDEX(반배정!M$7:M$86,$L78))</f>
        <v/>
      </c>
      <c r="K78" s="10" t="str">
        <f aca="false">IFERROR(SMALL(반배정!$N$7:$N$86,72),"")</f>
        <v/>
      </c>
      <c r="L78" s="10" t="str">
        <f aca="false">IF(K78="","",MATCH(K78,반배정!$N$7:$N$86,0))</f>
        <v/>
      </c>
    </row>
    <row r="79" customFormat="false" ht="15" hidden="false" customHeight="false" outlineLevel="0" collapsed="false">
      <c r="A79" s="27" t="str">
        <f aca="false">IF($L79="","",INDEX(반배정!H$7:H$86,$L79))</f>
        <v/>
      </c>
      <c r="B79" s="27" t="str">
        <f aca="false">IF($L79="","",INDEX(반배정!B$7:B$86,$L79))</f>
        <v/>
      </c>
      <c r="C79" s="27" t="str">
        <f aca="false">IF($L79="","",INDEX(반배정!C$7:C$86,$L79))</f>
        <v/>
      </c>
      <c r="D79" s="27" t="str">
        <f aca="false">IF($L79="","",INDEX(반배정!D$7:D$86,$L79))</f>
        <v/>
      </c>
      <c r="E79" s="27" t="str">
        <f aca="false">IF($L79="","",INDEX(반배정!E$7:E$86,$L79))</f>
        <v/>
      </c>
      <c r="F79" s="27" t="str">
        <f aca="false">IF($L79="","",INDEX(반배정!F$7:F$86,$L79))</f>
        <v/>
      </c>
      <c r="G79" s="28" t="str">
        <f aca="false">IF($L79="","",INDEX(반배정!G$7:G$86,$L79))</f>
        <v/>
      </c>
      <c r="H79" s="26" t="str">
        <f aca="false">IF($L79="","",INDEX(반배정!L$7:L$86,$L79))</f>
        <v/>
      </c>
      <c r="I79" s="27" t="str">
        <f aca="false">IF($L79="","",INDEX(반배정!J$7:J$86,$L79))</f>
        <v/>
      </c>
      <c r="J79" s="27" t="str">
        <f aca="false">IF($L79="","",INDEX(반배정!M$7:M$86,$L79))</f>
        <v/>
      </c>
      <c r="K79" s="10" t="str">
        <f aca="false">IFERROR(SMALL(반배정!$N$7:$N$86,73),"")</f>
        <v/>
      </c>
      <c r="L79" s="10" t="str">
        <f aca="false">IF(K79="","",MATCH(K79,반배정!$N$7:$N$86,0))</f>
        <v/>
      </c>
    </row>
    <row r="80" customFormat="false" ht="15" hidden="false" customHeight="false" outlineLevel="0" collapsed="false">
      <c r="A80" s="27" t="str">
        <f aca="false">IF($L80="","",INDEX(반배정!H$7:H$86,$L80))</f>
        <v/>
      </c>
      <c r="B80" s="27" t="str">
        <f aca="false">IF($L80="","",INDEX(반배정!B$7:B$86,$L80))</f>
        <v/>
      </c>
      <c r="C80" s="27" t="str">
        <f aca="false">IF($L80="","",INDEX(반배정!C$7:C$86,$L80))</f>
        <v/>
      </c>
      <c r="D80" s="27" t="str">
        <f aca="false">IF($L80="","",INDEX(반배정!D$7:D$86,$L80))</f>
        <v/>
      </c>
      <c r="E80" s="27" t="str">
        <f aca="false">IF($L80="","",INDEX(반배정!E$7:E$86,$L80))</f>
        <v/>
      </c>
      <c r="F80" s="27" t="str">
        <f aca="false">IF($L80="","",INDEX(반배정!F$7:F$86,$L80))</f>
        <v/>
      </c>
      <c r="G80" s="28" t="str">
        <f aca="false">IF($L80="","",INDEX(반배정!G$7:G$86,$L80))</f>
        <v/>
      </c>
      <c r="H80" s="26" t="str">
        <f aca="false">IF($L80="","",INDEX(반배정!L$7:L$86,$L80))</f>
        <v/>
      </c>
      <c r="I80" s="27" t="str">
        <f aca="false">IF($L80="","",INDEX(반배정!J$7:J$86,$L80))</f>
        <v/>
      </c>
      <c r="J80" s="27" t="str">
        <f aca="false">IF($L80="","",INDEX(반배정!M$7:M$86,$L80))</f>
        <v/>
      </c>
      <c r="K80" s="10" t="str">
        <f aca="false">IFERROR(SMALL(반배정!$N$7:$N$86,74),"")</f>
        <v/>
      </c>
      <c r="L80" s="10" t="str">
        <f aca="false">IF(K80="","",MATCH(K80,반배정!$N$7:$N$86,0))</f>
        <v/>
      </c>
    </row>
    <row r="81" customFormat="false" ht="15" hidden="false" customHeight="false" outlineLevel="0" collapsed="false">
      <c r="A81" s="27" t="str">
        <f aca="false">IF($L81="","",INDEX(반배정!H$7:H$86,$L81))</f>
        <v/>
      </c>
      <c r="B81" s="27" t="str">
        <f aca="false">IF($L81="","",INDEX(반배정!B$7:B$86,$L81))</f>
        <v/>
      </c>
      <c r="C81" s="27" t="str">
        <f aca="false">IF($L81="","",INDEX(반배정!C$7:C$86,$L81))</f>
        <v/>
      </c>
      <c r="D81" s="27" t="str">
        <f aca="false">IF($L81="","",INDEX(반배정!D$7:D$86,$L81))</f>
        <v/>
      </c>
      <c r="E81" s="27" t="str">
        <f aca="false">IF($L81="","",INDEX(반배정!E$7:E$86,$L81))</f>
        <v/>
      </c>
      <c r="F81" s="27" t="str">
        <f aca="false">IF($L81="","",INDEX(반배정!F$7:F$86,$L81))</f>
        <v/>
      </c>
      <c r="G81" s="28" t="str">
        <f aca="false">IF($L81="","",INDEX(반배정!G$7:G$86,$L81))</f>
        <v/>
      </c>
      <c r="H81" s="26" t="str">
        <f aca="false">IF($L81="","",INDEX(반배정!L$7:L$86,$L81))</f>
        <v/>
      </c>
      <c r="I81" s="27" t="str">
        <f aca="false">IF($L81="","",INDEX(반배정!J$7:J$86,$L81))</f>
        <v/>
      </c>
      <c r="J81" s="27" t="str">
        <f aca="false">IF($L81="","",INDEX(반배정!M$7:M$86,$L81))</f>
        <v/>
      </c>
      <c r="K81" s="10" t="str">
        <f aca="false">IFERROR(SMALL(반배정!$N$7:$N$86,75),"")</f>
        <v/>
      </c>
      <c r="L81" s="10" t="str">
        <f aca="false">IF(K81="","",MATCH(K81,반배정!$N$7:$N$86,0))</f>
        <v/>
      </c>
    </row>
    <row r="82" customFormat="false" ht="15" hidden="false" customHeight="false" outlineLevel="0" collapsed="false">
      <c r="A82" s="27" t="str">
        <f aca="false">IF($L82="","",INDEX(반배정!H$7:H$86,$L82))</f>
        <v/>
      </c>
      <c r="B82" s="27" t="str">
        <f aca="false">IF($L82="","",INDEX(반배정!B$7:B$86,$L82))</f>
        <v/>
      </c>
      <c r="C82" s="27" t="str">
        <f aca="false">IF($L82="","",INDEX(반배정!C$7:C$86,$L82))</f>
        <v/>
      </c>
      <c r="D82" s="27" t="str">
        <f aca="false">IF($L82="","",INDEX(반배정!D$7:D$86,$L82))</f>
        <v/>
      </c>
      <c r="E82" s="27" t="str">
        <f aca="false">IF($L82="","",INDEX(반배정!E$7:E$86,$L82))</f>
        <v/>
      </c>
      <c r="F82" s="27" t="str">
        <f aca="false">IF($L82="","",INDEX(반배정!F$7:F$86,$L82))</f>
        <v/>
      </c>
      <c r="G82" s="28" t="str">
        <f aca="false">IF($L82="","",INDEX(반배정!G$7:G$86,$L82))</f>
        <v/>
      </c>
      <c r="H82" s="26" t="str">
        <f aca="false">IF($L82="","",INDEX(반배정!L$7:L$86,$L82))</f>
        <v/>
      </c>
      <c r="I82" s="27" t="str">
        <f aca="false">IF($L82="","",INDEX(반배정!J$7:J$86,$L82))</f>
        <v/>
      </c>
      <c r="J82" s="27" t="str">
        <f aca="false">IF($L82="","",INDEX(반배정!M$7:M$86,$L82))</f>
        <v/>
      </c>
      <c r="K82" s="10" t="str">
        <f aca="false">IFERROR(SMALL(반배정!$N$7:$N$86,76),"")</f>
        <v/>
      </c>
      <c r="L82" s="10" t="str">
        <f aca="false">IF(K82="","",MATCH(K82,반배정!$N$7:$N$86,0))</f>
        <v/>
      </c>
    </row>
    <row r="83" customFormat="false" ht="15" hidden="false" customHeight="false" outlineLevel="0" collapsed="false">
      <c r="A83" s="27" t="str">
        <f aca="false">IF($L83="","",INDEX(반배정!H$7:H$86,$L83))</f>
        <v/>
      </c>
      <c r="B83" s="27" t="str">
        <f aca="false">IF($L83="","",INDEX(반배정!B$7:B$86,$L83))</f>
        <v/>
      </c>
      <c r="C83" s="27" t="str">
        <f aca="false">IF($L83="","",INDEX(반배정!C$7:C$86,$L83))</f>
        <v/>
      </c>
      <c r="D83" s="27" t="str">
        <f aca="false">IF($L83="","",INDEX(반배정!D$7:D$86,$L83))</f>
        <v/>
      </c>
      <c r="E83" s="27" t="str">
        <f aca="false">IF($L83="","",INDEX(반배정!E$7:E$86,$L83))</f>
        <v/>
      </c>
      <c r="F83" s="27" t="str">
        <f aca="false">IF($L83="","",INDEX(반배정!F$7:F$86,$L83))</f>
        <v/>
      </c>
      <c r="G83" s="28" t="str">
        <f aca="false">IF($L83="","",INDEX(반배정!G$7:G$86,$L83))</f>
        <v/>
      </c>
      <c r="H83" s="26" t="str">
        <f aca="false">IF($L83="","",INDEX(반배정!L$7:L$86,$L83))</f>
        <v/>
      </c>
      <c r="I83" s="27" t="str">
        <f aca="false">IF($L83="","",INDEX(반배정!J$7:J$86,$L83))</f>
        <v/>
      </c>
      <c r="J83" s="27" t="str">
        <f aca="false">IF($L83="","",INDEX(반배정!M$7:M$86,$L83))</f>
        <v/>
      </c>
      <c r="K83" s="10" t="str">
        <f aca="false">IFERROR(SMALL(반배정!$N$7:$N$86,77),"")</f>
        <v/>
      </c>
      <c r="L83" s="10" t="str">
        <f aca="false">IF(K83="","",MATCH(K83,반배정!$N$7:$N$86,0))</f>
        <v/>
      </c>
    </row>
    <row r="84" customFormat="false" ht="15" hidden="false" customHeight="false" outlineLevel="0" collapsed="false">
      <c r="A84" s="27" t="str">
        <f aca="false">IF($L84="","",INDEX(반배정!H$7:H$86,$L84))</f>
        <v/>
      </c>
      <c r="B84" s="27" t="str">
        <f aca="false">IF($L84="","",INDEX(반배정!B$7:B$86,$L84))</f>
        <v/>
      </c>
      <c r="C84" s="27" t="str">
        <f aca="false">IF($L84="","",INDEX(반배정!C$7:C$86,$L84))</f>
        <v/>
      </c>
      <c r="D84" s="27" t="str">
        <f aca="false">IF($L84="","",INDEX(반배정!D$7:D$86,$L84))</f>
        <v/>
      </c>
      <c r="E84" s="27" t="str">
        <f aca="false">IF($L84="","",INDEX(반배정!E$7:E$86,$L84))</f>
        <v/>
      </c>
      <c r="F84" s="27" t="str">
        <f aca="false">IF($L84="","",INDEX(반배정!F$7:F$86,$L84))</f>
        <v/>
      </c>
      <c r="G84" s="28" t="str">
        <f aca="false">IF($L84="","",INDEX(반배정!G$7:G$86,$L84))</f>
        <v/>
      </c>
      <c r="H84" s="26" t="str">
        <f aca="false">IF($L84="","",INDEX(반배정!L$7:L$86,$L84))</f>
        <v/>
      </c>
      <c r="I84" s="27" t="str">
        <f aca="false">IF($L84="","",INDEX(반배정!J$7:J$86,$L84))</f>
        <v/>
      </c>
      <c r="J84" s="27" t="str">
        <f aca="false">IF($L84="","",INDEX(반배정!M$7:M$86,$L84))</f>
        <v/>
      </c>
      <c r="K84" s="10" t="str">
        <f aca="false">IFERROR(SMALL(반배정!$N$7:$N$86,78),"")</f>
        <v/>
      </c>
      <c r="L84" s="10" t="str">
        <f aca="false">IF(K84="","",MATCH(K84,반배정!$N$7:$N$86,0))</f>
        <v/>
      </c>
    </row>
    <row r="85" customFormat="false" ht="15" hidden="false" customHeight="false" outlineLevel="0" collapsed="false">
      <c r="A85" s="27" t="str">
        <f aca="false">IF($L85="","",INDEX(반배정!H$7:H$86,$L85))</f>
        <v/>
      </c>
      <c r="B85" s="27" t="str">
        <f aca="false">IF($L85="","",INDEX(반배정!B$7:B$86,$L85))</f>
        <v/>
      </c>
      <c r="C85" s="27" t="str">
        <f aca="false">IF($L85="","",INDEX(반배정!C$7:C$86,$L85))</f>
        <v/>
      </c>
      <c r="D85" s="27" t="str">
        <f aca="false">IF($L85="","",INDEX(반배정!D$7:D$86,$L85))</f>
        <v/>
      </c>
      <c r="E85" s="27" t="str">
        <f aca="false">IF($L85="","",INDEX(반배정!E$7:E$86,$L85))</f>
        <v/>
      </c>
      <c r="F85" s="27" t="str">
        <f aca="false">IF($L85="","",INDEX(반배정!F$7:F$86,$L85))</f>
        <v/>
      </c>
      <c r="G85" s="28" t="str">
        <f aca="false">IF($L85="","",INDEX(반배정!G$7:G$86,$L85))</f>
        <v/>
      </c>
      <c r="H85" s="26" t="str">
        <f aca="false">IF($L85="","",INDEX(반배정!L$7:L$86,$L85))</f>
        <v/>
      </c>
      <c r="I85" s="27" t="str">
        <f aca="false">IF($L85="","",INDEX(반배정!J$7:J$86,$L85))</f>
        <v/>
      </c>
      <c r="J85" s="27" t="str">
        <f aca="false">IF($L85="","",INDEX(반배정!M$7:M$86,$L85))</f>
        <v/>
      </c>
      <c r="K85" s="10" t="str">
        <f aca="false">IFERROR(SMALL(반배정!$N$7:$N$86,79),"")</f>
        <v/>
      </c>
      <c r="L85" s="10" t="str">
        <f aca="false">IF(K85="","",MATCH(K85,반배정!$N$7:$N$86,0))</f>
        <v/>
      </c>
    </row>
    <row r="86" customFormat="false" ht="15" hidden="false" customHeight="false" outlineLevel="0" collapsed="false">
      <c r="A86" s="27" t="str">
        <f aca="false">IF($L86="","",INDEX(반배정!H$7:H$86,$L86))</f>
        <v/>
      </c>
      <c r="B86" s="27" t="str">
        <f aca="false">IF($L86="","",INDEX(반배정!B$7:B$86,$L86))</f>
        <v/>
      </c>
      <c r="C86" s="27" t="str">
        <f aca="false">IF($L86="","",INDEX(반배정!C$7:C$86,$L86))</f>
        <v/>
      </c>
      <c r="D86" s="27" t="str">
        <f aca="false">IF($L86="","",INDEX(반배정!D$7:D$86,$L86))</f>
        <v/>
      </c>
      <c r="E86" s="27" t="str">
        <f aca="false">IF($L86="","",INDEX(반배정!E$7:E$86,$L86))</f>
        <v/>
      </c>
      <c r="F86" s="27" t="str">
        <f aca="false">IF($L86="","",INDEX(반배정!F$7:F$86,$L86))</f>
        <v/>
      </c>
      <c r="G86" s="28" t="str">
        <f aca="false">IF($L86="","",INDEX(반배정!G$7:G$86,$L86))</f>
        <v/>
      </c>
      <c r="H86" s="26" t="str">
        <f aca="false">IF($L86="","",INDEX(반배정!L$7:L$86,$L86))</f>
        <v/>
      </c>
      <c r="I86" s="27" t="str">
        <f aca="false">IF($L86="","",INDEX(반배정!J$7:J$86,$L86))</f>
        <v/>
      </c>
      <c r="J86" s="27" t="str">
        <f aca="false">IF($L86="","",INDEX(반배정!M$7:M$86,$L86))</f>
        <v/>
      </c>
      <c r="K86" s="10" t="str">
        <f aca="false">IFERROR(SMALL(반배정!$N$7:$N$86,80),"")</f>
        <v/>
      </c>
      <c r="L86" s="10" t="str">
        <f aca="false">IF(K86="","",MATCH(K86,반배정!$N$7:$N$86,0))</f>
        <v/>
      </c>
    </row>
  </sheetData>
  <mergeCells count="2">
    <mergeCell ref="A1:J1"/>
    <mergeCell ref="A2:J2"/>
  </mergeCells>
  <conditionalFormatting sqref="A7:J86">
    <cfRule type="expression" priority="2" aboveAverage="0" equalAverage="0" bottom="0" percent="0" rank="0" text="" dxfId="3">
      <formula>AND($H7&lt;&gt;"",$H7=설정!$B$6)</formula>
    </cfRule>
    <cfRule type="expression" priority="3" aboveAverage="0" equalAverage="0" bottom="0" percent="0" rank="0" text="" dxfId="4">
      <formula>AND($H7&lt;&gt;"",$H7=설정!$B$7)</formula>
    </cfRule>
    <cfRule type="expression" priority="4" aboveAverage="0" equalAverage="0" bottom="0" percent="0" rank="0" text="" dxfId="5">
      <formula>AND($H7&lt;&gt;"",$H7=설정!$B$8)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7" min="5" style="0" width="5"/>
    <col collapsed="false" customWidth="true" hidden="false" outlineLevel="0" max="8" min="8" style="0" width="6"/>
    <col collapsed="false" customWidth="true" hidden="false" outlineLevel="0" max="9" min="9" style="0" width="7"/>
    <col collapsed="false" customWidth="true" hidden="false" outlineLevel="0" max="12" min="10" style="0" width="8"/>
    <col collapsed="false" customWidth="true" hidden="false" outlineLevel="0" max="13" min="13" style="0" width="7"/>
    <col collapsed="false" customWidth="true" hidden="false" outlineLevel="0" max="14" min="14" style="0" width="14"/>
    <col collapsed="false" customWidth="true" hidden="false" outlineLevel="0" max="19" min="15" style="0" width="5"/>
  </cols>
  <sheetData>
    <row r="1" customFormat="false" ht="25.5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7" t="s">
        <v>119</v>
      </c>
      <c r="B4" s="37"/>
      <c r="C4" s="37"/>
      <c r="D4" s="37"/>
      <c r="E4" s="37"/>
    </row>
    <row r="5" customFormat="false" ht="30" hidden="false" customHeight="true" outlineLevel="0" collapsed="false">
      <c r="A5" s="4" t="s">
        <v>120</v>
      </c>
      <c r="B5" s="4" t="s">
        <v>121</v>
      </c>
      <c r="C5" s="4" t="s">
        <v>25</v>
      </c>
      <c r="D5" s="4" t="s">
        <v>122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127</v>
      </c>
      <c r="J5" s="4" t="str">
        <f aca="false">설정!$B$6&amp;" 정답률"</f>
        <v>심화반 정답률</v>
      </c>
      <c r="K5" s="4" t="str">
        <f aca="false">설정!$B$7&amp;" 정답률"</f>
        <v>정규반 정답률</v>
      </c>
      <c r="L5" s="4" t="str">
        <f aca="false">설정!$B$8&amp;" 정답률"</f>
        <v>기본반 정답률</v>
      </c>
      <c r="M5" s="4" t="s">
        <v>128</v>
      </c>
      <c r="N5" s="4" t="s">
        <v>129</v>
      </c>
      <c r="O5" s="13" t="s">
        <v>130</v>
      </c>
      <c r="P5" s="13" t="s">
        <v>131</v>
      </c>
      <c r="Q5" s="13" t="s">
        <v>132</v>
      </c>
      <c r="R5" s="13" t="s">
        <v>133</v>
      </c>
      <c r="S5" s="13" t="s">
        <v>134</v>
      </c>
    </row>
    <row r="6" customFormat="false" ht="15" hidden="false" customHeight="false" outlineLevel="0" collapsed="false">
      <c r="A6" s="7" t="n">
        <v>1</v>
      </c>
      <c r="B6" s="38" t="s">
        <v>135</v>
      </c>
      <c r="C6" s="39" t="str">
        <f aca="false">공수1!D4</f>
        <v>다항식</v>
      </c>
      <c r="D6" s="10" t="str">
        <f aca="false">공수1!D5</f>
        <v>하</v>
      </c>
      <c r="E6" s="10" t="n">
        <f aca="false">공수1!D3</f>
        <v>5</v>
      </c>
      <c r="F6" s="40" t="str">
        <f aca="false">IF(공수1!$D$2="","",공수1!$D$2)</f>
        <v/>
      </c>
      <c r="G6" s="10" t="n">
        <f aca="false">COUNT(공수1!$Y$7:$Y$86)</f>
        <v>0</v>
      </c>
      <c r="H6" s="10" t="str">
        <f aca="false">IF(F6="","",SUMPRODUCT((공수1!$D$7:$D$86=공수1!$D$2)*(공수1!$D$7:$D$86&lt;&gt;"")))</f>
        <v/>
      </c>
      <c r="I6" s="41" t="str">
        <f aca="false">IF(OR(F6="",G6=0),"",H6/G6)</f>
        <v/>
      </c>
      <c r="J6" s="42" t="str">
        <f aca="false">IF(F6="","",IFERROR(SUMPRODUCT((공수1!$D$7:$D$86=공수1!$D$2)*(공수1!$D$7:$D$86&lt;&gt;"")*(반배정!$I$7:$I$86=설정!$B$6))/COUNTIFS(반배정!$I$7:$I$86,설정!$B$6,공수1!$Y$7:$Y$86,"&gt;=0"),""))</f>
        <v/>
      </c>
      <c r="K6" s="42" t="str">
        <f aca="false">IF(F6="","",IFERROR(SUMPRODUCT((공수1!$D$7:$D$86=공수1!$D$2)*(공수1!$D$7:$D$86&lt;&gt;"")*(반배정!$I$7:$I$86=설정!$B$7))/COUNTIFS(반배정!$I$7:$I$86,설정!$B$7,공수1!$Y$7:$Y$86,"&gt;=0"),""))</f>
        <v/>
      </c>
      <c r="L6" s="42" t="str">
        <f aca="false">IF(F6="","",IFERROR(SUMPRODUCT((공수1!$D$7:$D$86=공수1!$D$2)*(공수1!$D$7:$D$86&lt;&gt;"")*(반배정!$I$7:$I$86=설정!$B$8))/COUNTIFS(반배정!$I$7:$I$86,설정!$B$8,공수1!$Y$7:$Y$86,"&gt;=0"),""))</f>
        <v/>
      </c>
      <c r="M6" s="43" t="str">
        <f aca="false">IF(OR(J6="",L6=""),"",J6-L6)</f>
        <v/>
      </c>
      <c r="N6" s="44" t="str">
        <f aca="false">IF(I6="","",IF(AND(M6&lt;&gt;"",M6&lt;0),"역변별·문항검토",IF(I6&gt;=0.9,"매우 쉬움",IF(I6&lt;=0.15,"매우 어려움",IF(AND(M6&lt;&gt;"",M6&lt;0.2),"변별력 낮음","양호")))))</f>
        <v/>
      </c>
      <c r="O6" s="44" t="str">
        <f aca="false">IF(G6=0,"",COUNTIF(공수1!$D$7:$D$86,1))</f>
        <v/>
      </c>
      <c r="P6" s="44" t="str">
        <f aca="false">IF(G6=0,"",COUNTIF(공수1!$D$7:$D$86,2))</f>
        <v/>
      </c>
      <c r="Q6" s="44" t="str">
        <f aca="false">IF(G6=0,"",COUNTIF(공수1!$D$7:$D$86,3))</f>
        <v/>
      </c>
      <c r="R6" s="44" t="str">
        <f aca="false">IF(G6=0,"",COUNTIF(공수1!$D$7:$D$86,4))</f>
        <v/>
      </c>
      <c r="S6" s="44" t="str">
        <f aca="false">IF(G6=0,"",COUNTIF(공수1!$D$7:$D$86,5))</f>
        <v/>
      </c>
    </row>
    <row r="7" customFormat="false" ht="15" hidden="false" customHeight="false" outlineLevel="0" collapsed="false">
      <c r="A7" s="7" t="n">
        <v>2</v>
      </c>
      <c r="B7" s="38" t="s">
        <v>135</v>
      </c>
      <c r="C7" s="39" t="str">
        <f aca="false">공수1!E4</f>
        <v>다항식</v>
      </c>
      <c r="D7" s="10" t="str">
        <f aca="false">공수1!E5</f>
        <v>하</v>
      </c>
      <c r="E7" s="10" t="n">
        <f aca="false">공수1!E3</f>
        <v>5</v>
      </c>
      <c r="F7" s="40" t="str">
        <f aca="false">IF(공수1!$E$2="","",공수1!$E$2)</f>
        <v/>
      </c>
      <c r="G7" s="10" t="n">
        <f aca="false">COUNT(공수1!$Y$7:$Y$86)</f>
        <v>0</v>
      </c>
      <c r="H7" s="10" t="str">
        <f aca="false">IF(F7="","",SUMPRODUCT((공수1!$E$7:$E$86=공수1!$E$2)*(공수1!$E$7:$E$86&lt;&gt;"")))</f>
        <v/>
      </c>
      <c r="I7" s="41" t="str">
        <f aca="false">IF(OR(F7="",G7=0),"",H7/G7)</f>
        <v/>
      </c>
      <c r="J7" s="42" t="str">
        <f aca="false">IF(F7="","",IFERROR(SUMPRODUCT((공수1!$E$7:$E$86=공수1!$E$2)*(공수1!$E$7:$E$86&lt;&gt;"")*(반배정!$I$7:$I$86=설정!$B$6))/COUNTIFS(반배정!$I$7:$I$86,설정!$B$6,공수1!$Y$7:$Y$86,"&gt;=0"),""))</f>
        <v/>
      </c>
      <c r="K7" s="42" t="str">
        <f aca="false">IF(F7="","",IFERROR(SUMPRODUCT((공수1!$E$7:$E$86=공수1!$E$2)*(공수1!$E$7:$E$86&lt;&gt;"")*(반배정!$I$7:$I$86=설정!$B$7))/COUNTIFS(반배정!$I$7:$I$86,설정!$B$7,공수1!$Y$7:$Y$86,"&gt;=0"),""))</f>
        <v/>
      </c>
      <c r="L7" s="42" t="str">
        <f aca="false">IF(F7="","",IFERROR(SUMPRODUCT((공수1!$E$7:$E$86=공수1!$E$2)*(공수1!$E$7:$E$86&lt;&gt;"")*(반배정!$I$7:$I$86=설정!$B$8))/COUNTIFS(반배정!$I$7:$I$86,설정!$B$8,공수1!$Y$7:$Y$86,"&gt;=0"),""))</f>
        <v/>
      </c>
      <c r="M7" s="43" t="str">
        <f aca="false">IF(OR(J7="",L7=""),"",J7-L7)</f>
        <v/>
      </c>
      <c r="N7" s="44" t="str">
        <f aca="false">IF(I7="","",IF(AND(M7&lt;&gt;"",M7&lt;0),"역변별·문항검토",IF(I7&gt;=0.9,"매우 쉬움",IF(I7&lt;=0.15,"매우 어려움",IF(AND(M7&lt;&gt;"",M7&lt;0.2),"변별력 낮음","양호")))))</f>
        <v/>
      </c>
      <c r="O7" s="44" t="str">
        <f aca="false">IF(G7=0,"",COUNTIF(공수1!$E$7:$E$86,1))</f>
        <v/>
      </c>
      <c r="P7" s="44" t="str">
        <f aca="false">IF(G7=0,"",COUNTIF(공수1!$E$7:$E$86,2))</f>
        <v/>
      </c>
      <c r="Q7" s="44" t="str">
        <f aca="false">IF(G7=0,"",COUNTIF(공수1!$E$7:$E$86,3))</f>
        <v/>
      </c>
      <c r="R7" s="44" t="str">
        <f aca="false">IF(G7=0,"",COUNTIF(공수1!$E$7:$E$86,4))</f>
        <v/>
      </c>
      <c r="S7" s="44" t="str">
        <f aca="false">IF(G7=0,"",COUNTIF(공수1!$E$7:$E$86,5))</f>
        <v/>
      </c>
    </row>
    <row r="8" customFormat="false" ht="15" hidden="false" customHeight="false" outlineLevel="0" collapsed="false">
      <c r="A8" s="7" t="n">
        <v>3</v>
      </c>
      <c r="B8" s="38" t="s">
        <v>135</v>
      </c>
      <c r="C8" s="39" t="str">
        <f aca="false">공수1!F4</f>
        <v>다항식</v>
      </c>
      <c r="D8" s="10" t="str">
        <f aca="false">공수1!F5</f>
        <v>하</v>
      </c>
      <c r="E8" s="10" t="n">
        <f aca="false">공수1!F3</f>
        <v>5</v>
      </c>
      <c r="F8" s="40" t="str">
        <f aca="false">IF(공수1!$F$2="","",공수1!$F$2)</f>
        <v/>
      </c>
      <c r="G8" s="10" t="n">
        <f aca="false">COUNT(공수1!$Y$7:$Y$86)</f>
        <v>0</v>
      </c>
      <c r="H8" s="10" t="str">
        <f aca="false">IF(F8="","",SUMPRODUCT((공수1!$F$7:$F$86=공수1!$F$2)*(공수1!$F$7:$F$86&lt;&gt;"")))</f>
        <v/>
      </c>
      <c r="I8" s="41" t="str">
        <f aca="false">IF(OR(F8="",G8=0),"",H8/G8)</f>
        <v/>
      </c>
      <c r="J8" s="42" t="str">
        <f aca="false">IF(F8="","",IFERROR(SUMPRODUCT((공수1!$F$7:$F$86=공수1!$F$2)*(공수1!$F$7:$F$86&lt;&gt;"")*(반배정!$I$7:$I$86=설정!$B$6))/COUNTIFS(반배정!$I$7:$I$86,설정!$B$6,공수1!$Y$7:$Y$86,"&gt;=0"),""))</f>
        <v/>
      </c>
      <c r="K8" s="42" t="str">
        <f aca="false">IF(F8="","",IFERROR(SUMPRODUCT((공수1!$F$7:$F$86=공수1!$F$2)*(공수1!$F$7:$F$86&lt;&gt;"")*(반배정!$I$7:$I$86=설정!$B$7))/COUNTIFS(반배정!$I$7:$I$86,설정!$B$7,공수1!$Y$7:$Y$86,"&gt;=0"),""))</f>
        <v/>
      </c>
      <c r="L8" s="42" t="str">
        <f aca="false">IF(F8="","",IFERROR(SUMPRODUCT((공수1!$F$7:$F$86=공수1!$F$2)*(공수1!$F$7:$F$86&lt;&gt;"")*(반배정!$I$7:$I$86=설정!$B$8))/COUNTIFS(반배정!$I$7:$I$86,설정!$B$8,공수1!$Y$7:$Y$86,"&gt;=0"),""))</f>
        <v/>
      </c>
      <c r="M8" s="43" t="str">
        <f aca="false">IF(OR(J8="",L8=""),"",J8-L8)</f>
        <v/>
      </c>
      <c r="N8" s="44" t="str">
        <f aca="false">IF(I8="","",IF(AND(M8&lt;&gt;"",M8&lt;0),"역변별·문항검토",IF(I8&gt;=0.9,"매우 쉬움",IF(I8&lt;=0.15,"매우 어려움",IF(AND(M8&lt;&gt;"",M8&lt;0.2),"변별력 낮음","양호")))))</f>
        <v/>
      </c>
      <c r="O8" s="44" t="str">
        <f aca="false">IF(G8=0,"",COUNTIF(공수1!$F$7:$F$86,1))</f>
        <v/>
      </c>
      <c r="P8" s="44" t="str">
        <f aca="false">IF(G8=0,"",COUNTIF(공수1!$F$7:$F$86,2))</f>
        <v/>
      </c>
      <c r="Q8" s="44" t="str">
        <f aca="false">IF(G8=0,"",COUNTIF(공수1!$F$7:$F$86,3))</f>
        <v/>
      </c>
      <c r="R8" s="44" t="str">
        <f aca="false">IF(G8=0,"",COUNTIF(공수1!$F$7:$F$86,4))</f>
        <v/>
      </c>
      <c r="S8" s="44" t="str">
        <f aca="false">IF(G8=0,"",COUNTIF(공수1!$F$7:$F$86,5))</f>
        <v/>
      </c>
    </row>
    <row r="9" customFormat="false" ht="15" hidden="false" customHeight="false" outlineLevel="0" collapsed="false">
      <c r="A9" s="7" t="n">
        <v>4</v>
      </c>
      <c r="B9" s="38" t="s">
        <v>135</v>
      </c>
      <c r="C9" s="39" t="str">
        <f aca="false">공수1!G4</f>
        <v>다항식</v>
      </c>
      <c r="D9" s="10" t="str">
        <f aca="false">공수1!G5</f>
        <v>하</v>
      </c>
      <c r="E9" s="10" t="n">
        <f aca="false">공수1!G3</f>
        <v>5</v>
      </c>
      <c r="F9" s="40" t="str">
        <f aca="false">IF(공수1!$G$2="","",공수1!$G$2)</f>
        <v/>
      </c>
      <c r="G9" s="10" t="n">
        <f aca="false">COUNT(공수1!$Y$7:$Y$86)</f>
        <v>0</v>
      </c>
      <c r="H9" s="10" t="str">
        <f aca="false">IF(F9="","",SUMPRODUCT((공수1!$G$7:$G$86=공수1!$G$2)*(공수1!$G$7:$G$86&lt;&gt;"")))</f>
        <v/>
      </c>
      <c r="I9" s="41" t="str">
        <f aca="false">IF(OR(F9="",G9=0),"",H9/G9)</f>
        <v/>
      </c>
      <c r="J9" s="42" t="str">
        <f aca="false">IF(F9="","",IFERROR(SUMPRODUCT((공수1!$G$7:$G$86=공수1!$G$2)*(공수1!$G$7:$G$86&lt;&gt;"")*(반배정!$I$7:$I$86=설정!$B$6))/COUNTIFS(반배정!$I$7:$I$86,설정!$B$6,공수1!$Y$7:$Y$86,"&gt;=0"),""))</f>
        <v/>
      </c>
      <c r="K9" s="42" t="str">
        <f aca="false">IF(F9="","",IFERROR(SUMPRODUCT((공수1!$G$7:$G$86=공수1!$G$2)*(공수1!$G$7:$G$86&lt;&gt;"")*(반배정!$I$7:$I$86=설정!$B$7))/COUNTIFS(반배정!$I$7:$I$86,설정!$B$7,공수1!$Y$7:$Y$86,"&gt;=0"),""))</f>
        <v/>
      </c>
      <c r="L9" s="42" t="str">
        <f aca="false">IF(F9="","",IFERROR(SUMPRODUCT((공수1!$G$7:$G$86=공수1!$G$2)*(공수1!$G$7:$G$86&lt;&gt;"")*(반배정!$I$7:$I$86=설정!$B$8))/COUNTIFS(반배정!$I$7:$I$86,설정!$B$8,공수1!$Y$7:$Y$86,"&gt;=0"),""))</f>
        <v/>
      </c>
      <c r="M9" s="43" t="str">
        <f aca="false">IF(OR(J9="",L9=""),"",J9-L9)</f>
        <v/>
      </c>
      <c r="N9" s="44" t="str">
        <f aca="false">IF(I9="","",IF(AND(M9&lt;&gt;"",M9&lt;0),"역변별·문항검토",IF(I9&gt;=0.9,"매우 쉬움",IF(I9&lt;=0.15,"매우 어려움",IF(AND(M9&lt;&gt;"",M9&lt;0.2),"변별력 낮음","양호")))))</f>
        <v/>
      </c>
      <c r="O9" s="44" t="str">
        <f aca="false">IF(G9=0,"",COUNTIF(공수1!$G$7:$G$86,1))</f>
        <v/>
      </c>
      <c r="P9" s="44" t="str">
        <f aca="false">IF(G9=0,"",COUNTIF(공수1!$G$7:$G$86,2))</f>
        <v/>
      </c>
      <c r="Q9" s="44" t="str">
        <f aca="false">IF(G9=0,"",COUNTIF(공수1!$G$7:$G$86,3))</f>
        <v/>
      </c>
      <c r="R9" s="44" t="str">
        <f aca="false">IF(G9=0,"",COUNTIF(공수1!$G$7:$G$86,4))</f>
        <v/>
      </c>
      <c r="S9" s="44" t="str">
        <f aca="false">IF(G9=0,"",COUNTIF(공수1!$G$7:$G$86,5))</f>
        <v/>
      </c>
    </row>
    <row r="10" customFormat="false" ht="15" hidden="false" customHeight="false" outlineLevel="0" collapsed="false">
      <c r="A10" s="7" t="n">
        <v>5</v>
      </c>
      <c r="B10" s="38" t="s">
        <v>135</v>
      </c>
      <c r="C10" s="39" t="str">
        <f aca="false">공수1!H4</f>
        <v>다항식</v>
      </c>
      <c r="D10" s="10" t="str">
        <f aca="false">공수1!H5</f>
        <v>하</v>
      </c>
      <c r="E10" s="10" t="n">
        <f aca="false">공수1!H3</f>
        <v>5</v>
      </c>
      <c r="F10" s="40" t="str">
        <f aca="false">IF(공수1!$H$2="","",공수1!$H$2)</f>
        <v/>
      </c>
      <c r="G10" s="10" t="n">
        <f aca="false">COUNT(공수1!$Y$7:$Y$86)</f>
        <v>0</v>
      </c>
      <c r="H10" s="10" t="str">
        <f aca="false">IF(F10="","",SUMPRODUCT((공수1!$H$7:$H$86=공수1!$H$2)*(공수1!$H$7:$H$86&lt;&gt;"")))</f>
        <v/>
      </c>
      <c r="I10" s="41" t="str">
        <f aca="false">IF(OR(F10="",G10=0),"",H10/G10)</f>
        <v/>
      </c>
      <c r="J10" s="42" t="str">
        <f aca="false">IF(F10="","",IFERROR(SUMPRODUCT((공수1!$H$7:$H$86=공수1!$H$2)*(공수1!$H$7:$H$86&lt;&gt;"")*(반배정!$I$7:$I$86=설정!$B$6))/COUNTIFS(반배정!$I$7:$I$86,설정!$B$6,공수1!$Y$7:$Y$86,"&gt;=0"),""))</f>
        <v/>
      </c>
      <c r="K10" s="42" t="str">
        <f aca="false">IF(F10="","",IFERROR(SUMPRODUCT((공수1!$H$7:$H$86=공수1!$H$2)*(공수1!$H$7:$H$86&lt;&gt;"")*(반배정!$I$7:$I$86=설정!$B$7))/COUNTIFS(반배정!$I$7:$I$86,설정!$B$7,공수1!$Y$7:$Y$86,"&gt;=0"),""))</f>
        <v/>
      </c>
      <c r="L10" s="42" t="str">
        <f aca="false">IF(F10="","",IFERROR(SUMPRODUCT((공수1!$H$7:$H$86=공수1!$H$2)*(공수1!$H$7:$H$86&lt;&gt;"")*(반배정!$I$7:$I$86=설정!$B$8))/COUNTIFS(반배정!$I$7:$I$86,설정!$B$8,공수1!$Y$7:$Y$86,"&gt;=0"),""))</f>
        <v/>
      </c>
      <c r="M10" s="43" t="str">
        <f aca="false">IF(OR(J10="",L10=""),"",J10-L10)</f>
        <v/>
      </c>
      <c r="N10" s="44" t="str">
        <f aca="false">IF(I10="","",IF(AND(M10&lt;&gt;"",M10&lt;0),"역변별·문항검토",IF(I10&gt;=0.9,"매우 쉬움",IF(I10&lt;=0.15,"매우 어려움",IF(AND(M10&lt;&gt;"",M10&lt;0.2),"변별력 낮음","양호")))))</f>
        <v/>
      </c>
      <c r="O10" s="44" t="str">
        <f aca="false">IF(G10=0,"",COUNTIF(공수1!$H$7:$H$86,1))</f>
        <v/>
      </c>
      <c r="P10" s="44" t="str">
        <f aca="false">IF(G10=0,"",COUNTIF(공수1!$H$7:$H$86,2))</f>
        <v/>
      </c>
      <c r="Q10" s="44" t="str">
        <f aca="false">IF(G10=0,"",COUNTIF(공수1!$H$7:$H$86,3))</f>
        <v/>
      </c>
      <c r="R10" s="44" t="str">
        <f aca="false">IF(G10=0,"",COUNTIF(공수1!$H$7:$H$86,4))</f>
        <v/>
      </c>
      <c r="S10" s="44" t="str">
        <f aca="false">IF(G10=0,"",COUNTIF(공수1!$H$7:$H$86,5))</f>
        <v/>
      </c>
    </row>
    <row r="11" customFormat="false" ht="15" hidden="false" customHeight="false" outlineLevel="0" collapsed="false">
      <c r="A11" s="7" t="n">
        <v>6</v>
      </c>
      <c r="B11" s="38" t="s">
        <v>135</v>
      </c>
      <c r="C11" s="39" t="str">
        <f aca="false">공수1!I4</f>
        <v>방정식과 부등식</v>
      </c>
      <c r="D11" s="10" t="str">
        <f aca="false">공수1!I5</f>
        <v>중</v>
      </c>
      <c r="E11" s="10" t="n">
        <f aca="false">공수1!I3</f>
        <v>5</v>
      </c>
      <c r="F11" s="40" t="str">
        <f aca="false">IF(공수1!$I$2="","",공수1!$I$2)</f>
        <v/>
      </c>
      <c r="G11" s="10" t="n">
        <f aca="false">COUNT(공수1!$Y$7:$Y$86)</f>
        <v>0</v>
      </c>
      <c r="H11" s="10" t="str">
        <f aca="false">IF(F11="","",SUMPRODUCT((공수1!$I$7:$I$86=공수1!$I$2)*(공수1!$I$7:$I$86&lt;&gt;"")))</f>
        <v/>
      </c>
      <c r="I11" s="41" t="str">
        <f aca="false">IF(OR(F11="",G11=0),"",H11/G11)</f>
        <v/>
      </c>
      <c r="J11" s="42" t="str">
        <f aca="false">IF(F11="","",IFERROR(SUMPRODUCT((공수1!$I$7:$I$86=공수1!$I$2)*(공수1!$I$7:$I$86&lt;&gt;"")*(반배정!$I$7:$I$86=설정!$B$6))/COUNTIFS(반배정!$I$7:$I$86,설정!$B$6,공수1!$Y$7:$Y$86,"&gt;=0"),""))</f>
        <v/>
      </c>
      <c r="K11" s="42" t="str">
        <f aca="false">IF(F11="","",IFERROR(SUMPRODUCT((공수1!$I$7:$I$86=공수1!$I$2)*(공수1!$I$7:$I$86&lt;&gt;"")*(반배정!$I$7:$I$86=설정!$B$7))/COUNTIFS(반배정!$I$7:$I$86,설정!$B$7,공수1!$Y$7:$Y$86,"&gt;=0"),""))</f>
        <v/>
      </c>
      <c r="L11" s="42" t="str">
        <f aca="false">IF(F11="","",IFERROR(SUMPRODUCT((공수1!$I$7:$I$86=공수1!$I$2)*(공수1!$I$7:$I$86&lt;&gt;"")*(반배정!$I$7:$I$86=설정!$B$8))/COUNTIFS(반배정!$I$7:$I$86,설정!$B$8,공수1!$Y$7:$Y$86,"&gt;=0"),""))</f>
        <v/>
      </c>
      <c r="M11" s="43" t="str">
        <f aca="false">IF(OR(J11="",L11=""),"",J11-L11)</f>
        <v/>
      </c>
      <c r="N11" s="44" t="str">
        <f aca="false">IF(I11="","",IF(AND(M11&lt;&gt;"",M11&lt;0),"역변별·문항검토",IF(I11&gt;=0.9,"매우 쉬움",IF(I11&lt;=0.15,"매우 어려움",IF(AND(M11&lt;&gt;"",M11&lt;0.2),"변별력 낮음","양호")))))</f>
        <v/>
      </c>
      <c r="O11" s="44" t="str">
        <f aca="false">IF(G11=0,"",COUNTIF(공수1!$I$7:$I$86,1))</f>
        <v/>
      </c>
      <c r="P11" s="44" t="str">
        <f aca="false">IF(G11=0,"",COUNTIF(공수1!$I$7:$I$86,2))</f>
        <v/>
      </c>
      <c r="Q11" s="44" t="str">
        <f aca="false">IF(G11=0,"",COUNTIF(공수1!$I$7:$I$86,3))</f>
        <v/>
      </c>
      <c r="R11" s="44" t="str">
        <f aca="false">IF(G11=0,"",COUNTIF(공수1!$I$7:$I$86,4))</f>
        <v/>
      </c>
      <c r="S11" s="44" t="str">
        <f aca="false">IF(G11=0,"",COUNTIF(공수1!$I$7:$I$86,5))</f>
        <v/>
      </c>
    </row>
    <row r="12" customFormat="false" ht="15" hidden="false" customHeight="false" outlineLevel="0" collapsed="false">
      <c r="A12" s="7" t="n">
        <v>7</v>
      </c>
      <c r="B12" s="38" t="s">
        <v>135</v>
      </c>
      <c r="C12" s="39" t="str">
        <f aca="false">공수1!J4</f>
        <v>방정식과 부등식</v>
      </c>
      <c r="D12" s="10" t="str">
        <f aca="false">공수1!J5</f>
        <v>중</v>
      </c>
      <c r="E12" s="10" t="n">
        <f aca="false">공수1!J3</f>
        <v>5</v>
      </c>
      <c r="F12" s="40" t="str">
        <f aca="false">IF(공수1!$J$2="","",공수1!$J$2)</f>
        <v/>
      </c>
      <c r="G12" s="10" t="n">
        <f aca="false">COUNT(공수1!$Y$7:$Y$86)</f>
        <v>0</v>
      </c>
      <c r="H12" s="10" t="str">
        <f aca="false">IF(F12="","",SUMPRODUCT((공수1!$J$7:$J$86=공수1!$J$2)*(공수1!$J$7:$J$86&lt;&gt;"")))</f>
        <v/>
      </c>
      <c r="I12" s="41" t="str">
        <f aca="false">IF(OR(F12="",G12=0),"",H12/G12)</f>
        <v/>
      </c>
      <c r="J12" s="42" t="str">
        <f aca="false">IF(F12="","",IFERROR(SUMPRODUCT((공수1!$J$7:$J$86=공수1!$J$2)*(공수1!$J$7:$J$86&lt;&gt;"")*(반배정!$I$7:$I$86=설정!$B$6))/COUNTIFS(반배정!$I$7:$I$86,설정!$B$6,공수1!$Y$7:$Y$86,"&gt;=0"),""))</f>
        <v/>
      </c>
      <c r="K12" s="42" t="str">
        <f aca="false">IF(F12="","",IFERROR(SUMPRODUCT((공수1!$J$7:$J$86=공수1!$J$2)*(공수1!$J$7:$J$86&lt;&gt;"")*(반배정!$I$7:$I$86=설정!$B$7))/COUNTIFS(반배정!$I$7:$I$86,설정!$B$7,공수1!$Y$7:$Y$86,"&gt;=0"),""))</f>
        <v/>
      </c>
      <c r="L12" s="42" t="str">
        <f aca="false">IF(F12="","",IFERROR(SUMPRODUCT((공수1!$J$7:$J$86=공수1!$J$2)*(공수1!$J$7:$J$86&lt;&gt;"")*(반배정!$I$7:$I$86=설정!$B$8))/COUNTIFS(반배정!$I$7:$I$86,설정!$B$8,공수1!$Y$7:$Y$86,"&gt;=0"),""))</f>
        <v/>
      </c>
      <c r="M12" s="43" t="str">
        <f aca="false">IF(OR(J12="",L12=""),"",J12-L12)</f>
        <v/>
      </c>
      <c r="N12" s="44" t="str">
        <f aca="false">IF(I12="","",IF(AND(M12&lt;&gt;"",M12&lt;0),"역변별·문항검토",IF(I12&gt;=0.9,"매우 쉬움",IF(I12&lt;=0.15,"매우 어려움",IF(AND(M12&lt;&gt;"",M12&lt;0.2),"변별력 낮음","양호")))))</f>
        <v/>
      </c>
      <c r="O12" s="44" t="str">
        <f aca="false">IF(G12=0,"",COUNTIF(공수1!$J$7:$J$86,1))</f>
        <v/>
      </c>
      <c r="P12" s="44" t="str">
        <f aca="false">IF(G12=0,"",COUNTIF(공수1!$J$7:$J$86,2))</f>
        <v/>
      </c>
      <c r="Q12" s="44" t="str">
        <f aca="false">IF(G12=0,"",COUNTIF(공수1!$J$7:$J$86,3))</f>
        <v/>
      </c>
      <c r="R12" s="44" t="str">
        <f aca="false">IF(G12=0,"",COUNTIF(공수1!$J$7:$J$86,4))</f>
        <v/>
      </c>
      <c r="S12" s="44" t="str">
        <f aca="false">IF(G12=0,"",COUNTIF(공수1!$J$7:$J$86,5))</f>
        <v/>
      </c>
    </row>
    <row r="13" customFormat="false" ht="15" hidden="false" customHeight="false" outlineLevel="0" collapsed="false">
      <c r="A13" s="7" t="n">
        <v>8</v>
      </c>
      <c r="B13" s="38" t="s">
        <v>135</v>
      </c>
      <c r="C13" s="39" t="str">
        <f aca="false">공수1!K4</f>
        <v>방정식과 부등식</v>
      </c>
      <c r="D13" s="10" t="str">
        <f aca="false">공수1!K5</f>
        <v>중</v>
      </c>
      <c r="E13" s="10" t="n">
        <f aca="false">공수1!K3</f>
        <v>5</v>
      </c>
      <c r="F13" s="40" t="str">
        <f aca="false">IF(공수1!$K$2="","",공수1!$K$2)</f>
        <v/>
      </c>
      <c r="G13" s="10" t="n">
        <f aca="false">COUNT(공수1!$Y$7:$Y$86)</f>
        <v>0</v>
      </c>
      <c r="H13" s="10" t="str">
        <f aca="false">IF(F13="","",SUMPRODUCT((공수1!$K$7:$K$86=공수1!$K$2)*(공수1!$K$7:$K$86&lt;&gt;"")))</f>
        <v/>
      </c>
      <c r="I13" s="41" t="str">
        <f aca="false">IF(OR(F13="",G13=0),"",H13/G13)</f>
        <v/>
      </c>
      <c r="J13" s="42" t="str">
        <f aca="false">IF(F13="","",IFERROR(SUMPRODUCT((공수1!$K$7:$K$86=공수1!$K$2)*(공수1!$K$7:$K$86&lt;&gt;"")*(반배정!$I$7:$I$86=설정!$B$6))/COUNTIFS(반배정!$I$7:$I$86,설정!$B$6,공수1!$Y$7:$Y$86,"&gt;=0"),""))</f>
        <v/>
      </c>
      <c r="K13" s="42" t="str">
        <f aca="false">IF(F13="","",IFERROR(SUMPRODUCT((공수1!$K$7:$K$86=공수1!$K$2)*(공수1!$K$7:$K$86&lt;&gt;"")*(반배정!$I$7:$I$86=설정!$B$7))/COUNTIFS(반배정!$I$7:$I$86,설정!$B$7,공수1!$Y$7:$Y$86,"&gt;=0"),""))</f>
        <v/>
      </c>
      <c r="L13" s="42" t="str">
        <f aca="false">IF(F13="","",IFERROR(SUMPRODUCT((공수1!$K$7:$K$86=공수1!$K$2)*(공수1!$K$7:$K$86&lt;&gt;"")*(반배정!$I$7:$I$86=설정!$B$8))/COUNTIFS(반배정!$I$7:$I$86,설정!$B$8,공수1!$Y$7:$Y$86,"&gt;=0"),""))</f>
        <v/>
      </c>
      <c r="M13" s="43" t="str">
        <f aca="false">IF(OR(J13="",L13=""),"",J13-L13)</f>
        <v/>
      </c>
      <c r="N13" s="44" t="str">
        <f aca="false">IF(I13="","",IF(AND(M13&lt;&gt;"",M13&lt;0),"역변별·문항검토",IF(I13&gt;=0.9,"매우 쉬움",IF(I13&lt;=0.15,"매우 어려움",IF(AND(M13&lt;&gt;"",M13&lt;0.2),"변별력 낮음","양호")))))</f>
        <v/>
      </c>
      <c r="O13" s="44" t="str">
        <f aca="false">IF(G13=0,"",COUNTIF(공수1!$K$7:$K$86,1))</f>
        <v/>
      </c>
      <c r="P13" s="44" t="str">
        <f aca="false">IF(G13=0,"",COUNTIF(공수1!$K$7:$K$86,2))</f>
        <v/>
      </c>
      <c r="Q13" s="44" t="str">
        <f aca="false">IF(G13=0,"",COUNTIF(공수1!$K$7:$K$86,3))</f>
        <v/>
      </c>
      <c r="R13" s="44" t="str">
        <f aca="false">IF(G13=0,"",COUNTIF(공수1!$K$7:$K$86,4))</f>
        <v/>
      </c>
      <c r="S13" s="44" t="str">
        <f aca="false">IF(G13=0,"",COUNTIF(공수1!$K$7:$K$86,5))</f>
        <v/>
      </c>
    </row>
    <row r="14" customFormat="false" ht="15" hidden="false" customHeight="false" outlineLevel="0" collapsed="false">
      <c r="A14" s="7" t="n">
        <v>9</v>
      </c>
      <c r="B14" s="38" t="s">
        <v>135</v>
      </c>
      <c r="C14" s="39" t="str">
        <f aca="false">공수1!L4</f>
        <v>방정식과 부등식</v>
      </c>
      <c r="D14" s="10" t="str">
        <f aca="false">공수1!L5</f>
        <v>중</v>
      </c>
      <c r="E14" s="10" t="n">
        <f aca="false">공수1!L3</f>
        <v>5</v>
      </c>
      <c r="F14" s="40" t="str">
        <f aca="false">IF(공수1!$L$2="","",공수1!$L$2)</f>
        <v/>
      </c>
      <c r="G14" s="10" t="n">
        <f aca="false">COUNT(공수1!$Y$7:$Y$86)</f>
        <v>0</v>
      </c>
      <c r="H14" s="10" t="str">
        <f aca="false">IF(F14="","",SUMPRODUCT((공수1!$L$7:$L$86=공수1!$L$2)*(공수1!$L$7:$L$86&lt;&gt;"")))</f>
        <v/>
      </c>
      <c r="I14" s="41" t="str">
        <f aca="false">IF(OR(F14="",G14=0),"",H14/G14)</f>
        <v/>
      </c>
      <c r="J14" s="42" t="str">
        <f aca="false">IF(F14="","",IFERROR(SUMPRODUCT((공수1!$L$7:$L$86=공수1!$L$2)*(공수1!$L$7:$L$86&lt;&gt;"")*(반배정!$I$7:$I$86=설정!$B$6))/COUNTIFS(반배정!$I$7:$I$86,설정!$B$6,공수1!$Y$7:$Y$86,"&gt;=0"),""))</f>
        <v/>
      </c>
      <c r="K14" s="42" t="str">
        <f aca="false">IF(F14="","",IFERROR(SUMPRODUCT((공수1!$L$7:$L$86=공수1!$L$2)*(공수1!$L$7:$L$86&lt;&gt;"")*(반배정!$I$7:$I$86=설정!$B$7))/COUNTIFS(반배정!$I$7:$I$86,설정!$B$7,공수1!$Y$7:$Y$86,"&gt;=0"),""))</f>
        <v/>
      </c>
      <c r="L14" s="42" t="str">
        <f aca="false">IF(F14="","",IFERROR(SUMPRODUCT((공수1!$L$7:$L$86=공수1!$L$2)*(공수1!$L$7:$L$86&lt;&gt;"")*(반배정!$I$7:$I$86=설정!$B$8))/COUNTIFS(반배정!$I$7:$I$86,설정!$B$8,공수1!$Y$7:$Y$86,"&gt;=0"),""))</f>
        <v/>
      </c>
      <c r="M14" s="43" t="str">
        <f aca="false">IF(OR(J14="",L14=""),"",J14-L14)</f>
        <v/>
      </c>
      <c r="N14" s="44" t="str">
        <f aca="false">IF(I14="","",IF(AND(M14&lt;&gt;"",M14&lt;0),"역변별·문항검토",IF(I14&gt;=0.9,"매우 쉬움",IF(I14&lt;=0.15,"매우 어려움",IF(AND(M14&lt;&gt;"",M14&lt;0.2),"변별력 낮음","양호")))))</f>
        <v/>
      </c>
      <c r="O14" s="44" t="str">
        <f aca="false">IF(G14=0,"",COUNTIF(공수1!$L$7:$L$86,1))</f>
        <v/>
      </c>
      <c r="P14" s="44" t="str">
        <f aca="false">IF(G14=0,"",COUNTIF(공수1!$L$7:$L$86,2))</f>
        <v/>
      </c>
      <c r="Q14" s="44" t="str">
        <f aca="false">IF(G14=0,"",COUNTIF(공수1!$L$7:$L$86,3))</f>
        <v/>
      </c>
      <c r="R14" s="44" t="str">
        <f aca="false">IF(G14=0,"",COUNTIF(공수1!$L$7:$L$86,4))</f>
        <v/>
      </c>
      <c r="S14" s="44" t="str">
        <f aca="false">IF(G14=0,"",COUNTIF(공수1!$L$7:$L$86,5))</f>
        <v/>
      </c>
    </row>
    <row r="15" customFormat="false" ht="15" hidden="false" customHeight="false" outlineLevel="0" collapsed="false">
      <c r="A15" s="7" t="n">
        <v>10</v>
      </c>
      <c r="B15" s="38" t="s">
        <v>135</v>
      </c>
      <c r="C15" s="39" t="str">
        <f aca="false">공수1!M4</f>
        <v>방정식과 부등식</v>
      </c>
      <c r="D15" s="10" t="str">
        <f aca="false">공수1!M5</f>
        <v>중</v>
      </c>
      <c r="E15" s="10" t="n">
        <f aca="false">공수1!M3</f>
        <v>5</v>
      </c>
      <c r="F15" s="40" t="str">
        <f aca="false">IF(공수1!$M$2="","",공수1!$M$2)</f>
        <v/>
      </c>
      <c r="G15" s="10" t="n">
        <f aca="false">COUNT(공수1!$Y$7:$Y$86)</f>
        <v>0</v>
      </c>
      <c r="H15" s="10" t="str">
        <f aca="false">IF(F15="","",SUMPRODUCT((공수1!$M$7:$M$86=공수1!$M$2)*(공수1!$M$7:$M$86&lt;&gt;"")))</f>
        <v/>
      </c>
      <c r="I15" s="41" t="str">
        <f aca="false">IF(OR(F15="",G15=0),"",H15/G15)</f>
        <v/>
      </c>
      <c r="J15" s="42" t="str">
        <f aca="false">IF(F15="","",IFERROR(SUMPRODUCT((공수1!$M$7:$M$86=공수1!$M$2)*(공수1!$M$7:$M$86&lt;&gt;"")*(반배정!$I$7:$I$86=설정!$B$6))/COUNTIFS(반배정!$I$7:$I$86,설정!$B$6,공수1!$Y$7:$Y$86,"&gt;=0"),""))</f>
        <v/>
      </c>
      <c r="K15" s="42" t="str">
        <f aca="false">IF(F15="","",IFERROR(SUMPRODUCT((공수1!$M$7:$M$86=공수1!$M$2)*(공수1!$M$7:$M$86&lt;&gt;"")*(반배정!$I$7:$I$86=설정!$B$7))/COUNTIFS(반배정!$I$7:$I$86,설정!$B$7,공수1!$Y$7:$Y$86,"&gt;=0"),""))</f>
        <v/>
      </c>
      <c r="L15" s="42" t="str">
        <f aca="false">IF(F15="","",IFERROR(SUMPRODUCT((공수1!$M$7:$M$86=공수1!$M$2)*(공수1!$M$7:$M$86&lt;&gt;"")*(반배정!$I$7:$I$86=설정!$B$8))/COUNTIFS(반배정!$I$7:$I$86,설정!$B$8,공수1!$Y$7:$Y$86,"&gt;=0"),""))</f>
        <v/>
      </c>
      <c r="M15" s="43" t="str">
        <f aca="false">IF(OR(J15="",L15=""),"",J15-L15)</f>
        <v/>
      </c>
      <c r="N15" s="44" t="str">
        <f aca="false">IF(I15="","",IF(AND(M15&lt;&gt;"",M15&lt;0),"역변별·문항검토",IF(I15&gt;=0.9,"매우 쉬움",IF(I15&lt;=0.15,"매우 어려움",IF(AND(M15&lt;&gt;"",M15&lt;0.2),"변별력 낮음","양호")))))</f>
        <v/>
      </c>
      <c r="O15" s="44" t="str">
        <f aca="false">IF(G15=0,"",COUNTIF(공수1!$M$7:$M$86,1))</f>
        <v/>
      </c>
      <c r="P15" s="44" t="str">
        <f aca="false">IF(G15=0,"",COUNTIF(공수1!$M$7:$M$86,2))</f>
        <v/>
      </c>
      <c r="Q15" s="44" t="str">
        <f aca="false">IF(G15=0,"",COUNTIF(공수1!$M$7:$M$86,3))</f>
        <v/>
      </c>
      <c r="R15" s="44" t="str">
        <f aca="false">IF(G15=0,"",COUNTIF(공수1!$M$7:$M$86,4))</f>
        <v/>
      </c>
      <c r="S15" s="44" t="str">
        <f aca="false">IF(G15=0,"",COUNTIF(공수1!$M$7:$M$86,5))</f>
        <v/>
      </c>
    </row>
    <row r="16" customFormat="false" ht="15" hidden="false" customHeight="false" outlineLevel="0" collapsed="false">
      <c r="A16" s="7" t="n">
        <v>11</v>
      </c>
      <c r="B16" s="38" t="s">
        <v>135</v>
      </c>
      <c r="C16" s="39" t="str">
        <f aca="false">공수1!N4</f>
        <v>방정식과 부등식</v>
      </c>
      <c r="D16" s="10" t="str">
        <f aca="false">공수1!N5</f>
        <v>중</v>
      </c>
      <c r="E16" s="10" t="n">
        <f aca="false">공수1!N3</f>
        <v>5</v>
      </c>
      <c r="F16" s="40" t="str">
        <f aca="false">IF(공수1!$N$2="","",공수1!$N$2)</f>
        <v/>
      </c>
      <c r="G16" s="10" t="n">
        <f aca="false">COUNT(공수1!$Y$7:$Y$86)</f>
        <v>0</v>
      </c>
      <c r="H16" s="10" t="str">
        <f aca="false">IF(F16="","",SUMPRODUCT((공수1!$N$7:$N$86=공수1!$N$2)*(공수1!$N$7:$N$86&lt;&gt;"")))</f>
        <v/>
      </c>
      <c r="I16" s="41" t="str">
        <f aca="false">IF(OR(F16="",G16=0),"",H16/G16)</f>
        <v/>
      </c>
      <c r="J16" s="42" t="str">
        <f aca="false">IF(F16="","",IFERROR(SUMPRODUCT((공수1!$N$7:$N$86=공수1!$N$2)*(공수1!$N$7:$N$86&lt;&gt;"")*(반배정!$I$7:$I$86=설정!$B$6))/COUNTIFS(반배정!$I$7:$I$86,설정!$B$6,공수1!$Y$7:$Y$86,"&gt;=0"),""))</f>
        <v/>
      </c>
      <c r="K16" s="42" t="str">
        <f aca="false">IF(F16="","",IFERROR(SUMPRODUCT((공수1!$N$7:$N$86=공수1!$N$2)*(공수1!$N$7:$N$86&lt;&gt;"")*(반배정!$I$7:$I$86=설정!$B$7))/COUNTIFS(반배정!$I$7:$I$86,설정!$B$7,공수1!$Y$7:$Y$86,"&gt;=0"),""))</f>
        <v/>
      </c>
      <c r="L16" s="42" t="str">
        <f aca="false">IF(F16="","",IFERROR(SUMPRODUCT((공수1!$N$7:$N$86=공수1!$N$2)*(공수1!$N$7:$N$86&lt;&gt;"")*(반배정!$I$7:$I$86=설정!$B$8))/COUNTIFS(반배정!$I$7:$I$86,설정!$B$8,공수1!$Y$7:$Y$86,"&gt;=0"),""))</f>
        <v/>
      </c>
      <c r="M16" s="43" t="str">
        <f aca="false">IF(OR(J16="",L16=""),"",J16-L16)</f>
        <v/>
      </c>
      <c r="N16" s="44" t="str">
        <f aca="false">IF(I16="","",IF(AND(M16&lt;&gt;"",M16&lt;0),"역변별·문항검토",IF(I16&gt;=0.9,"매우 쉬움",IF(I16&lt;=0.15,"매우 어려움",IF(AND(M16&lt;&gt;"",M16&lt;0.2),"변별력 낮음","양호")))))</f>
        <v/>
      </c>
      <c r="O16" s="44" t="str">
        <f aca="false">IF(G16=0,"",COUNTIF(공수1!$N$7:$N$86,1))</f>
        <v/>
      </c>
      <c r="P16" s="44" t="str">
        <f aca="false">IF(G16=0,"",COUNTIF(공수1!$N$7:$N$86,2))</f>
        <v/>
      </c>
      <c r="Q16" s="44" t="str">
        <f aca="false">IF(G16=0,"",COUNTIF(공수1!$N$7:$N$86,3))</f>
        <v/>
      </c>
      <c r="R16" s="44" t="str">
        <f aca="false">IF(G16=0,"",COUNTIF(공수1!$N$7:$N$86,4))</f>
        <v/>
      </c>
      <c r="S16" s="44" t="str">
        <f aca="false">IF(G16=0,"",COUNTIF(공수1!$N$7:$N$86,5))</f>
        <v/>
      </c>
    </row>
    <row r="17" customFormat="false" ht="15" hidden="false" customHeight="false" outlineLevel="0" collapsed="false">
      <c r="A17" s="7" t="n">
        <v>12</v>
      </c>
      <c r="B17" s="38" t="s">
        <v>135</v>
      </c>
      <c r="C17" s="39" t="str">
        <f aca="false">공수1!O4</f>
        <v>방정식과 부등식</v>
      </c>
      <c r="D17" s="10" t="str">
        <f aca="false">공수1!O5</f>
        <v>상</v>
      </c>
      <c r="E17" s="10" t="n">
        <f aca="false">공수1!O3</f>
        <v>5</v>
      </c>
      <c r="F17" s="40" t="str">
        <f aca="false">IF(공수1!$O$2="","",공수1!$O$2)</f>
        <v/>
      </c>
      <c r="G17" s="10" t="n">
        <f aca="false">COUNT(공수1!$Y$7:$Y$86)</f>
        <v>0</v>
      </c>
      <c r="H17" s="10" t="str">
        <f aca="false">IF(F17="","",SUMPRODUCT((공수1!$O$7:$O$86=공수1!$O$2)*(공수1!$O$7:$O$86&lt;&gt;"")))</f>
        <v/>
      </c>
      <c r="I17" s="41" t="str">
        <f aca="false">IF(OR(F17="",G17=0),"",H17/G17)</f>
        <v/>
      </c>
      <c r="J17" s="42" t="str">
        <f aca="false">IF(F17="","",IFERROR(SUMPRODUCT((공수1!$O$7:$O$86=공수1!$O$2)*(공수1!$O$7:$O$86&lt;&gt;"")*(반배정!$I$7:$I$86=설정!$B$6))/COUNTIFS(반배정!$I$7:$I$86,설정!$B$6,공수1!$Y$7:$Y$86,"&gt;=0"),""))</f>
        <v/>
      </c>
      <c r="K17" s="42" t="str">
        <f aca="false">IF(F17="","",IFERROR(SUMPRODUCT((공수1!$O$7:$O$86=공수1!$O$2)*(공수1!$O$7:$O$86&lt;&gt;"")*(반배정!$I$7:$I$86=설정!$B$7))/COUNTIFS(반배정!$I$7:$I$86,설정!$B$7,공수1!$Y$7:$Y$86,"&gt;=0"),""))</f>
        <v/>
      </c>
      <c r="L17" s="42" t="str">
        <f aca="false">IF(F17="","",IFERROR(SUMPRODUCT((공수1!$O$7:$O$86=공수1!$O$2)*(공수1!$O$7:$O$86&lt;&gt;"")*(반배정!$I$7:$I$86=설정!$B$8))/COUNTIFS(반배정!$I$7:$I$86,설정!$B$8,공수1!$Y$7:$Y$86,"&gt;=0"),""))</f>
        <v/>
      </c>
      <c r="M17" s="43" t="str">
        <f aca="false">IF(OR(J17="",L17=""),"",J17-L17)</f>
        <v/>
      </c>
      <c r="N17" s="44" t="str">
        <f aca="false">IF(I17="","",IF(AND(M17&lt;&gt;"",M17&lt;0),"역변별·문항검토",IF(I17&gt;=0.9,"매우 쉬움",IF(I17&lt;=0.15,"매우 어려움",IF(AND(M17&lt;&gt;"",M17&lt;0.2),"변별력 낮음","양호")))))</f>
        <v/>
      </c>
      <c r="O17" s="44" t="str">
        <f aca="false">IF(G17=0,"",COUNTIF(공수1!$O$7:$O$86,1))</f>
        <v/>
      </c>
      <c r="P17" s="44" t="str">
        <f aca="false">IF(G17=0,"",COUNTIF(공수1!$O$7:$O$86,2))</f>
        <v/>
      </c>
      <c r="Q17" s="44" t="str">
        <f aca="false">IF(G17=0,"",COUNTIF(공수1!$O$7:$O$86,3))</f>
        <v/>
      </c>
      <c r="R17" s="44" t="str">
        <f aca="false">IF(G17=0,"",COUNTIF(공수1!$O$7:$O$86,4))</f>
        <v/>
      </c>
      <c r="S17" s="44" t="str">
        <f aca="false">IF(G17=0,"",COUNTIF(공수1!$O$7:$O$86,5))</f>
        <v/>
      </c>
    </row>
    <row r="18" customFormat="false" ht="15" hidden="false" customHeight="false" outlineLevel="0" collapsed="false">
      <c r="A18" s="7" t="n">
        <v>13</v>
      </c>
      <c r="B18" s="38" t="s">
        <v>135</v>
      </c>
      <c r="C18" s="39" t="str">
        <f aca="false">공수1!P4</f>
        <v>방정식과 부등식</v>
      </c>
      <c r="D18" s="10" t="str">
        <f aca="false">공수1!P5</f>
        <v>상</v>
      </c>
      <c r="E18" s="10" t="n">
        <f aca="false">공수1!P3</f>
        <v>5</v>
      </c>
      <c r="F18" s="40" t="str">
        <f aca="false">IF(공수1!$P$2="","",공수1!$P$2)</f>
        <v/>
      </c>
      <c r="G18" s="10" t="n">
        <f aca="false">COUNT(공수1!$Y$7:$Y$86)</f>
        <v>0</v>
      </c>
      <c r="H18" s="10" t="str">
        <f aca="false">IF(F18="","",SUMPRODUCT((공수1!$P$7:$P$86=공수1!$P$2)*(공수1!$P$7:$P$86&lt;&gt;"")))</f>
        <v/>
      </c>
      <c r="I18" s="41" t="str">
        <f aca="false">IF(OR(F18="",G18=0),"",H18/G18)</f>
        <v/>
      </c>
      <c r="J18" s="42" t="str">
        <f aca="false">IF(F18="","",IFERROR(SUMPRODUCT((공수1!$P$7:$P$86=공수1!$P$2)*(공수1!$P$7:$P$86&lt;&gt;"")*(반배정!$I$7:$I$86=설정!$B$6))/COUNTIFS(반배정!$I$7:$I$86,설정!$B$6,공수1!$Y$7:$Y$86,"&gt;=0"),""))</f>
        <v/>
      </c>
      <c r="K18" s="42" t="str">
        <f aca="false">IF(F18="","",IFERROR(SUMPRODUCT((공수1!$P$7:$P$86=공수1!$P$2)*(공수1!$P$7:$P$86&lt;&gt;"")*(반배정!$I$7:$I$86=설정!$B$7))/COUNTIFS(반배정!$I$7:$I$86,설정!$B$7,공수1!$Y$7:$Y$86,"&gt;=0"),""))</f>
        <v/>
      </c>
      <c r="L18" s="42" t="str">
        <f aca="false">IF(F18="","",IFERROR(SUMPRODUCT((공수1!$P$7:$P$86=공수1!$P$2)*(공수1!$P$7:$P$86&lt;&gt;"")*(반배정!$I$7:$I$86=설정!$B$8))/COUNTIFS(반배정!$I$7:$I$86,설정!$B$8,공수1!$Y$7:$Y$86,"&gt;=0"),""))</f>
        <v/>
      </c>
      <c r="M18" s="43" t="str">
        <f aca="false">IF(OR(J18="",L18=""),"",J18-L18)</f>
        <v/>
      </c>
      <c r="N18" s="44" t="str">
        <f aca="false">IF(I18="","",IF(AND(M18&lt;&gt;"",M18&lt;0),"역변별·문항검토",IF(I18&gt;=0.9,"매우 쉬움",IF(I18&lt;=0.15,"매우 어려움",IF(AND(M18&lt;&gt;"",M18&lt;0.2),"변별력 낮음","양호")))))</f>
        <v/>
      </c>
      <c r="O18" s="44" t="str">
        <f aca="false">IF(G18=0,"",COUNTIF(공수1!$P$7:$P$86,1))</f>
        <v/>
      </c>
      <c r="P18" s="44" t="str">
        <f aca="false">IF(G18=0,"",COUNTIF(공수1!$P$7:$P$86,2))</f>
        <v/>
      </c>
      <c r="Q18" s="44" t="str">
        <f aca="false">IF(G18=0,"",COUNTIF(공수1!$P$7:$P$86,3))</f>
        <v/>
      </c>
      <c r="R18" s="44" t="str">
        <f aca="false">IF(G18=0,"",COUNTIF(공수1!$P$7:$P$86,4))</f>
        <v/>
      </c>
      <c r="S18" s="44" t="str">
        <f aca="false">IF(G18=0,"",COUNTIF(공수1!$P$7:$P$86,5))</f>
        <v/>
      </c>
    </row>
    <row r="19" customFormat="false" ht="15" hidden="false" customHeight="false" outlineLevel="0" collapsed="false">
      <c r="A19" s="7" t="n">
        <v>14</v>
      </c>
      <c r="B19" s="38" t="s">
        <v>135</v>
      </c>
      <c r="C19" s="39" t="str">
        <f aca="false">공수1!Q4</f>
        <v>경우의 수</v>
      </c>
      <c r="D19" s="10" t="str">
        <f aca="false">공수1!Q5</f>
        <v>상</v>
      </c>
      <c r="E19" s="10" t="n">
        <f aca="false">공수1!Q3</f>
        <v>5</v>
      </c>
      <c r="F19" s="40" t="str">
        <f aca="false">IF(공수1!$Q$2="","",공수1!$Q$2)</f>
        <v/>
      </c>
      <c r="G19" s="10" t="n">
        <f aca="false">COUNT(공수1!$Y$7:$Y$86)</f>
        <v>0</v>
      </c>
      <c r="H19" s="10" t="str">
        <f aca="false">IF(F19="","",SUMPRODUCT((공수1!$Q$7:$Q$86=공수1!$Q$2)*(공수1!$Q$7:$Q$86&lt;&gt;"")))</f>
        <v/>
      </c>
      <c r="I19" s="41" t="str">
        <f aca="false">IF(OR(F19="",G19=0),"",H19/G19)</f>
        <v/>
      </c>
      <c r="J19" s="42" t="str">
        <f aca="false">IF(F19="","",IFERROR(SUMPRODUCT((공수1!$Q$7:$Q$86=공수1!$Q$2)*(공수1!$Q$7:$Q$86&lt;&gt;"")*(반배정!$I$7:$I$86=설정!$B$6))/COUNTIFS(반배정!$I$7:$I$86,설정!$B$6,공수1!$Y$7:$Y$86,"&gt;=0"),""))</f>
        <v/>
      </c>
      <c r="K19" s="42" t="str">
        <f aca="false">IF(F19="","",IFERROR(SUMPRODUCT((공수1!$Q$7:$Q$86=공수1!$Q$2)*(공수1!$Q$7:$Q$86&lt;&gt;"")*(반배정!$I$7:$I$86=설정!$B$7))/COUNTIFS(반배정!$I$7:$I$86,설정!$B$7,공수1!$Y$7:$Y$86,"&gt;=0"),""))</f>
        <v/>
      </c>
      <c r="L19" s="42" t="str">
        <f aca="false">IF(F19="","",IFERROR(SUMPRODUCT((공수1!$Q$7:$Q$86=공수1!$Q$2)*(공수1!$Q$7:$Q$86&lt;&gt;"")*(반배정!$I$7:$I$86=설정!$B$8))/COUNTIFS(반배정!$I$7:$I$86,설정!$B$8,공수1!$Y$7:$Y$86,"&gt;=0"),""))</f>
        <v/>
      </c>
      <c r="M19" s="43" t="str">
        <f aca="false">IF(OR(J19="",L19=""),"",J19-L19)</f>
        <v/>
      </c>
      <c r="N19" s="44" t="str">
        <f aca="false">IF(I19="","",IF(AND(M19&lt;&gt;"",M19&lt;0),"역변별·문항검토",IF(I19&gt;=0.9,"매우 쉬움",IF(I19&lt;=0.15,"매우 어려움",IF(AND(M19&lt;&gt;"",M19&lt;0.2),"변별력 낮음","양호")))))</f>
        <v/>
      </c>
      <c r="O19" s="44" t="str">
        <f aca="false">IF(G19=0,"",COUNTIF(공수1!$Q$7:$Q$86,1))</f>
        <v/>
      </c>
      <c r="P19" s="44" t="str">
        <f aca="false">IF(G19=0,"",COUNTIF(공수1!$Q$7:$Q$86,2))</f>
        <v/>
      </c>
      <c r="Q19" s="44" t="str">
        <f aca="false">IF(G19=0,"",COUNTIF(공수1!$Q$7:$Q$86,3))</f>
        <v/>
      </c>
      <c r="R19" s="44" t="str">
        <f aca="false">IF(G19=0,"",COUNTIF(공수1!$Q$7:$Q$86,4))</f>
        <v/>
      </c>
      <c r="S19" s="44" t="str">
        <f aca="false">IF(G19=0,"",COUNTIF(공수1!$Q$7:$Q$86,5))</f>
        <v/>
      </c>
    </row>
    <row r="20" customFormat="false" ht="15" hidden="false" customHeight="false" outlineLevel="0" collapsed="false">
      <c r="A20" s="7" t="n">
        <v>15</v>
      </c>
      <c r="B20" s="38" t="s">
        <v>136</v>
      </c>
      <c r="C20" s="39" t="str">
        <f aca="false">공수1!R4</f>
        <v>경우의 수</v>
      </c>
      <c r="D20" s="10" t="str">
        <f aca="false">공수1!R5</f>
        <v>하</v>
      </c>
      <c r="E20" s="10" t="n">
        <f aca="false">공수1!R3</f>
        <v>5</v>
      </c>
      <c r="F20" s="40" t="str">
        <f aca="false">IF(공수1!$R$2="","",공수1!$R$2)</f>
        <v/>
      </c>
      <c r="G20" s="10" t="n">
        <f aca="false">COUNT(공수1!$Y$7:$Y$86)</f>
        <v>0</v>
      </c>
      <c r="H20" s="10" t="str">
        <f aca="false">IF(F20="","",SUMPRODUCT((공수1!$R$7:$R$86=공수1!$R$2)*(공수1!$R$7:$R$86&lt;&gt;"")))</f>
        <v/>
      </c>
      <c r="I20" s="41" t="str">
        <f aca="false">IF(OR(F20="",G20=0),"",H20/G20)</f>
        <v/>
      </c>
      <c r="J20" s="42" t="str">
        <f aca="false">IF(F20="","",IFERROR(SUMPRODUCT((공수1!$R$7:$R$86=공수1!$R$2)*(공수1!$R$7:$R$86&lt;&gt;"")*(반배정!$I$7:$I$86=설정!$B$6))/COUNTIFS(반배정!$I$7:$I$86,설정!$B$6,공수1!$Y$7:$Y$86,"&gt;=0"),""))</f>
        <v/>
      </c>
      <c r="K20" s="42" t="str">
        <f aca="false">IF(F20="","",IFERROR(SUMPRODUCT((공수1!$R$7:$R$86=공수1!$R$2)*(공수1!$R$7:$R$86&lt;&gt;"")*(반배정!$I$7:$I$86=설정!$B$7))/COUNTIFS(반배정!$I$7:$I$86,설정!$B$7,공수1!$Y$7:$Y$86,"&gt;=0"),""))</f>
        <v/>
      </c>
      <c r="L20" s="42" t="str">
        <f aca="false">IF(F20="","",IFERROR(SUMPRODUCT((공수1!$R$7:$R$86=공수1!$R$2)*(공수1!$R$7:$R$86&lt;&gt;"")*(반배정!$I$7:$I$86=설정!$B$8))/COUNTIFS(반배정!$I$7:$I$86,설정!$B$8,공수1!$Y$7:$Y$86,"&gt;=0"),""))</f>
        <v/>
      </c>
      <c r="M20" s="43" t="str">
        <f aca="false">IF(OR(J20="",L20=""),"",J20-L20)</f>
        <v/>
      </c>
      <c r="N20" s="44" t="str">
        <f aca="false">IF(I20="","",IF(AND(M20&lt;&gt;"",M20&lt;0),"역변별·문항검토",IF(I20&gt;=0.9,"매우 쉬움",IF(I20&lt;=0.15,"매우 어려움",IF(AND(M20&lt;&gt;"",M20&lt;0.2),"변별력 낮음","양호")))))</f>
        <v/>
      </c>
      <c r="O20" s="45" t="s">
        <v>137</v>
      </c>
      <c r="P20" s="45" t="s">
        <v>137</v>
      </c>
      <c r="Q20" s="45" t="s">
        <v>137</v>
      </c>
      <c r="R20" s="45" t="s">
        <v>137</v>
      </c>
      <c r="S20" s="45" t="s">
        <v>137</v>
      </c>
    </row>
    <row r="21" customFormat="false" ht="15" hidden="false" customHeight="false" outlineLevel="0" collapsed="false">
      <c r="A21" s="7" t="n">
        <v>16</v>
      </c>
      <c r="B21" s="38" t="s">
        <v>136</v>
      </c>
      <c r="C21" s="39" t="str">
        <f aca="false">공수1!S4</f>
        <v>경우의 수</v>
      </c>
      <c r="D21" s="10" t="str">
        <f aca="false">공수1!S5</f>
        <v>중</v>
      </c>
      <c r="E21" s="10" t="n">
        <f aca="false">공수1!S3</f>
        <v>5</v>
      </c>
      <c r="F21" s="40" t="str">
        <f aca="false">IF(공수1!$S$2="","",공수1!$S$2)</f>
        <v/>
      </c>
      <c r="G21" s="10" t="n">
        <f aca="false">COUNT(공수1!$Y$7:$Y$86)</f>
        <v>0</v>
      </c>
      <c r="H21" s="10" t="str">
        <f aca="false">IF(F21="","",SUMPRODUCT((공수1!$S$7:$S$86=공수1!$S$2)*(공수1!$S$7:$S$86&lt;&gt;"")))</f>
        <v/>
      </c>
      <c r="I21" s="41" t="str">
        <f aca="false">IF(OR(F21="",G21=0),"",H21/G21)</f>
        <v/>
      </c>
      <c r="J21" s="42" t="str">
        <f aca="false">IF(F21="","",IFERROR(SUMPRODUCT((공수1!$S$7:$S$86=공수1!$S$2)*(공수1!$S$7:$S$86&lt;&gt;"")*(반배정!$I$7:$I$86=설정!$B$6))/COUNTIFS(반배정!$I$7:$I$86,설정!$B$6,공수1!$Y$7:$Y$86,"&gt;=0"),""))</f>
        <v/>
      </c>
      <c r="K21" s="42" t="str">
        <f aca="false">IF(F21="","",IFERROR(SUMPRODUCT((공수1!$S$7:$S$86=공수1!$S$2)*(공수1!$S$7:$S$86&lt;&gt;"")*(반배정!$I$7:$I$86=설정!$B$7))/COUNTIFS(반배정!$I$7:$I$86,설정!$B$7,공수1!$Y$7:$Y$86,"&gt;=0"),""))</f>
        <v/>
      </c>
      <c r="L21" s="42" t="str">
        <f aca="false">IF(F21="","",IFERROR(SUMPRODUCT((공수1!$S$7:$S$86=공수1!$S$2)*(공수1!$S$7:$S$86&lt;&gt;"")*(반배정!$I$7:$I$86=설정!$B$8))/COUNTIFS(반배정!$I$7:$I$86,설정!$B$8,공수1!$Y$7:$Y$86,"&gt;=0"),""))</f>
        <v/>
      </c>
      <c r="M21" s="43" t="str">
        <f aca="false">IF(OR(J21="",L21=""),"",J21-L21)</f>
        <v/>
      </c>
      <c r="N21" s="44" t="str">
        <f aca="false">IF(I21="","",IF(AND(M21&lt;&gt;"",M21&lt;0),"역변별·문항검토",IF(I21&gt;=0.9,"매우 쉬움",IF(I21&lt;=0.15,"매우 어려움",IF(AND(M21&lt;&gt;"",M21&lt;0.2),"변별력 낮음","양호")))))</f>
        <v/>
      </c>
      <c r="O21" s="45" t="s">
        <v>137</v>
      </c>
      <c r="P21" s="45" t="s">
        <v>137</v>
      </c>
      <c r="Q21" s="45" t="s">
        <v>137</v>
      </c>
      <c r="R21" s="45" t="s">
        <v>137</v>
      </c>
      <c r="S21" s="45" t="s">
        <v>137</v>
      </c>
    </row>
    <row r="22" customFormat="false" ht="15" hidden="false" customHeight="false" outlineLevel="0" collapsed="false">
      <c r="A22" s="7" t="n">
        <v>17</v>
      </c>
      <c r="B22" s="38" t="s">
        <v>136</v>
      </c>
      <c r="C22" s="39" t="str">
        <f aca="false">공수1!T4</f>
        <v>경우의 수</v>
      </c>
      <c r="D22" s="10" t="str">
        <f aca="false">공수1!T5</f>
        <v>중</v>
      </c>
      <c r="E22" s="10" t="n">
        <f aca="false">공수1!T3</f>
        <v>5</v>
      </c>
      <c r="F22" s="40" t="str">
        <f aca="false">IF(공수1!$T$2="","",공수1!$T$2)</f>
        <v/>
      </c>
      <c r="G22" s="10" t="n">
        <f aca="false">COUNT(공수1!$Y$7:$Y$86)</f>
        <v>0</v>
      </c>
      <c r="H22" s="10" t="str">
        <f aca="false">IF(F22="","",SUMPRODUCT((공수1!$T$7:$T$86=공수1!$T$2)*(공수1!$T$7:$T$86&lt;&gt;"")))</f>
        <v/>
      </c>
      <c r="I22" s="41" t="str">
        <f aca="false">IF(OR(F22="",G22=0),"",H22/G22)</f>
        <v/>
      </c>
      <c r="J22" s="42" t="str">
        <f aca="false">IF(F22="","",IFERROR(SUMPRODUCT((공수1!$T$7:$T$86=공수1!$T$2)*(공수1!$T$7:$T$86&lt;&gt;"")*(반배정!$I$7:$I$86=설정!$B$6))/COUNTIFS(반배정!$I$7:$I$86,설정!$B$6,공수1!$Y$7:$Y$86,"&gt;=0"),""))</f>
        <v/>
      </c>
      <c r="K22" s="42" t="str">
        <f aca="false">IF(F22="","",IFERROR(SUMPRODUCT((공수1!$T$7:$T$86=공수1!$T$2)*(공수1!$T$7:$T$86&lt;&gt;"")*(반배정!$I$7:$I$86=설정!$B$7))/COUNTIFS(반배정!$I$7:$I$86,설정!$B$7,공수1!$Y$7:$Y$86,"&gt;=0"),""))</f>
        <v/>
      </c>
      <c r="L22" s="42" t="str">
        <f aca="false">IF(F22="","",IFERROR(SUMPRODUCT((공수1!$T$7:$T$86=공수1!$T$2)*(공수1!$T$7:$T$86&lt;&gt;"")*(반배정!$I$7:$I$86=설정!$B$8))/COUNTIFS(반배정!$I$7:$I$86,설정!$B$8,공수1!$Y$7:$Y$86,"&gt;=0"),""))</f>
        <v/>
      </c>
      <c r="M22" s="43" t="str">
        <f aca="false">IF(OR(J22="",L22=""),"",J22-L22)</f>
        <v/>
      </c>
      <c r="N22" s="44" t="str">
        <f aca="false">IF(I22="","",IF(AND(M22&lt;&gt;"",M22&lt;0),"역변별·문항검토",IF(I22&gt;=0.9,"매우 쉬움",IF(I22&lt;=0.15,"매우 어려움",IF(AND(M22&lt;&gt;"",M22&lt;0.2),"변별력 낮음","양호")))))</f>
        <v/>
      </c>
      <c r="O22" s="45" t="s">
        <v>137</v>
      </c>
      <c r="P22" s="45" t="s">
        <v>137</v>
      </c>
      <c r="Q22" s="45" t="s">
        <v>137</v>
      </c>
      <c r="R22" s="45" t="s">
        <v>137</v>
      </c>
      <c r="S22" s="45" t="s">
        <v>137</v>
      </c>
    </row>
    <row r="23" customFormat="false" ht="15" hidden="false" customHeight="false" outlineLevel="0" collapsed="false">
      <c r="A23" s="7" t="n">
        <v>18</v>
      </c>
      <c r="B23" s="38" t="s">
        <v>136</v>
      </c>
      <c r="C23" s="39" t="str">
        <f aca="false">공수1!U4</f>
        <v>행렬</v>
      </c>
      <c r="D23" s="10" t="str">
        <f aca="false">공수1!U5</f>
        <v>상</v>
      </c>
      <c r="E23" s="10" t="n">
        <f aca="false">공수1!U3</f>
        <v>5</v>
      </c>
      <c r="F23" s="40" t="str">
        <f aca="false">IF(공수1!$U$2="","",공수1!$U$2)</f>
        <v/>
      </c>
      <c r="G23" s="10" t="n">
        <f aca="false">COUNT(공수1!$Y$7:$Y$86)</f>
        <v>0</v>
      </c>
      <c r="H23" s="10" t="str">
        <f aca="false">IF(F23="","",SUMPRODUCT((공수1!$U$7:$U$86=공수1!$U$2)*(공수1!$U$7:$U$86&lt;&gt;"")))</f>
        <v/>
      </c>
      <c r="I23" s="41" t="str">
        <f aca="false">IF(OR(F23="",G23=0),"",H23/G23)</f>
        <v/>
      </c>
      <c r="J23" s="42" t="str">
        <f aca="false">IF(F23="","",IFERROR(SUMPRODUCT((공수1!$U$7:$U$86=공수1!$U$2)*(공수1!$U$7:$U$86&lt;&gt;"")*(반배정!$I$7:$I$86=설정!$B$6))/COUNTIFS(반배정!$I$7:$I$86,설정!$B$6,공수1!$Y$7:$Y$86,"&gt;=0"),""))</f>
        <v/>
      </c>
      <c r="K23" s="42" t="str">
        <f aca="false">IF(F23="","",IFERROR(SUMPRODUCT((공수1!$U$7:$U$86=공수1!$U$2)*(공수1!$U$7:$U$86&lt;&gt;"")*(반배정!$I$7:$I$86=설정!$B$7))/COUNTIFS(반배정!$I$7:$I$86,설정!$B$7,공수1!$Y$7:$Y$86,"&gt;=0"),""))</f>
        <v/>
      </c>
      <c r="L23" s="42" t="str">
        <f aca="false">IF(F23="","",IFERROR(SUMPRODUCT((공수1!$U$7:$U$86=공수1!$U$2)*(공수1!$U$7:$U$86&lt;&gt;"")*(반배정!$I$7:$I$86=설정!$B$8))/COUNTIFS(반배정!$I$7:$I$86,설정!$B$8,공수1!$Y$7:$Y$86,"&gt;=0"),""))</f>
        <v/>
      </c>
      <c r="M23" s="43" t="str">
        <f aca="false">IF(OR(J23="",L23=""),"",J23-L23)</f>
        <v/>
      </c>
      <c r="N23" s="44" t="str">
        <f aca="false">IF(I23="","",IF(AND(M23&lt;&gt;"",M23&lt;0),"역변별·문항검토",IF(I23&gt;=0.9,"매우 쉬움",IF(I23&lt;=0.15,"매우 어려움",IF(AND(M23&lt;&gt;"",M23&lt;0.2),"변별력 낮음","양호")))))</f>
        <v/>
      </c>
      <c r="O23" s="45" t="s">
        <v>137</v>
      </c>
      <c r="P23" s="45" t="s">
        <v>137</v>
      </c>
      <c r="Q23" s="45" t="s">
        <v>137</v>
      </c>
      <c r="R23" s="45" t="s">
        <v>137</v>
      </c>
      <c r="S23" s="45" t="s">
        <v>137</v>
      </c>
    </row>
    <row r="24" customFormat="false" ht="15" hidden="false" customHeight="false" outlineLevel="0" collapsed="false">
      <c r="A24" s="7" t="n">
        <v>19</v>
      </c>
      <c r="B24" s="38" t="s">
        <v>136</v>
      </c>
      <c r="C24" s="39" t="str">
        <f aca="false">공수1!V4</f>
        <v>행렬</v>
      </c>
      <c r="D24" s="10" t="str">
        <f aca="false">공수1!V5</f>
        <v>상</v>
      </c>
      <c r="E24" s="10" t="n">
        <f aca="false">공수1!V3</f>
        <v>5</v>
      </c>
      <c r="F24" s="40" t="str">
        <f aca="false">IF(공수1!$V$2="","",공수1!$V$2)</f>
        <v/>
      </c>
      <c r="G24" s="10" t="n">
        <f aca="false">COUNT(공수1!$Y$7:$Y$86)</f>
        <v>0</v>
      </c>
      <c r="H24" s="10" t="str">
        <f aca="false">IF(F24="","",SUMPRODUCT((공수1!$V$7:$V$86=공수1!$V$2)*(공수1!$V$7:$V$86&lt;&gt;"")))</f>
        <v/>
      </c>
      <c r="I24" s="41" t="str">
        <f aca="false">IF(OR(F24="",G24=0),"",H24/G24)</f>
        <v/>
      </c>
      <c r="J24" s="42" t="str">
        <f aca="false">IF(F24="","",IFERROR(SUMPRODUCT((공수1!$V$7:$V$86=공수1!$V$2)*(공수1!$V$7:$V$86&lt;&gt;"")*(반배정!$I$7:$I$86=설정!$B$6))/COUNTIFS(반배정!$I$7:$I$86,설정!$B$6,공수1!$Y$7:$Y$86,"&gt;=0"),""))</f>
        <v/>
      </c>
      <c r="K24" s="42" t="str">
        <f aca="false">IF(F24="","",IFERROR(SUMPRODUCT((공수1!$V$7:$V$86=공수1!$V$2)*(공수1!$V$7:$V$86&lt;&gt;"")*(반배정!$I$7:$I$86=설정!$B$7))/COUNTIFS(반배정!$I$7:$I$86,설정!$B$7,공수1!$Y$7:$Y$86,"&gt;=0"),""))</f>
        <v/>
      </c>
      <c r="L24" s="42" t="str">
        <f aca="false">IF(F24="","",IFERROR(SUMPRODUCT((공수1!$V$7:$V$86=공수1!$V$2)*(공수1!$V$7:$V$86&lt;&gt;"")*(반배정!$I$7:$I$86=설정!$B$8))/COUNTIFS(반배정!$I$7:$I$86,설정!$B$8,공수1!$Y$7:$Y$86,"&gt;=0"),""))</f>
        <v/>
      </c>
      <c r="M24" s="43" t="str">
        <f aca="false">IF(OR(J24="",L24=""),"",J24-L24)</f>
        <v/>
      </c>
      <c r="N24" s="44" t="str">
        <f aca="false">IF(I24="","",IF(AND(M24&lt;&gt;"",M24&lt;0),"역변별·문항검토",IF(I24&gt;=0.9,"매우 쉬움",IF(I24&lt;=0.15,"매우 어려움",IF(AND(M24&lt;&gt;"",M24&lt;0.2),"변별력 낮음","양호")))))</f>
        <v/>
      </c>
      <c r="O24" s="45" t="s">
        <v>137</v>
      </c>
      <c r="P24" s="45" t="s">
        <v>137</v>
      </c>
      <c r="Q24" s="45" t="s">
        <v>137</v>
      </c>
      <c r="R24" s="45" t="s">
        <v>137</v>
      </c>
      <c r="S24" s="45" t="s">
        <v>137</v>
      </c>
    </row>
    <row r="25" customFormat="false" ht="15" hidden="false" customHeight="false" outlineLevel="0" collapsed="false">
      <c r="A25" s="7" t="n">
        <v>20</v>
      </c>
      <c r="B25" s="38" t="s">
        <v>136</v>
      </c>
      <c r="C25" s="39" t="str">
        <f aca="false">공수1!W4</f>
        <v>행렬</v>
      </c>
      <c r="D25" s="10" t="str">
        <f aca="false">공수1!W5</f>
        <v>최상</v>
      </c>
      <c r="E25" s="10" t="n">
        <f aca="false">공수1!W3</f>
        <v>5</v>
      </c>
      <c r="F25" s="40" t="str">
        <f aca="false">IF(공수1!$W$2="","",공수1!$W$2)</f>
        <v/>
      </c>
      <c r="G25" s="10" t="n">
        <f aca="false">COUNT(공수1!$Y$7:$Y$86)</f>
        <v>0</v>
      </c>
      <c r="H25" s="10" t="str">
        <f aca="false">IF(F25="","",SUMPRODUCT((공수1!$W$7:$W$86=공수1!$W$2)*(공수1!$W$7:$W$86&lt;&gt;"")))</f>
        <v/>
      </c>
      <c r="I25" s="41" t="str">
        <f aca="false">IF(OR(F25="",G25=0),"",H25/G25)</f>
        <v/>
      </c>
      <c r="J25" s="42" t="str">
        <f aca="false">IF(F25="","",IFERROR(SUMPRODUCT((공수1!$W$7:$W$86=공수1!$W$2)*(공수1!$W$7:$W$86&lt;&gt;"")*(반배정!$I$7:$I$86=설정!$B$6))/COUNTIFS(반배정!$I$7:$I$86,설정!$B$6,공수1!$Y$7:$Y$86,"&gt;=0"),""))</f>
        <v/>
      </c>
      <c r="K25" s="42" t="str">
        <f aca="false">IF(F25="","",IFERROR(SUMPRODUCT((공수1!$W$7:$W$86=공수1!$W$2)*(공수1!$W$7:$W$86&lt;&gt;"")*(반배정!$I$7:$I$86=설정!$B$7))/COUNTIFS(반배정!$I$7:$I$86,설정!$B$7,공수1!$Y$7:$Y$86,"&gt;=0"),""))</f>
        <v/>
      </c>
      <c r="L25" s="42" t="str">
        <f aca="false">IF(F25="","",IFERROR(SUMPRODUCT((공수1!$W$7:$W$86=공수1!$W$2)*(공수1!$W$7:$W$86&lt;&gt;"")*(반배정!$I$7:$I$86=설정!$B$8))/COUNTIFS(반배정!$I$7:$I$86,설정!$B$8,공수1!$Y$7:$Y$86,"&gt;=0"),""))</f>
        <v/>
      </c>
      <c r="M25" s="43" t="str">
        <f aca="false">IF(OR(J25="",L25=""),"",J25-L25)</f>
        <v/>
      </c>
      <c r="N25" s="44" t="str">
        <f aca="false">IF(I25="","",IF(AND(M25&lt;&gt;"",M25&lt;0),"역변별·문항검토",IF(I25&gt;=0.9,"매우 쉬움",IF(I25&lt;=0.15,"매우 어려움",IF(AND(M25&lt;&gt;"",M25&lt;0.2),"변별력 낮음","양호")))))</f>
        <v/>
      </c>
      <c r="O25" s="45" t="s">
        <v>137</v>
      </c>
      <c r="P25" s="45" t="s">
        <v>137</v>
      </c>
      <c r="Q25" s="45" t="s">
        <v>137</v>
      </c>
      <c r="R25" s="45" t="s">
        <v>137</v>
      </c>
      <c r="S25" s="45" t="s">
        <v>137</v>
      </c>
    </row>
    <row r="28" customFormat="false" ht="15" hidden="false" customHeight="false" outlineLevel="0" collapsed="false">
      <c r="A28" s="37" t="s">
        <v>138</v>
      </c>
      <c r="B28" s="37"/>
      <c r="C28" s="37"/>
      <c r="D28" s="37"/>
      <c r="E28" s="37"/>
    </row>
    <row r="29" customFormat="false" ht="30" hidden="false" customHeight="true" outlineLevel="0" collapsed="false">
      <c r="A29" s="4" t="s">
        <v>120</v>
      </c>
      <c r="B29" s="4" t="s">
        <v>121</v>
      </c>
      <c r="C29" s="4" t="s">
        <v>25</v>
      </c>
      <c r="D29" s="4" t="s">
        <v>122</v>
      </c>
      <c r="E29" s="4" t="s">
        <v>123</v>
      </c>
      <c r="F29" s="4" t="s">
        <v>124</v>
      </c>
      <c r="G29" s="4" t="s">
        <v>125</v>
      </c>
      <c r="H29" s="4" t="s">
        <v>126</v>
      </c>
      <c r="I29" s="4" t="s">
        <v>127</v>
      </c>
      <c r="J29" s="4" t="str">
        <f aca="false">설정!$B$6&amp;" 정답률"</f>
        <v>심화반 정답률</v>
      </c>
      <c r="K29" s="4" t="str">
        <f aca="false">설정!$B$7&amp;" 정답률"</f>
        <v>정규반 정답률</v>
      </c>
      <c r="L29" s="4" t="str">
        <f aca="false">설정!$B$8&amp;" 정답률"</f>
        <v>기본반 정답률</v>
      </c>
      <c r="M29" s="4" t="s">
        <v>128</v>
      </c>
      <c r="N29" s="4" t="s">
        <v>129</v>
      </c>
      <c r="O29" s="13" t="s">
        <v>130</v>
      </c>
      <c r="P29" s="13" t="s">
        <v>131</v>
      </c>
      <c r="Q29" s="13" t="s">
        <v>132</v>
      </c>
      <c r="R29" s="13" t="s">
        <v>133</v>
      </c>
      <c r="S29" s="13" t="s">
        <v>134</v>
      </c>
    </row>
    <row r="30" customFormat="false" ht="15" hidden="false" customHeight="false" outlineLevel="0" collapsed="false">
      <c r="A30" s="7" t="n">
        <v>1</v>
      </c>
      <c r="B30" s="38" t="s">
        <v>135</v>
      </c>
      <c r="C30" s="39" t="str">
        <f aca="false">공수2!D4</f>
        <v>도형의 방정식</v>
      </c>
      <c r="D30" s="10" t="str">
        <f aca="false">공수2!D5</f>
        <v>하</v>
      </c>
      <c r="E30" s="10" t="n">
        <f aca="false">공수2!D3</f>
        <v>5</v>
      </c>
      <c r="F30" s="40" t="str">
        <f aca="false">IF(공수2!$D$2="","",공수2!$D$2)</f>
        <v/>
      </c>
      <c r="G30" s="10" t="n">
        <f aca="false">COUNT(공수2!$Y$7:$Y$86)</f>
        <v>0</v>
      </c>
      <c r="H30" s="10" t="str">
        <f aca="false">IF(F30="","",SUMPRODUCT((공수2!$D$7:$D$86=공수2!$D$2)*(공수2!$D$7:$D$86&lt;&gt;"")))</f>
        <v/>
      </c>
      <c r="I30" s="41" t="str">
        <f aca="false">IF(OR(F30="",G30=0),"",H30/G30)</f>
        <v/>
      </c>
      <c r="J30" s="42" t="str">
        <f aca="false">IF(F30="","",IFERROR(SUMPRODUCT((공수2!$D$7:$D$86=공수2!$D$2)*(공수2!$D$7:$D$86&lt;&gt;"")*(반배정!$I$7:$I$86=설정!$B$6))/COUNTIFS(반배정!$I$7:$I$86,설정!$B$6,공수2!$Y$7:$Y$86,"&gt;=0"),""))</f>
        <v/>
      </c>
      <c r="K30" s="42" t="str">
        <f aca="false">IF(F30="","",IFERROR(SUMPRODUCT((공수2!$D$7:$D$86=공수2!$D$2)*(공수2!$D$7:$D$86&lt;&gt;"")*(반배정!$I$7:$I$86=설정!$B$7))/COUNTIFS(반배정!$I$7:$I$86,설정!$B$7,공수2!$Y$7:$Y$86,"&gt;=0"),""))</f>
        <v/>
      </c>
      <c r="L30" s="42" t="str">
        <f aca="false">IF(F30="","",IFERROR(SUMPRODUCT((공수2!$D$7:$D$86=공수2!$D$2)*(공수2!$D$7:$D$86&lt;&gt;"")*(반배정!$I$7:$I$86=설정!$B$8))/COUNTIFS(반배정!$I$7:$I$86,설정!$B$8,공수2!$Y$7:$Y$86,"&gt;=0"),""))</f>
        <v/>
      </c>
      <c r="M30" s="43" t="str">
        <f aca="false">IF(OR(J30="",L30=""),"",J30-L30)</f>
        <v/>
      </c>
      <c r="N30" s="44" t="str">
        <f aca="false">IF(I30="","",IF(AND(M30&lt;&gt;"",M30&lt;0),"역변별·문항검토",IF(I30&gt;=0.9,"매우 쉬움",IF(I30&lt;=0.15,"매우 어려움",IF(AND(M30&lt;&gt;"",M30&lt;0.2),"변별력 낮음","양호")))))</f>
        <v/>
      </c>
      <c r="O30" s="44" t="str">
        <f aca="false">IF(G30=0,"",COUNTIF(공수2!$D$7:$D$86,1))</f>
        <v/>
      </c>
      <c r="P30" s="44" t="str">
        <f aca="false">IF(G30=0,"",COUNTIF(공수2!$D$7:$D$86,2))</f>
        <v/>
      </c>
      <c r="Q30" s="44" t="str">
        <f aca="false">IF(G30=0,"",COUNTIF(공수2!$D$7:$D$86,3))</f>
        <v/>
      </c>
      <c r="R30" s="44" t="str">
        <f aca="false">IF(G30=0,"",COUNTIF(공수2!$D$7:$D$86,4))</f>
        <v/>
      </c>
      <c r="S30" s="44" t="str">
        <f aca="false">IF(G30=0,"",COUNTIF(공수2!$D$7:$D$86,5))</f>
        <v/>
      </c>
    </row>
    <row r="31" customFormat="false" ht="15" hidden="false" customHeight="false" outlineLevel="0" collapsed="false">
      <c r="A31" s="7" t="n">
        <v>2</v>
      </c>
      <c r="B31" s="38" t="s">
        <v>135</v>
      </c>
      <c r="C31" s="39" t="str">
        <f aca="false">공수2!E4</f>
        <v>도형의 방정식</v>
      </c>
      <c r="D31" s="10" t="str">
        <f aca="false">공수2!E5</f>
        <v>하</v>
      </c>
      <c r="E31" s="10" t="n">
        <f aca="false">공수2!E3</f>
        <v>5</v>
      </c>
      <c r="F31" s="40" t="str">
        <f aca="false">IF(공수2!$E$2="","",공수2!$E$2)</f>
        <v/>
      </c>
      <c r="G31" s="10" t="n">
        <f aca="false">COUNT(공수2!$Y$7:$Y$86)</f>
        <v>0</v>
      </c>
      <c r="H31" s="10" t="str">
        <f aca="false">IF(F31="","",SUMPRODUCT((공수2!$E$7:$E$86=공수2!$E$2)*(공수2!$E$7:$E$86&lt;&gt;"")))</f>
        <v/>
      </c>
      <c r="I31" s="41" t="str">
        <f aca="false">IF(OR(F31="",G31=0),"",H31/G31)</f>
        <v/>
      </c>
      <c r="J31" s="42" t="str">
        <f aca="false">IF(F31="","",IFERROR(SUMPRODUCT((공수2!$E$7:$E$86=공수2!$E$2)*(공수2!$E$7:$E$86&lt;&gt;"")*(반배정!$I$7:$I$86=설정!$B$6))/COUNTIFS(반배정!$I$7:$I$86,설정!$B$6,공수2!$Y$7:$Y$86,"&gt;=0"),""))</f>
        <v/>
      </c>
      <c r="K31" s="42" t="str">
        <f aca="false">IF(F31="","",IFERROR(SUMPRODUCT((공수2!$E$7:$E$86=공수2!$E$2)*(공수2!$E$7:$E$86&lt;&gt;"")*(반배정!$I$7:$I$86=설정!$B$7))/COUNTIFS(반배정!$I$7:$I$86,설정!$B$7,공수2!$Y$7:$Y$86,"&gt;=0"),""))</f>
        <v/>
      </c>
      <c r="L31" s="42" t="str">
        <f aca="false">IF(F31="","",IFERROR(SUMPRODUCT((공수2!$E$7:$E$86=공수2!$E$2)*(공수2!$E$7:$E$86&lt;&gt;"")*(반배정!$I$7:$I$86=설정!$B$8))/COUNTIFS(반배정!$I$7:$I$86,설정!$B$8,공수2!$Y$7:$Y$86,"&gt;=0"),""))</f>
        <v/>
      </c>
      <c r="M31" s="43" t="str">
        <f aca="false">IF(OR(J31="",L31=""),"",J31-L31)</f>
        <v/>
      </c>
      <c r="N31" s="44" t="str">
        <f aca="false">IF(I31="","",IF(AND(M31&lt;&gt;"",M31&lt;0),"역변별·문항검토",IF(I31&gt;=0.9,"매우 쉬움",IF(I31&lt;=0.15,"매우 어려움",IF(AND(M31&lt;&gt;"",M31&lt;0.2),"변별력 낮음","양호")))))</f>
        <v/>
      </c>
      <c r="O31" s="44" t="str">
        <f aca="false">IF(G31=0,"",COUNTIF(공수2!$E$7:$E$86,1))</f>
        <v/>
      </c>
      <c r="P31" s="44" t="str">
        <f aca="false">IF(G31=0,"",COUNTIF(공수2!$E$7:$E$86,2))</f>
        <v/>
      </c>
      <c r="Q31" s="44" t="str">
        <f aca="false">IF(G31=0,"",COUNTIF(공수2!$E$7:$E$86,3))</f>
        <v/>
      </c>
      <c r="R31" s="44" t="str">
        <f aca="false">IF(G31=0,"",COUNTIF(공수2!$E$7:$E$86,4))</f>
        <v/>
      </c>
      <c r="S31" s="44" t="str">
        <f aca="false">IF(G31=0,"",COUNTIF(공수2!$E$7:$E$86,5))</f>
        <v/>
      </c>
    </row>
    <row r="32" customFormat="false" ht="15" hidden="false" customHeight="false" outlineLevel="0" collapsed="false">
      <c r="A32" s="7" t="n">
        <v>3</v>
      </c>
      <c r="B32" s="38" t="s">
        <v>135</v>
      </c>
      <c r="C32" s="39" t="str">
        <f aca="false">공수2!F4</f>
        <v>도형의 방정식</v>
      </c>
      <c r="D32" s="10" t="str">
        <f aca="false">공수2!F5</f>
        <v>하</v>
      </c>
      <c r="E32" s="10" t="n">
        <f aca="false">공수2!F3</f>
        <v>5</v>
      </c>
      <c r="F32" s="40" t="str">
        <f aca="false">IF(공수2!$F$2="","",공수2!$F$2)</f>
        <v/>
      </c>
      <c r="G32" s="10" t="n">
        <f aca="false">COUNT(공수2!$Y$7:$Y$86)</f>
        <v>0</v>
      </c>
      <c r="H32" s="10" t="str">
        <f aca="false">IF(F32="","",SUMPRODUCT((공수2!$F$7:$F$86=공수2!$F$2)*(공수2!$F$7:$F$86&lt;&gt;"")))</f>
        <v/>
      </c>
      <c r="I32" s="41" t="str">
        <f aca="false">IF(OR(F32="",G32=0),"",H32/G32)</f>
        <v/>
      </c>
      <c r="J32" s="42" t="str">
        <f aca="false">IF(F32="","",IFERROR(SUMPRODUCT((공수2!$F$7:$F$86=공수2!$F$2)*(공수2!$F$7:$F$86&lt;&gt;"")*(반배정!$I$7:$I$86=설정!$B$6))/COUNTIFS(반배정!$I$7:$I$86,설정!$B$6,공수2!$Y$7:$Y$86,"&gt;=0"),""))</f>
        <v/>
      </c>
      <c r="K32" s="42" t="str">
        <f aca="false">IF(F32="","",IFERROR(SUMPRODUCT((공수2!$F$7:$F$86=공수2!$F$2)*(공수2!$F$7:$F$86&lt;&gt;"")*(반배정!$I$7:$I$86=설정!$B$7))/COUNTIFS(반배정!$I$7:$I$86,설정!$B$7,공수2!$Y$7:$Y$86,"&gt;=0"),""))</f>
        <v/>
      </c>
      <c r="L32" s="42" t="str">
        <f aca="false">IF(F32="","",IFERROR(SUMPRODUCT((공수2!$F$7:$F$86=공수2!$F$2)*(공수2!$F$7:$F$86&lt;&gt;"")*(반배정!$I$7:$I$86=설정!$B$8))/COUNTIFS(반배정!$I$7:$I$86,설정!$B$8,공수2!$Y$7:$Y$86,"&gt;=0"),""))</f>
        <v/>
      </c>
      <c r="M32" s="43" t="str">
        <f aca="false">IF(OR(J32="",L32=""),"",J32-L32)</f>
        <v/>
      </c>
      <c r="N32" s="44" t="str">
        <f aca="false">IF(I32="","",IF(AND(M32&lt;&gt;"",M32&lt;0),"역변별·문항검토",IF(I32&gt;=0.9,"매우 쉬움",IF(I32&lt;=0.15,"매우 어려움",IF(AND(M32&lt;&gt;"",M32&lt;0.2),"변별력 낮음","양호")))))</f>
        <v/>
      </c>
      <c r="O32" s="44" t="str">
        <f aca="false">IF(G32=0,"",COUNTIF(공수2!$F$7:$F$86,1))</f>
        <v/>
      </c>
      <c r="P32" s="44" t="str">
        <f aca="false">IF(G32=0,"",COUNTIF(공수2!$F$7:$F$86,2))</f>
        <v/>
      </c>
      <c r="Q32" s="44" t="str">
        <f aca="false">IF(G32=0,"",COUNTIF(공수2!$F$7:$F$86,3))</f>
        <v/>
      </c>
      <c r="R32" s="44" t="str">
        <f aca="false">IF(G32=0,"",COUNTIF(공수2!$F$7:$F$86,4))</f>
        <v/>
      </c>
      <c r="S32" s="44" t="str">
        <f aca="false">IF(G32=0,"",COUNTIF(공수2!$F$7:$F$86,5))</f>
        <v/>
      </c>
    </row>
    <row r="33" customFormat="false" ht="15" hidden="false" customHeight="false" outlineLevel="0" collapsed="false">
      <c r="A33" s="7" t="n">
        <v>4</v>
      </c>
      <c r="B33" s="38" t="s">
        <v>135</v>
      </c>
      <c r="C33" s="39" t="str">
        <f aca="false">공수2!G4</f>
        <v>도형의 방정식</v>
      </c>
      <c r="D33" s="10" t="str">
        <f aca="false">공수2!G5</f>
        <v>하</v>
      </c>
      <c r="E33" s="10" t="n">
        <f aca="false">공수2!G3</f>
        <v>5</v>
      </c>
      <c r="F33" s="40" t="str">
        <f aca="false">IF(공수2!$G$2="","",공수2!$G$2)</f>
        <v/>
      </c>
      <c r="G33" s="10" t="n">
        <f aca="false">COUNT(공수2!$Y$7:$Y$86)</f>
        <v>0</v>
      </c>
      <c r="H33" s="10" t="str">
        <f aca="false">IF(F33="","",SUMPRODUCT((공수2!$G$7:$G$86=공수2!$G$2)*(공수2!$G$7:$G$86&lt;&gt;"")))</f>
        <v/>
      </c>
      <c r="I33" s="41" t="str">
        <f aca="false">IF(OR(F33="",G33=0),"",H33/G33)</f>
        <v/>
      </c>
      <c r="J33" s="42" t="str">
        <f aca="false">IF(F33="","",IFERROR(SUMPRODUCT((공수2!$G$7:$G$86=공수2!$G$2)*(공수2!$G$7:$G$86&lt;&gt;"")*(반배정!$I$7:$I$86=설정!$B$6))/COUNTIFS(반배정!$I$7:$I$86,설정!$B$6,공수2!$Y$7:$Y$86,"&gt;=0"),""))</f>
        <v/>
      </c>
      <c r="K33" s="42" t="str">
        <f aca="false">IF(F33="","",IFERROR(SUMPRODUCT((공수2!$G$7:$G$86=공수2!$G$2)*(공수2!$G$7:$G$86&lt;&gt;"")*(반배정!$I$7:$I$86=설정!$B$7))/COUNTIFS(반배정!$I$7:$I$86,설정!$B$7,공수2!$Y$7:$Y$86,"&gt;=0"),""))</f>
        <v/>
      </c>
      <c r="L33" s="42" t="str">
        <f aca="false">IF(F33="","",IFERROR(SUMPRODUCT((공수2!$G$7:$G$86=공수2!$G$2)*(공수2!$G$7:$G$86&lt;&gt;"")*(반배정!$I$7:$I$86=설정!$B$8))/COUNTIFS(반배정!$I$7:$I$86,설정!$B$8,공수2!$Y$7:$Y$86,"&gt;=0"),""))</f>
        <v/>
      </c>
      <c r="M33" s="43" t="str">
        <f aca="false">IF(OR(J33="",L33=""),"",J33-L33)</f>
        <v/>
      </c>
      <c r="N33" s="44" t="str">
        <f aca="false">IF(I33="","",IF(AND(M33&lt;&gt;"",M33&lt;0),"역변별·문항검토",IF(I33&gt;=0.9,"매우 쉬움",IF(I33&lt;=0.15,"매우 어려움",IF(AND(M33&lt;&gt;"",M33&lt;0.2),"변별력 낮음","양호")))))</f>
        <v/>
      </c>
      <c r="O33" s="44" t="str">
        <f aca="false">IF(G33=0,"",COUNTIF(공수2!$G$7:$G$86,1))</f>
        <v/>
      </c>
      <c r="P33" s="44" t="str">
        <f aca="false">IF(G33=0,"",COUNTIF(공수2!$G$7:$G$86,2))</f>
        <v/>
      </c>
      <c r="Q33" s="44" t="str">
        <f aca="false">IF(G33=0,"",COUNTIF(공수2!$G$7:$G$86,3))</f>
        <v/>
      </c>
      <c r="R33" s="44" t="str">
        <f aca="false">IF(G33=0,"",COUNTIF(공수2!$G$7:$G$86,4))</f>
        <v/>
      </c>
      <c r="S33" s="44" t="str">
        <f aca="false">IF(G33=0,"",COUNTIF(공수2!$G$7:$G$86,5))</f>
        <v/>
      </c>
    </row>
    <row r="34" customFormat="false" ht="15" hidden="false" customHeight="false" outlineLevel="0" collapsed="false">
      <c r="A34" s="7" t="n">
        <v>5</v>
      </c>
      <c r="B34" s="38" t="s">
        <v>135</v>
      </c>
      <c r="C34" s="39" t="str">
        <f aca="false">공수2!H4</f>
        <v>도형의 방정식</v>
      </c>
      <c r="D34" s="10" t="str">
        <f aca="false">공수2!H5</f>
        <v>하</v>
      </c>
      <c r="E34" s="10" t="n">
        <f aca="false">공수2!H3</f>
        <v>5</v>
      </c>
      <c r="F34" s="40" t="str">
        <f aca="false">IF(공수2!$H$2="","",공수2!$H$2)</f>
        <v/>
      </c>
      <c r="G34" s="10" t="n">
        <f aca="false">COUNT(공수2!$Y$7:$Y$86)</f>
        <v>0</v>
      </c>
      <c r="H34" s="10" t="str">
        <f aca="false">IF(F34="","",SUMPRODUCT((공수2!$H$7:$H$86=공수2!$H$2)*(공수2!$H$7:$H$86&lt;&gt;"")))</f>
        <v/>
      </c>
      <c r="I34" s="41" t="str">
        <f aca="false">IF(OR(F34="",G34=0),"",H34/G34)</f>
        <v/>
      </c>
      <c r="J34" s="42" t="str">
        <f aca="false">IF(F34="","",IFERROR(SUMPRODUCT((공수2!$H$7:$H$86=공수2!$H$2)*(공수2!$H$7:$H$86&lt;&gt;"")*(반배정!$I$7:$I$86=설정!$B$6))/COUNTIFS(반배정!$I$7:$I$86,설정!$B$6,공수2!$Y$7:$Y$86,"&gt;=0"),""))</f>
        <v/>
      </c>
      <c r="K34" s="42" t="str">
        <f aca="false">IF(F34="","",IFERROR(SUMPRODUCT((공수2!$H$7:$H$86=공수2!$H$2)*(공수2!$H$7:$H$86&lt;&gt;"")*(반배정!$I$7:$I$86=설정!$B$7))/COUNTIFS(반배정!$I$7:$I$86,설정!$B$7,공수2!$Y$7:$Y$86,"&gt;=0"),""))</f>
        <v/>
      </c>
      <c r="L34" s="42" t="str">
        <f aca="false">IF(F34="","",IFERROR(SUMPRODUCT((공수2!$H$7:$H$86=공수2!$H$2)*(공수2!$H$7:$H$86&lt;&gt;"")*(반배정!$I$7:$I$86=설정!$B$8))/COUNTIFS(반배정!$I$7:$I$86,설정!$B$8,공수2!$Y$7:$Y$86,"&gt;=0"),""))</f>
        <v/>
      </c>
      <c r="M34" s="43" t="str">
        <f aca="false">IF(OR(J34="",L34=""),"",J34-L34)</f>
        <v/>
      </c>
      <c r="N34" s="44" t="str">
        <f aca="false">IF(I34="","",IF(AND(M34&lt;&gt;"",M34&lt;0),"역변별·문항검토",IF(I34&gt;=0.9,"매우 쉬움",IF(I34&lt;=0.15,"매우 어려움",IF(AND(M34&lt;&gt;"",M34&lt;0.2),"변별력 낮음","양호")))))</f>
        <v/>
      </c>
      <c r="O34" s="44" t="str">
        <f aca="false">IF(G34=0,"",COUNTIF(공수2!$H$7:$H$86,1))</f>
        <v/>
      </c>
      <c r="P34" s="44" t="str">
        <f aca="false">IF(G34=0,"",COUNTIF(공수2!$H$7:$H$86,2))</f>
        <v/>
      </c>
      <c r="Q34" s="44" t="str">
        <f aca="false">IF(G34=0,"",COUNTIF(공수2!$H$7:$H$86,3))</f>
        <v/>
      </c>
      <c r="R34" s="44" t="str">
        <f aca="false">IF(G34=0,"",COUNTIF(공수2!$H$7:$H$86,4))</f>
        <v/>
      </c>
      <c r="S34" s="44" t="str">
        <f aca="false">IF(G34=0,"",COUNTIF(공수2!$H$7:$H$86,5))</f>
        <v/>
      </c>
    </row>
    <row r="35" customFormat="false" ht="15" hidden="false" customHeight="false" outlineLevel="0" collapsed="false">
      <c r="A35" s="7" t="n">
        <v>6</v>
      </c>
      <c r="B35" s="38" t="s">
        <v>135</v>
      </c>
      <c r="C35" s="39" t="str">
        <f aca="false">공수2!I4</f>
        <v>도형의 방정식</v>
      </c>
      <c r="D35" s="10" t="str">
        <f aca="false">공수2!I5</f>
        <v>중</v>
      </c>
      <c r="E35" s="10" t="n">
        <f aca="false">공수2!I3</f>
        <v>5</v>
      </c>
      <c r="F35" s="40" t="str">
        <f aca="false">IF(공수2!$I$2="","",공수2!$I$2)</f>
        <v/>
      </c>
      <c r="G35" s="10" t="n">
        <f aca="false">COUNT(공수2!$Y$7:$Y$86)</f>
        <v>0</v>
      </c>
      <c r="H35" s="10" t="str">
        <f aca="false">IF(F35="","",SUMPRODUCT((공수2!$I$7:$I$86=공수2!$I$2)*(공수2!$I$7:$I$86&lt;&gt;"")))</f>
        <v/>
      </c>
      <c r="I35" s="41" t="str">
        <f aca="false">IF(OR(F35="",G35=0),"",H35/G35)</f>
        <v/>
      </c>
      <c r="J35" s="42" t="str">
        <f aca="false">IF(F35="","",IFERROR(SUMPRODUCT((공수2!$I$7:$I$86=공수2!$I$2)*(공수2!$I$7:$I$86&lt;&gt;"")*(반배정!$I$7:$I$86=설정!$B$6))/COUNTIFS(반배정!$I$7:$I$86,설정!$B$6,공수2!$Y$7:$Y$86,"&gt;=0"),""))</f>
        <v/>
      </c>
      <c r="K35" s="42" t="str">
        <f aca="false">IF(F35="","",IFERROR(SUMPRODUCT((공수2!$I$7:$I$86=공수2!$I$2)*(공수2!$I$7:$I$86&lt;&gt;"")*(반배정!$I$7:$I$86=설정!$B$7))/COUNTIFS(반배정!$I$7:$I$86,설정!$B$7,공수2!$Y$7:$Y$86,"&gt;=0"),""))</f>
        <v/>
      </c>
      <c r="L35" s="42" t="str">
        <f aca="false">IF(F35="","",IFERROR(SUMPRODUCT((공수2!$I$7:$I$86=공수2!$I$2)*(공수2!$I$7:$I$86&lt;&gt;"")*(반배정!$I$7:$I$86=설정!$B$8))/COUNTIFS(반배정!$I$7:$I$86,설정!$B$8,공수2!$Y$7:$Y$86,"&gt;=0"),""))</f>
        <v/>
      </c>
      <c r="M35" s="43" t="str">
        <f aca="false">IF(OR(J35="",L35=""),"",J35-L35)</f>
        <v/>
      </c>
      <c r="N35" s="44" t="str">
        <f aca="false">IF(I35="","",IF(AND(M35&lt;&gt;"",M35&lt;0),"역변별·문항검토",IF(I35&gt;=0.9,"매우 쉬움",IF(I35&lt;=0.15,"매우 어려움",IF(AND(M35&lt;&gt;"",M35&lt;0.2),"변별력 낮음","양호")))))</f>
        <v/>
      </c>
      <c r="O35" s="44" t="str">
        <f aca="false">IF(G35=0,"",COUNTIF(공수2!$I$7:$I$86,1))</f>
        <v/>
      </c>
      <c r="P35" s="44" t="str">
        <f aca="false">IF(G35=0,"",COUNTIF(공수2!$I$7:$I$86,2))</f>
        <v/>
      </c>
      <c r="Q35" s="44" t="str">
        <f aca="false">IF(G35=0,"",COUNTIF(공수2!$I$7:$I$86,3))</f>
        <v/>
      </c>
      <c r="R35" s="44" t="str">
        <f aca="false">IF(G35=0,"",COUNTIF(공수2!$I$7:$I$86,4))</f>
        <v/>
      </c>
      <c r="S35" s="44" t="str">
        <f aca="false">IF(G35=0,"",COUNTIF(공수2!$I$7:$I$86,5))</f>
        <v/>
      </c>
    </row>
    <row r="36" customFormat="false" ht="15" hidden="false" customHeight="false" outlineLevel="0" collapsed="false">
      <c r="A36" s="7" t="n">
        <v>7</v>
      </c>
      <c r="B36" s="38" t="s">
        <v>135</v>
      </c>
      <c r="C36" s="39" t="str">
        <f aca="false">공수2!J4</f>
        <v>도형의 방정식</v>
      </c>
      <c r="D36" s="10" t="str">
        <f aca="false">공수2!J5</f>
        <v>중</v>
      </c>
      <c r="E36" s="10" t="n">
        <f aca="false">공수2!J3</f>
        <v>5</v>
      </c>
      <c r="F36" s="40" t="str">
        <f aca="false">IF(공수2!$J$2="","",공수2!$J$2)</f>
        <v/>
      </c>
      <c r="G36" s="10" t="n">
        <f aca="false">COUNT(공수2!$Y$7:$Y$86)</f>
        <v>0</v>
      </c>
      <c r="H36" s="10" t="str">
        <f aca="false">IF(F36="","",SUMPRODUCT((공수2!$J$7:$J$86=공수2!$J$2)*(공수2!$J$7:$J$86&lt;&gt;"")))</f>
        <v/>
      </c>
      <c r="I36" s="41" t="str">
        <f aca="false">IF(OR(F36="",G36=0),"",H36/G36)</f>
        <v/>
      </c>
      <c r="J36" s="42" t="str">
        <f aca="false">IF(F36="","",IFERROR(SUMPRODUCT((공수2!$J$7:$J$86=공수2!$J$2)*(공수2!$J$7:$J$86&lt;&gt;"")*(반배정!$I$7:$I$86=설정!$B$6))/COUNTIFS(반배정!$I$7:$I$86,설정!$B$6,공수2!$Y$7:$Y$86,"&gt;=0"),""))</f>
        <v/>
      </c>
      <c r="K36" s="42" t="str">
        <f aca="false">IF(F36="","",IFERROR(SUMPRODUCT((공수2!$J$7:$J$86=공수2!$J$2)*(공수2!$J$7:$J$86&lt;&gt;"")*(반배정!$I$7:$I$86=설정!$B$7))/COUNTIFS(반배정!$I$7:$I$86,설정!$B$7,공수2!$Y$7:$Y$86,"&gt;=0"),""))</f>
        <v/>
      </c>
      <c r="L36" s="42" t="str">
        <f aca="false">IF(F36="","",IFERROR(SUMPRODUCT((공수2!$J$7:$J$86=공수2!$J$2)*(공수2!$J$7:$J$86&lt;&gt;"")*(반배정!$I$7:$I$86=설정!$B$8))/COUNTIFS(반배정!$I$7:$I$86,설정!$B$8,공수2!$Y$7:$Y$86,"&gt;=0"),""))</f>
        <v/>
      </c>
      <c r="M36" s="43" t="str">
        <f aca="false">IF(OR(J36="",L36=""),"",J36-L36)</f>
        <v/>
      </c>
      <c r="N36" s="44" t="str">
        <f aca="false">IF(I36="","",IF(AND(M36&lt;&gt;"",M36&lt;0),"역변별·문항검토",IF(I36&gt;=0.9,"매우 쉬움",IF(I36&lt;=0.15,"매우 어려움",IF(AND(M36&lt;&gt;"",M36&lt;0.2),"변별력 낮음","양호")))))</f>
        <v/>
      </c>
      <c r="O36" s="44" t="str">
        <f aca="false">IF(G36=0,"",COUNTIF(공수2!$J$7:$J$86,1))</f>
        <v/>
      </c>
      <c r="P36" s="44" t="str">
        <f aca="false">IF(G36=0,"",COUNTIF(공수2!$J$7:$J$86,2))</f>
        <v/>
      </c>
      <c r="Q36" s="44" t="str">
        <f aca="false">IF(G36=0,"",COUNTIF(공수2!$J$7:$J$86,3))</f>
        <v/>
      </c>
      <c r="R36" s="44" t="str">
        <f aca="false">IF(G36=0,"",COUNTIF(공수2!$J$7:$J$86,4))</f>
        <v/>
      </c>
      <c r="S36" s="44" t="str">
        <f aca="false">IF(G36=0,"",COUNTIF(공수2!$J$7:$J$86,5))</f>
        <v/>
      </c>
    </row>
    <row r="37" customFormat="false" ht="15" hidden="false" customHeight="false" outlineLevel="0" collapsed="false">
      <c r="A37" s="7" t="n">
        <v>8</v>
      </c>
      <c r="B37" s="38" t="s">
        <v>135</v>
      </c>
      <c r="C37" s="39" t="str">
        <f aca="false">공수2!K4</f>
        <v>도형의 방정식</v>
      </c>
      <c r="D37" s="10" t="str">
        <f aca="false">공수2!K5</f>
        <v>중</v>
      </c>
      <c r="E37" s="10" t="n">
        <f aca="false">공수2!K3</f>
        <v>5</v>
      </c>
      <c r="F37" s="40" t="str">
        <f aca="false">IF(공수2!$K$2="","",공수2!$K$2)</f>
        <v/>
      </c>
      <c r="G37" s="10" t="n">
        <f aca="false">COUNT(공수2!$Y$7:$Y$86)</f>
        <v>0</v>
      </c>
      <c r="H37" s="10" t="str">
        <f aca="false">IF(F37="","",SUMPRODUCT((공수2!$K$7:$K$86=공수2!$K$2)*(공수2!$K$7:$K$86&lt;&gt;"")))</f>
        <v/>
      </c>
      <c r="I37" s="41" t="str">
        <f aca="false">IF(OR(F37="",G37=0),"",H37/G37)</f>
        <v/>
      </c>
      <c r="J37" s="42" t="str">
        <f aca="false">IF(F37="","",IFERROR(SUMPRODUCT((공수2!$K$7:$K$86=공수2!$K$2)*(공수2!$K$7:$K$86&lt;&gt;"")*(반배정!$I$7:$I$86=설정!$B$6))/COUNTIFS(반배정!$I$7:$I$86,설정!$B$6,공수2!$Y$7:$Y$86,"&gt;=0"),""))</f>
        <v/>
      </c>
      <c r="K37" s="42" t="str">
        <f aca="false">IF(F37="","",IFERROR(SUMPRODUCT((공수2!$K$7:$K$86=공수2!$K$2)*(공수2!$K$7:$K$86&lt;&gt;"")*(반배정!$I$7:$I$86=설정!$B$7))/COUNTIFS(반배정!$I$7:$I$86,설정!$B$7,공수2!$Y$7:$Y$86,"&gt;=0"),""))</f>
        <v/>
      </c>
      <c r="L37" s="42" t="str">
        <f aca="false">IF(F37="","",IFERROR(SUMPRODUCT((공수2!$K$7:$K$86=공수2!$K$2)*(공수2!$K$7:$K$86&lt;&gt;"")*(반배정!$I$7:$I$86=설정!$B$8))/COUNTIFS(반배정!$I$7:$I$86,설정!$B$8,공수2!$Y$7:$Y$86,"&gt;=0"),""))</f>
        <v/>
      </c>
      <c r="M37" s="43" t="str">
        <f aca="false">IF(OR(J37="",L37=""),"",J37-L37)</f>
        <v/>
      </c>
      <c r="N37" s="44" t="str">
        <f aca="false">IF(I37="","",IF(AND(M37&lt;&gt;"",M37&lt;0),"역변별·문항검토",IF(I37&gt;=0.9,"매우 쉬움",IF(I37&lt;=0.15,"매우 어려움",IF(AND(M37&lt;&gt;"",M37&lt;0.2),"변별력 낮음","양호")))))</f>
        <v/>
      </c>
      <c r="O37" s="44" t="str">
        <f aca="false">IF(G37=0,"",COUNTIF(공수2!$K$7:$K$86,1))</f>
        <v/>
      </c>
      <c r="P37" s="44" t="str">
        <f aca="false">IF(G37=0,"",COUNTIF(공수2!$K$7:$K$86,2))</f>
        <v/>
      </c>
      <c r="Q37" s="44" t="str">
        <f aca="false">IF(G37=0,"",COUNTIF(공수2!$K$7:$K$86,3))</f>
        <v/>
      </c>
      <c r="R37" s="44" t="str">
        <f aca="false">IF(G37=0,"",COUNTIF(공수2!$K$7:$K$86,4))</f>
        <v/>
      </c>
      <c r="S37" s="44" t="str">
        <f aca="false">IF(G37=0,"",COUNTIF(공수2!$K$7:$K$86,5))</f>
        <v/>
      </c>
    </row>
    <row r="38" customFormat="false" ht="15" hidden="false" customHeight="false" outlineLevel="0" collapsed="false">
      <c r="A38" s="7" t="n">
        <v>9</v>
      </c>
      <c r="B38" s="38" t="s">
        <v>135</v>
      </c>
      <c r="C38" s="39" t="str">
        <f aca="false">공수2!L4</f>
        <v>집합과 명제</v>
      </c>
      <c r="D38" s="10" t="str">
        <f aca="false">공수2!L5</f>
        <v>중</v>
      </c>
      <c r="E38" s="10" t="n">
        <f aca="false">공수2!L3</f>
        <v>5</v>
      </c>
      <c r="F38" s="40" t="str">
        <f aca="false">IF(공수2!$L$2="","",공수2!$L$2)</f>
        <v/>
      </c>
      <c r="G38" s="10" t="n">
        <f aca="false">COUNT(공수2!$Y$7:$Y$86)</f>
        <v>0</v>
      </c>
      <c r="H38" s="10" t="str">
        <f aca="false">IF(F38="","",SUMPRODUCT((공수2!$L$7:$L$86=공수2!$L$2)*(공수2!$L$7:$L$86&lt;&gt;"")))</f>
        <v/>
      </c>
      <c r="I38" s="41" t="str">
        <f aca="false">IF(OR(F38="",G38=0),"",H38/G38)</f>
        <v/>
      </c>
      <c r="J38" s="42" t="str">
        <f aca="false">IF(F38="","",IFERROR(SUMPRODUCT((공수2!$L$7:$L$86=공수2!$L$2)*(공수2!$L$7:$L$86&lt;&gt;"")*(반배정!$I$7:$I$86=설정!$B$6))/COUNTIFS(반배정!$I$7:$I$86,설정!$B$6,공수2!$Y$7:$Y$86,"&gt;=0"),""))</f>
        <v/>
      </c>
      <c r="K38" s="42" t="str">
        <f aca="false">IF(F38="","",IFERROR(SUMPRODUCT((공수2!$L$7:$L$86=공수2!$L$2)*(공수2!$L$7:$L$86&lt;&gt;"")*(반배정!$I$7:$I$86=설정!$B$7))/COUNTIFS(반배정!$I$7:$I$86,설정!$B$7,공수2!$Y$7:$Y$86,"&gt;=0"),""))</f>
        <v/>
      </c>
      <c r="L38" s="42" t="str">
        <f aca="false">IF(F38="","",IFERROR(SUMPRODUCT((공수2!$L$7:$L$86=공수2!$L$2)*(공수2!$L$7:$L$86&lt;&gt;"")*(반배정!$I$7:$I$86=설정!$B$8))/COUNTIFS(반배정!$I$7:$I$86,설정!$B$8,공수2!$Y$7:$Y$86,"&gt;=0"),""))</f>
        <v/>
      </c>
      <c r="M38" s="43" t="str">
        <f aca="false">IF(OR(J38="",L38=""),"",J38-L38)</f>
        <v/>
      </c>
      <c r="N38" s="44" t="str">
        <f aca="false">IF(I38="","",IF(AND(M38&lt;&gt;"",M38&lt;0),"역변별·문항검토",IF(I38&gt;=0.9,"매우 쉬움",IF(I38&lt;=0.15,"매우 어려움",IF(AND(M38&lt;&gt;"",M38&lt;0.2),"변별력 낮음","양호")))))</f>
        <v/>
      </c>
      <c r="O38" s="44" t="str">
        <f aca="false">IF(G38=0,"",COUNTIF(공수2!$L$7:$L$86,1))</f>
        <v/>
      </c>
      <c r="P38" s="44" t="str">
        <f aca="false">IF(G38=0,"",COUNTIF(공수2!$L$7:$L$86,2))</f>
        <v/>
      </c>
      <c r="Q38" s="44" t="str">
        <f aca="false">IF(G38=0,"",COUNTIF(공수2!$L$7:$L$86,3))</f>
        <v/>
      </c>
      <c r="R38" s="44" t="str">
        <f aca="false">IF(G38=0,"",COUNTIF(공수2!$L$7:$L$86,4))</f>
        <v/>
      </c>
      <c r="S38" s="44" t="str">
        <f aca="false">IF(G38=0,"",COUNTIF(공수2!$L$7:$L$86,5))</f>
        <v/>
      </c>
    </row>
    <row r="39" customFormat="false" ht="15" hidden="false" customHeight="false" outlineLevel="0" collapsed="false">
      <c r="A39" s="7" t="n">
        <v>10</v>
      </c>
      <c r="B39" s="38" t="s">
        <v>135</v>
      </c>
      <c r="C39" s="39" t="str">
        <f aca="false">공수2!M4</f>
        <v>집합과 명제</v>
      </c>
      <c r="D39" s="10" t="str">
        <f aca="false">공수2!M5</f>
        <v>중</v>
      </c>
      <c r="E39" s="10" t="n">
        <f aca="false">공수2!M3</f>
        <v>5</v>
      </c>
      <c r="F39" s="40" t="str">
        <f aca="false">IF(공수2!$M$2="","",공수2!$M$2)</f>
        <v/>
      </c>
      <c r="G39" s="10" t="n">
        <f aca="false">COUNT(공수2!$Y$7:$Y$86)</f>
        <v>0</v>
      </c>
      <c r="H39" s="10" t="str">
        <f aca="false">IF(F39="","",SUMPRODUCT((공수2!$M$7:$M$86=공수2!$M$2)*(공수2!$M$7:$M$86&lt;&gt;"")))</f>
        <v/>
      </c>
      <c r="I39" s="41" t="str">
        <f aca="false">IF(OR(F39="",G39=0),"",H39/G39)</f>
        <v/>
      </c>
      <c r="J39" s="42" t="str">
        <f aca="false">IF(F39="","",IFERROR(SUMPRODUCT((공수2!$M$7:$M$86=공수2!$M$2)*(공수2!$M$7:$M$86&lt;&gt;"")*(반배정!$I$7:$I$86=설정!$B$6))/COUNTIFS(반배정!$I$7:$I$86,설정!$B$6,공수2!$Y$7:$Y$86,"&gt;=0"),""))</f>
        <v/>
      </c>
      <c r="K39" s="42" t="str">
        <f aca="false">IF(F39="","",IFERROR(SUMPRODUCT((공수2!$M$7:$M$86=공수2!$M$2)*(공수2!$M$7:$M$86&lt;&gt;"")*(반배정!$I$7:$I$86=설정!$B$7))/COUNTIFS(반배정!$I$7:$I$86,설정!$B$7,공수2!$Y$7:$Y$86,"&gt;=0"),""))</f>
        <v/>
      </c>
      <c r="L39" s="42" t="str">
        <f aca="false">IF(F39="","",IFERROR(SUMPRODUCT((공수2!$M$7:$M$86=공수2!$M$2)*(공수2!$M$7:$M$86&lt;&gt;"")*(반배정!$I$7:$I$86=설정!$B$8))/COUNTIFS(반배정!$I$7:$I$86,설정!$B$8,공수2!$Y$7:$Y$86,"&gt;=0"),""))</f>
        <v/>
      </c>
      <c r="M39" s="43" t="str">
        <f aca="false">IF(OR(J39="",L39=""),"",J39-L39)</f>
        <v/>
      </c>
      <c r="N39" s="44" t="str">
        <f aca="false">IF(I39="","",IF(AND(M39&lt;&gt;"",M39&lt;0),"역변별·문항검토",IF(I39&gt;=0.9,"매우 쉬움",IF(I39&lt;=0.15,"매우 어려움",IF(AND(M39&lt;&gt;"",M39&lt;0.2),"변별력 낮음","양호")))))</f>
        <v/>
      </c>
      <c r="O39" s="44" t="str">
        <f aca="false">IF(G39=0,"",COUNTIF(공수2!$M$7:$M$86,1))</f>
        <v/>
      </c>
      <c r="P39" s="44" t="str">
        <f aca="false">IF(G39=0,"",COUNTIF(공수2!$M$7:$M$86,2))</f>
        <v/>
      </c>
      <c r="Q39" s="44" t="str">
        <f aca="false">IF(G39=0,"",COUNTIF(공수2!$M$7:$M$86,3))</f>
        <v/>
      </c>
      <c r="R39" s="44" t="str">
        <f aca="false">IF(G39=0,"",COUNTIF(공수2!$M$7:$M$86,4))</f>
        <v/>
      </c>
      <c r="S39" s="44" t="str">
        <f aca="false">IF(G39=0,"",COUNTIF(공수2!$M$7:$M$86,5))</f>
        <v/>
      </c>
    </row>
    <row r="40" customFormat="false" ht="15" hidden="false" customHeight="false" outlineLevel="0" collapsed="false">
      <c r="A40" s="7" t="n">
        <v>11</v>
      </c>
      <c r="B40" s="38" t="s">
        <v>135</v>
      </c>
      <c r="C40" s="39" t="str">
        <f aca="false">공수2!N4</f>
        <v>집합과 명제</v>
      </c>
      <c r="D40" s="10" t="str">
        <f aca="false">공수2!N5</f>
        <v>중</v>
      </c>
      <c r="E40" s="10" t="n">
        <f aca="false">공수2!N3</f>
        <v>5</v>
      </c>
      <c r="F40" s="40" t="str">
        <f aca="false">IF(공수2!$N$2="","",공수2!$N$2)</f>
        <v/>
      </c>
      <c r="G40" s="10" t="n">
        <f aca="false">COUNT(공수2!$Y$7:$Y$86)</f>
        <v>0</v>
      </c>
      <c r="H40" s="10" t="str">
        <f aca="false">IF(F40="","",SUMPRODUCT((공수2!$N$7:$N$86=공수2!$N$2)*(공수2!$N$7:$N$86&lt;&gt;"")))</f>
        <v/>
      </c>
      <c r="I40" s="41" t="str">
        <f aca="false">IF(OR(F40="",G40=0),"",H40/G40)</f>
        <v/>
      </c>
      <c r="J40" s="42" t="str">
        <f aca="false">IF(F40="","",IFERROR(SUMPRODUCT((공수2!$N$7:$N$86=공수2!$N$2)*(공수2!$N$7:$N$86&lt;&gt;"")*(반배정!$I$7:$I$86=설정!$B$6))/COUNTIFS(반배정!$I$7:$I$86,설정!$B$6,공수2!$Y$7:$Y$86,"&gt;=0"),""))</f>
        <v/>
      </c>
      <c r="K40" s="42" t="str">
        <f aca="false">IF(F40="","",IFERROR(SUMPRODUCT((공수2!$N$7:$N$86=공수2!$N$2)*(공수2!$N$7:$N$86&lt;&gt;"")*(반배정!$I$7:$I$86=설정!$B$7))/COUNTIFS(반배정!$I$7:$I$86,설정!$B$7,공수2!$Y$7:$Y$86,"&gt;=0"),""))</f>
        <v/>
      </c>
      <c r="L40" s="42" t="str">
        <f aca="false">IF(F40="","",IFERROR(SUMPRODUCT((공수2!$N$7:$N$86=공수2!$N$2)*(공수2!$N$7:$N$86&lt;&gt;"")*(반배정!$I$7:$I$86=설정!$B$8))/COUNTIFS(반배정!$I$7:$I$86,설정!$B$8,공수2!$Y$7:$Y$86,"&gt;=0"),""))</f>
        <v/>
      </c>
      <c r="M40" s="43" t="str">
        <f aca="false">IF(OR(J40="",L40=""),"",J40-L40)</f>
        <v/>
      </c>
      <c r="N40" s="44" t="str">
        <f aca="false">IF(I40="","",IF(AND(M40&lt;&gt;"",M40&lt;0),"역변별·문항검토",IF(I40&gt;=0.9,"매우 쉬움",IF(I40&lt;=0.15,"매우 어려움",IF(AND(M40&lt;&gt;"",M40&lt;0.2),"변별력 낮음","양호")))))</f>
        <v/>
      </c>
      <c r="O40" s="44" t="str">
        <f aca="false">IF(G40=0,"",COUNTIF(공수2!$N$7:$N$86,1))</f>
        <v/>
      </c>
      <c r="P40" s="44" t="str">
        <f aca="false">IF(G40=0,"",COUNTIF(공수2!$N$7:$N$86,2))</f>
        <v/>
      </c>
      <c r="Q40" s="44" t="str">
        <f aca="false">IF(G40=0,"",COUNTIF(공수2!$N$7:$N$86,3))</f>
        <v/>
      </c>
      <c r="R40" s="44" t="str">
        <f aca="false">IF(G40=0,"",COUNTIF(공수2!$N$7:$N$86,4))</f>
        <v/>
      </c>
      <c r="S40" s="44" t="str">
        <f aca="false">IF(G40=0,"",COUNTIF(공수2!$N$7:$N$86,5))</f>
        <v/>
      </c>
    </row>
    <row r="41" customFormat="false" ht="15" hidden="false" customHeight="false" outlineLevel="0" collapsed="false">
      <c r="A41" s="7" t="n">
        <v>12</v>
      </c>
      <c r="B41" s="38" t="s">
        <v>135</v>
      </c>
      <c r="C41" s="39" t="str">
        <f aca="false">공수2!O4</f>
        <v>집합과 명제</v>
      </c>
      <c r="D41" s="10" t="str">
        <f aca="false">공수2!O5</f>
        <v>상</v>
      </c>
      <c r="E41" s="10" t="n">
        <f aca="false">공수2!O3</f>
        <v>5</v>
      </c>
      <c r="F41" s="40" t="str">
        <f aca="false">IF(공수2!$O$2="","",공수2!$O$2)</f>
        <v/>
      </c>
      <c r="G41" s="10" t="n">
        <f aca="false">COUNT(공수2!$Y$7:$Y$86)</f>
        <v>0</v>
      </c>
      <c r="H41" s="10" t="str">
        <f aca="false">IF(F41="","",SUMPRODUCT((공수2!$O$7:$O$86=공수2!$O$2)*(공수2!$O$7:$O$86&lt;&gt;"")))</f>
        <v/>
      </c>
      <c r="I41" s="41" t="str">
        <f aca="false">IF(OR(F41="",G41=0),"",H41/G41)</f>
        <v/>
      </c>
      <c r="J41" s="42" t="str">
        <f aca="false">IF(F41="","",IFERROR(SUMPRODUCT((공수2!$O$7:$O$86=공수2!$O$2)*(공수2!$O$7:$O$86&lt;&gt;"")*(반배정!$I$7:$I$86=설정!$B$6))/COUNTIFS(반배정!$I$7:$I$86,설정!$B$6,공수2!$Y$7:$Y$86,"&gt;=0"),""))</f>
        <v/>
      </c>
      <c r="K41" s="42" t="str">
        <f aca="false">IF(F41="","",IFERROR(SUMPRODUCT((공수2!$O$7:$O$86=공수2!$O$2)*(공수2!$O$7:$O$86&lt;&gt;"")*(반배정!$I$7:$I$86=설정!$B$7))/COUNTIFS(반배정!$I$7:$I$86,설정!$B$7,공수2!$Y$7:$Y$86,"&gt;=0"),""))</f>
        <v/>
      </c>
      <c r="L41" s="42" t="str">
        <f aca="false">IF(F41="","",IFERROR(SUMPRODUCT((공수2!$O$7:$O$86=공수2!$O$2)*(공수2!$O$7:$O$86&lt;&gt;"")*(반배정!$I$7:$I$86=설정!$B$8))/COUNTIFS(반배정!$I$7:$I$86,설정!$B$8,공수2!$Y$7:$Y$86,"&gt;=0"),""))</f>
        <v/>
      </c>
      <c r="M41" s="43" t="str">
        <f aca="false">IF(OR(J41="",L41=""),"",J41-L41)</f>
        <v/>
      </c>
      <c r="N41" s="44" t="str">
        <f aca="false">IF(I41="","",IF(AND(M41&lt;&gt;"",M41&lt;0),"역변별·문항검토",IF(I41&gt;=0.9,"매우 쉬움",IF(I41&lt;=0.15,"매우 어려움",IF(AND(M41&lt;&gt;"",M41&lt;0.2),"변별력 낮음","양호")))))</f>
        <v/>
      </c>
      <c r="O41" s="44" t="str">
        <f aca="false">IF(G41=0,"",COUNTIF(공수2!$O$7:$O$86,1))</f>
        <v/>
      </c>
      <c r="P41" s="44" t="str">
        <f aca="false">IF(G41=0,"",COUNTIF(공수2!$O$7:$O$86,2))</f>
        <v/>
      </c>
      <c r="Q41" s="44" t="str">
        <f aca="false">IF(G41=0,"",COUNTIF(공수2!$O$7:$O$86,3))</f>
        <v/>
      </c>
      <c r="R41" s="44" t="str">
        <f aca="false">IF(G41=0,"",COUNTIF(공수2!$O$7:$O$86,4))</f>
        <v/>
      </c>
      <c r="S41" s="44" t="str">
        <f aca="false">IF(G41=0,"",COUNTIF(공수2!$O$7:$O$86,5))</f>
        <v/>
      </c>
    </row>
    <row r="42" customFormat="false" ht="15" hidden="false" customHeight="false" outlineLevel="0" collapsed="false">
      <c r="A42" s="7" t="n">
        <v>13</v>
      </c>
      <c r="B42" s="38" t="s">
        <v>135</v>
      </c>
      <c r="C42" s="39" t="str">
        <f aca="false">공수2!P4</f>
        <v>집합과 명제</v>
      </c>
      <c r="D42" s="10" t="str">
        <f aca="false">공수2!P5</f>
        <v>상</v>
      </c>
      <c r="E42" s="10" t="n">
        <f aca="false">공수2!P3</f>
        <v>5</v>
      </c>
      <c r="F42" s="40" t="str">
        <f aca="false">IF(공수2!$P$2="","",공수2!$P$2)</f>
        <v/>
      </c>
      <c r="G42" s="10" t="n">
        <f aca="false">COUNT(공수2!$Y$7:$Y$86)</f>
        <v>0</v>
      </c>
      <c r="H42" s="10" t="str">
        <f aca="false">IF(F42="","",SUMPRODUCT((공수2!$P$7:$P$86=공수2!$P$2)*(공수2!$P$7:$P$86&lt;&gt;"")))</f>
        <v/>
      </c>
      <c r="I42" s="41" t="str">
        <f aca="false">IF(OR(F42="",G42=0),"",H42/G42)</f>
        <v/>
      </c>
      <c r="J42" s="42" t="str">
        <f aca="false">IF(F42="","",IFERROR(SUMPRODUCT((공수2!$P$7:$P$86=공수2!$P$2)*(공수2!$P$7:$P$86&lt;&gt;"")*(반배정!$I$7:$I$86=설정!$B$6))/COUNTIFS(반배정!$I$7:$I$86,설정!$B$6,공수2!$Y$7:$Y$86,"&gt;=0"),""))</f>
        <v/>
      </c>
      <c r="K42" s="42" t="str">
        <f aca="false">IF(F42="","",IFERROR(SUMPRODUCT((공수2!$P$7:$P$86=공수2!$P$2)*(공수2!$P$7:$P$86&lt;&gt;"")*(반배정!$I$7:$I$86=설정!$B$7))/COUNTIFS(반배정!$I$7:$I$86,설정!$B$7,공수2!$Y$7:$Y$86,"&gt;=0"),""))</f>
        <v/>
      </c>
      <c r="L42" s="42" t="str">
        <f aca="false">IF(F42="","",IFERROR(SUMPRODUCT((공수2!$P$7:$P$86=공수2!$P$2)*(공수2!$P$7:$P$86&lt;&gt;"")*(반배정!$I$7:$I$86=설정!$B$8))/COUNTIFS(반배정!$I$7:$I$86,설정!$B$8,공수2!$Y$7:$Y$86,"&gt;=0"),""))</f>
        <v/>
      </c>
      <c r="M42" s="43" t="str">
        <f aca="false">IF(OR(J42="",L42=""),"",J42-L42)</f>
        <v/>
      </c>
      <c r="N42" s="44" t="str">
        <f aca="false">IF(I42="","",IF(AND(M42&lt;&gt;"",M42&lt;0),"역변별·문항검토",IF(I42&gt;=0.9,"매우 쉬움",IF(I42&lt;=0.15,"매우 어려움",IF(AND(M42&lt;&gt;"",M42&lt;0.2),"변별력 낮음","양호")))))</f>
        <v/>
      </c>
      <c r="O42" s="44" t="str">
        <f aca="false">IF(G42=0,"",COUNTIF(공수2!$P$7:$P$86,1))</f>
        <v/>
      </c>
      <c r="P42" s="44" t="str">
        <f aca="false">IF(G42=0,"",COUNTIF(공수2!$P$7:$P$86,2))</f>
        <v/>
      </c>
      <c r="Q42" s="44" t="str">
        <f aca="false">IF(G42=0,"",COUNTIF(공수2!$P$7:$P$86,3))</f>
        <v/>
      </c>
      <c r="R42" s="44" t="str">
        <f aca="false">IF(G42=0,"",COUNTIF(공수2!$P$7:$P$86,4))</f>
        <v/>
      </c>
      <c r="S42" s="44" t="str">
        <f aca="false">IF(G42=0,"",COUNTIF(공수2!$P$7:$P$86,5))</f>
        <v/>
      </c>
    </row>
    <row r="43" customFormat="false" ht="15" hidden="false" customHeight="false" outlineLevel="0" collapsed="false">
      <c r="A43" s="7" t="n">
        <v>14</v>
      </c>
      <c r="B43" s="38" t="s">
        <v>135</v>
      </c>
      <c r="C43" s="39" t="str">
        <f aca="false">공수2!Q4</f>
        <v>집합과 명제</v>
      </c>
      <c r="D43" s="10" t="str">
        <f aca="false">공수2!Q5</f>
        <v>상</v>
      </c>
      <c r="E43" s="10" t="n">
        <f aca="false">공수2!Q3</f>
        <v>5</v>
      </c>
      <c r="F43" s="40" t="str">
        <f aca="false">IF(공수2!$Q$2="","",공수2!$Q$2)</f>
        <v/>
      </c>
      <c r="G43" s="10" t="n">
        <f aca="false">COUNT(공수2!$Y$7:$Y$86)</f>
        <v>0</v>
      </c>
      <c r="H43" s="10" t="str">
        <f aca="false">IF(F43="","",SUMPRODUCT((공수2!$Q$7:$Q$86=공수2!$Q$2)*(공수2!$Q$7:$Q$86&lt;&gt;"")))</f>
        <v/>
      </c>
      <c r="I43" s="41" t="str">
        <f aca="false">IF(OR(F43="",G43=0),"",H43/G43)</f>
        <v/>
      </c>
      <c r="J43" s="42" t="str">
        <f aca="false">IF(F43="","",IFERROR(SUMPRODUCT((공수2!$Q$7:$Q$86=공수2!$Q$2)*(공수2!$Q$7:$Q$86&lt;&gt;"")*(반배정!$I$7:$I$86=설정!$B$6))/COUNTIFS(반배정!$I$7:$I$86,설정!$B$6,공수2!$Y$7:$Y$86,"&gt;=0"),""))</f>
        <v/>
      </c>
      <c r="K43" s="42" t="str">
        <f aca="false">IF(F43="","",IFERROR(SUMPRODUCT((공수2!$Q$7:$Q$86=공수2!$Q$2)*(공수2!$Q$7:$Q$86&lt;&gt;"")*(반배정!$I$7:$I$86=설정!$B$7))/COUNTIFS(반배정!$I$7:$I$86,설정!$B$7,공수2!$Y$7:$Y$86,"&gt;=0"),""))</f>
        <v/>
      </c>
      <c r="L43" s="42" t="str">
        <f aca="false">IF(F43="","",IFERROR(SUMPRODUCT((공수2!$Q$7:$Q$86=공수2!$Q$2)*(공수2!$Q$7:$Q$86&lt;&gt;"")*(반배정!$I$7:$I$86=설정!$B$8))/COUNTIFS(반배정!$I$7:$I$86,설정!$B$8,공수2!$Y$7:$Y$86,"&gt;=0"),""))</f>
        <v/>
      </c>
      <c r="M43" s="43" t="str">
        <f aca="false">IF(OR(J43="",L43=""),"",J43-L43)</f>
        <v/>
      </c>
      <c r="N43" s="44" t="str">
        <f aca="false">IF(I43="","",IF(AND(M43&lt;&gt;"",M43&lt;0),"역변별·문항검토",IF(I43&gt;=0.9,"매우 쉬움",IF(I43&lt;=0.15,"매우 어려움",IF(AND(M43&lt;&gt;"",M43&lt;0.2),"변별력 낮음","양호")))))</f>
        <v/>
      </c>
      <c r="O43" s="44" t="str">
        <f aca="false">IF(G43=0,"",COUNTIF(공수2!$Q$7:$Q$86,1))</f>
        <v/>
      </c>
      <c r="P43" s="44" t="str">
        <f aca="false">IF(G43=0,"",COUNTIF(공수2!$Q$7:$Q$86,2))</f>
        <v/>
      </c>
      <c r="Q43" s="44" t="str">
        <f aca="false">IF(G43=0,"",COUNTIF(공수2!$Q$7:$Q$86,3))</f>
        <v/>
      </c>
      <c r="R43" s="44" t="str">
        <f aca="false">IF(G43=0,"",COUNTIF(공수2!$Q$7:$Q$86,4))</f>
        <v/>
      </c>
      <c r="S43" s="44" t="str">
        <f aca="false">IF(G43=0,"",COUNTIF(공수2!$Q$7:$Q$86,5))</f>
        <v/>
      </c>
    </row>
    <row r="44" customFormat="false" ht="15" hidden="false" customHeight="false" outlineLevel="0" collapsed="false">
      <c r="A44" s="7" t="n">
        <v>15</v>
      </c>
      <c r="B44" s="38" t="s">
        <v>136</v>
      </c>
      <c r="C44" s="39" t="str">
        <f aca="false">공수2!R4</f>
        <v>함수와 그래프</v>
      </c>
      <c r="D44" s="10" t="str">
        <f aca="false">공수2!R5</f>
        <v>하</v>
      </c>
      <c r="E44" s="10" t="n">
        <f aca="false">공수2!R3</f>
        <v>5</v>
      </c>
      <c r="F44" s="40" t="str">
        <f aca="false">IF(공수2!$R$2="","",공수2!$R$2)</f>
        <v/>
      </c>
      <c r="G44" s="10" t="n">
        <f aca="false">COUNT(공수2!$Y$7:$Y$86)</f>
        <v>0</v>
      </c>
      <c r="H44" s="10" t="str">
        <f aca="false">IF(F44="","",SUMPRODUCT((공수2!$R$7:$R$86=공수2!$R$2)*(공수2!$R$7:$R$86&lt;&gt;"")))</f>
        <v/>
      </c>
      <c r="I44" s="41" t="str">
        <f aca="false">IF(OR(F44="",G44=0),"",H44/G44)</f>
        <v/>
      </c>
      <c r="J44" s="42" t="str">
        <f aca="false">IF(F44="","",IFERROR(SUMPRODUCT((공수2!$R$7:$R$86=공수2!$R$2)*(공수2!$R$7:$R$86&lt;&gt;"")*(반배정!$I$7:$I$86=설정!$B$6))/COUNTIFS(반배정!$I$7:$I$86,설정!$B$6,공수2!$Y$7:$Y$86,"&gt;=0"),""))</f>
        <v/>
      </c>
      <c r="K44" s="42" t="str">
        <f aca="false">IF(F44="","",IFERROR(SUMPRODUCT((공수2!$R$7:$R$86=공수2!$R$2)*(공수2!$R$7:$R$86&lt;&gt;"")*(반배정!$I$7:$I$86=설정!$B$7))/COUNTIFS(반배정!$I$7:$I$86,설정!$B$7,공수2!$Y$7:$Y$86,"&gt;=0"),""))</f>
        <v/>
      </c>
      <c r="L44" s="42" t="str">
        <f aca="false">IF(F44="","",IFERROR(SUMPRODUCT((공수2!$R$7:$R$86=공수2!$R$2)*(공수2!$R$7:$R$86&lt;&gt;"")*(반배정!$I$7:$I$86=설정!$B$8))/COUNTIFS(반배정!$I$7:$I$86,설정!$B$8,공수2!$Y$7:$Y$86,"&gt;=0"),""))</f>
        <v/>
      </c>
      <c r="M44" s="43" t="str">
        <f aca="false">IF(OR(J44="",L44=""),"",J44-L44)</f>
        <v/>
      </c>
      <c r="N44" s="44" t="str">
        <f aca="false">IF(I44="","",IF(AND(M44&lt;&gt;"",M44&lt;0),"역변별·문항검토",IF(I44&gt;=0.9,"매우 쉬움",IF(I44&lt;=0.15,"매우 어려움",IF(AND(M44&lt;&gt;"",M44&lt;0.2),"변별력 낮음","양호")))))</f>
        <v/>
      </c>
      <c r="O44" s="45" t="s">
        <v>137</v>
      </c>
      <c r="P44" s="45" t="s">
        <v>137</v>
      </c>
      <c r="Q44" s="45" t="s">
        <v>137</v>
      </c>
      <c r="R44" s="45" t="s">
        <v>137</v>
      </c>
      <c r="S44" s="45" t="s">
        <v>137</v>
      </c>
    </row>
    <row r="45" customFormat="false" ht="15" hidden="false" customHeight="false" outlineLevel="0" collapsed="false">
      <c r="A45" s="7" t="n">
        <v>16</v>
      </c>
      <c r="B45" s="38" t="s">
        <v>136</v>
      </c>
      <c r="C45" s="39" t="str">
        <f aca="false">공수2!S4</f>
        <v>함수와 그래프</v>
      </c>
      <c r="D45" s="10" t="str">
        <f aca="false">공수2!S5</f>
        <v>중</v>
      </c>
      <c r="E45" s="10" t="n">
        <f aca="false">공수2!S3</f>
        <v>5</v>
      </c>
      <c r="F45" s="40" t="str">
        <f aca="false">IF(공수2!$S$2="","",공수2!$S$2)</f>
        <v/>
      </c>
      <c r="G45" s="10" t="n">
        <f aca="false">COUNT(공수2!$Y$7:$Y$86)</f>
        <v>0</v>
      </c>
      <c r="H45" s="10" t="str">
        <f aca="false">IF(F45="","",SUMPRODUCT((공수2!$S$7:$S$86=공수2!$S$2)*(공수2!$S$7:$S$86&lt;&gt;"")))</f>
        <v/>
      </c>
      <c r="I45" s="41" t="str">
        <f aca="false">IF(OR(F45="",G45=0),"",H45/G45)</f>
        <v/>
      </c>
      <c r="J45" s="42" t="str">
        <f aca="false">IF(F45="","",IFERROR(SUMPRODUCT((공수2!$S$7:$S$86=공수2!$S$2)*(공수2!$S$7:$S$86&lt;&gt;"")*(반배정!$I$7:$I$86=설정!$B$6))/COUNTIFS(반배정!$I$7:$I$86,설정!$B$6,공수2!$Y$7:$Y$86,"&gt;=0"),""))</f>
        <v/>
      </c>
      <c r="K45" s="42" t="str">
        <f aca="false">IF(F45="","",IFERROR(SUMPRODUCT((공수2!$S$7:$S$86=공수2!$S$2)*(공수2!$S$7:$S$86&lt;&gt;"")*(반배정!$I$7:$I$86=설정!$B$7))/COUNTIFS(반배정!$I$7:$I$86,설정!$B$7,공수2!$Y$7:$Y$86,"&gt;=0"),""))</f>
        <v/>
      </c>
      <c r="L45" s="42" t="str">
        <f aca="false">IF(F45="","",IFERROR(SUMPRODUCT((공수2!$S$7:$S$86=공수2!$S$2)*(공수2!$S$7:$S$86&lt;&gt;"")*(반배정!$I$7:$I$86=설정!$B$8))/COUNTIFS(반배정!$I$7:$I$86,설정!$B$8,공수2!$Y$7:$Y$86,"&gt;=0"),""))</f>
        <v/>
      </c>
      <c r="M45" s="43" t="str">
        <f aca="false">IF(OR(J45="",L45=""),"",J45-L45)</f>
        <v/>
      </c>
      <c r="N45" s="44" t="str">
        <f aca="false">IF(I45="","",IF(AND(M45&lt;&gt;"",M45&lt;0),"역변별·문항검토",IF(I45&gt;=0.9,"매우 쉬움",IF(I45&lt;=0.15,"매우 어려움",IF(AND(M45&lt;&gt;"",M45&lt;0.2),"변별력 낮음","양호")))))</f>
        <v/>
      </c>
      <c r="O45" s="45" t="s">
        <v>137</v>
      </c>
      <c r="P45" s="45" t="s">
        <v>137</v>
      </c>
      <c r="Q45" s="45" t="s">
        <v>137</v>
      </c>
      <c r="R45" s="45" t="s">
        <v>137</v>
      </c>
      <c r="S45" s="45" t="s">
        <v>137</v>
      </c>
    </row>
    <row r="46" customFormat="false" ht="15" hidden="false" customHeight="false" outlineLevel="0" collapsed="false">
      <c r="A46" s="7" t="n">
        <v>17</v>
      </c>
      <c r="B46" s="38" t="s">
        <v>136</v>
      </c>
      <c r="C46" s="39" t="str">
        <f aca="false">공수2!T4</f>
        <v>함수와 그래프</v>
      </c>
      <c r="D46" s="10" t="str">
        <f aca="false">공수2!T5</f>
        <v>중</v>
      </c>
      <c r="E46" s="10" t="n">
        <f aca="false">공수2!T3</f>
        <v>5</v>
      </c>
      <c r="F46" s="40" t="str">
        <f aca="false">IF(공수2!$T$2="","",공수2!$T$2)</f>
        <v/>
      </c>
      <c r="G46" s="10" t="n">
        <f aca="false">COUNT(공수2!$Y$7:$Y$86)</f>
        <v>0</v>
      </c>
      <c r="H46" s="10" t="str">
        <f aca="false">IF(F46="","",SUMPRODUCT((공수2!$T$7:$T$86=공수2!$T$2)*(공수2!$T$7:$T$86&lt;&gt;"")))</f>
        <v/>
      </c>
      <c r="I46" s="41" t="str">
        <f aca="false">IF(OR(F46="",G46=0),"",H46/G46)</f>
        <v/>
      </c>
      <c r="J46" s="42" t="str">
        <f aca="false">IF(F46="","",IFERROR(SUMPRODUCT((공수2!$T$7:$T$86=공수2!$T$2)*(공수2!$T$7:$T$86&lt;&gt;"")*(반배정!$I$7:$I$86=설정!$B$6))/COUNTIFS(반배정!$I$7:$I$86,설정!$B$6,공수2!$Y$7:$Y$86,"&gt;=0"),""))</f>
        <v/>
      </c>
      <c r="K46" s="42" t="str">
        <f aca="false">IF(F46="","",IFERROR(SUMPRODUCT((공수2!$T$7:$T$86=공수2!$T$2)*(공수2!$T$7:$T$86&lt;&gt;"")*(반배정!$I$7:$I$86=설정!$B$7))/COUNTIFS(반배정!$I$7:$I$86,설정!$B$7,공수2!$Y$7:$Y$86,"&gt;=0"),""))</f>
        <v/>
      </c>
      <c r="L46" s="42" t="str">
        <f aca="false">IF(F46="","",IFERROR(SUMPRODUCT((공수2!$T$7:$T$86=공수2!$T$2)*(공수2!$T$7:$T$86&lt;&gt;"")*(반배정!$I$7:$I$86=설정!$B$8))/COUNTIFS(반배정!$I$7:$I$86,설정!$B$8,공수2!$Y$7:$Y$86,"&gt;=0"),""))</f>
        <v/>
      </c>
      <c r="M46" s="43" t="str">
        <f aca="false">IF(OR(J46="",L46=""),"",J46-L46)</f>
        <v/>
      </c>
      <c r="N46" s="44" t="str">
        <f aca="false">IF(I46="","",IF(AND(M46&lt;&gt;"",M46&lt;0),"역변별·문항검토",IF(I46&gt;=0.9,"매우 쉬움",IF(I46&lt;=0.15,"매우 어려움",IF(AND(M46&lt;&gt;"",M46&lt;0.2),"변별력 낮음","양호")))))</f>
        <v/>
      </c>
      <c r="O46" s="45" t="s">
        <v>137</v>
      </c>
      <c r="P46" s="45" t="s">
        <v>137</v>
      </c>
      <c r="Q46" s="45" t="s">
        <v>137</v>
      </c>
      <c r="R46" s="45" t="s">
        <v>137</v>
      </c>
      <c r="S46" s="45" t="s">
        <v>137</v>
      </c>
    </row>
    <row r="47" customFormat="false" ht="15" hidden="false" customHeight="false" outlineLevel="0" collapsed="false">
      <c r="A47" s="7" t="n">
        <v>18</v>
      </c>
      <c r="B47" s="38" t="s">
        <v>136</v>
      </c>
      <c r="C47" s="39" t="str">
        <f aca="false">공수2!U4</f>
        <v>함수와 그래프</v>
      </c>
      <c r="D47" s="10" t="str">
        <f aca="false">공수2!U5</f>
        <v>상</v>
      </c>
      <c r="E47" s="10" t="n">
        <f aca="false">공수2!U3</f>
        <v>5</v>
      </c>
      <c r="F47" s="40" t="str">
        <f aca="false">IF(공수2!$U$2="","",공수2!$U$2)</f>
        <v/>
      </c>
      <c r="G47" s="10" t="n">
        <f aca="false">COUNT(공수2!$Y$7:$Y$86)</f>
        <v>0</v>
      </c>
      <c r="H47" s="10" t="str">
        <f aca="false">IF(F47="","",SUMPRODUCT((공수2!$U$7:$U$86=공수2!$U$2)*(공수2!$U$7:$U$86&lt;&gt;"")))</f>
        <v/>
      </c>
      <c r="I47" s="41" t="str">
        <f aca="false">IF(OR(F47="",G47=0),"",H47/G47)</f>
        <v/>
      </c>
      <c r="J47" s="42" t="str">
        <f aca="false">IF(F47="","",IFERROR(SUMPRODUCT((공수2!$U$7:$U$86=공수2!$U$2)*(공수2!$U$7:$U$86&lt;&gt;"")*(반배정!$I$7:$I$86=설정!$B$6))/COUNTIFS(반배정!$I$7:$I$86,설정!$B$6,공수2!$Y$7:$Y$86,"&gt;=0"),""))</f>
        <v/>
      </c>
      <c r="K47" s="42" t="str">
        <f aca="false">IF(F47="","",IFERROR(SUMPRODUCT((공수2!$U$7:$U$86=공수2!$U$2)*(공수2!$U$7:$U$86&lt;&gt;"")*(반배정!$I$7:$I$86=설정!$B$7))/COUNTIFS(반배정!$I$7:$I$86,설정!$B$7,공수2!$Y$7:$Y$86,"&gt;=0"),""))</f>
        <v/>
      </c>
      <c r="L47" s="42" t="str">
        <f aca="false">IF(F47="","",IFERROR(SUMPRODUCT((공수2!$U$7:$U$86=공수2!$U$2)*(공수2!$U$7:$U$86&lt;&gt;"")*(반배정!$I$7:$I$86=설정!$B$8))/COUNTIFS(반배정!$I$7:$I$86,설정!$B$8,공수2!$Y$7:$Y$86,"&gt;=0"),""))</f>
        <v/>
      </c>
      <c r="M47" s="43" t="str">
        <f aca="false">IF(OR(J47="",L47=""),"",J47-L47)</f>
        <v/>
      </c>
      <c r="N47" s="44" t="str">
        <f aca="false">IF(I47="","",IF(AND(M47&lt;&gt;"",M47&lt;0),"역변별·문항검토",IF(I47&gt;=0.9,"매우 쉬움",IF(I47&lt;=0.15,"매우 어려움",IF(AND(M47&lt;&gt;"",M47&lt;0.2),"변별력 낮음","양호")))))</f>
        <v/>
      </c>
      <c r="O47" s="45" t="s">
        <v>137</v>
      </c>
      <c r="P47" s="45" t="s">
        <v>137</v>
      </c>
      <c r="Q47" s="45" t="s">
        <v>137</v>
      </c>
      <c r="R47" s="45" t="s">
        <v>137</v>
      </c>
      <c r="S47" s="45" t="s">
        <v>137</v>
      </c>
    </row>
    <row r="48" customFormat="false" ht="15" hidden="false" customHeight="false" outlineLevel="0" collapsed="false">
      <c r="A48" s="7" t="n">
        <v>19</v>
      </c>
      <c r="B48" s="38" t="s">
        <v>136</v>
      </c>
      <c r="C48" s="39" t="str">
        <f aca="false">공수2!V4</f>
        <v>함수와 그래프</v>
      </c>
      <c r="D48" s="10" t="str">
        <f aca="false">공수2!V5</f>
        <v>상</v>
      </c>
      <c r="E48" s="10" t="n">
        <f aca="false">공수2!V3</f>
        <v>5</v>
      </c>
      <c r="F48" s="40" t="str">
        <f aca="false">IF(공수2!$V$2="","",공수2!$V$2)</f>
        <v/>
      </c>
      <c r="G48" s="10" t="n">
        <f aca="false">COUNT(공수2!$Y$7:$Y$86)</f>
        <v>0</v>
      </c>
      <c r="H48" s="10" t="str">
        <f aca="false">IF(F48="","",SUMPRODUCT((공수2!$V$7:$V$86=공수2!$V$2)*(공수2!$V$7:$V$86&lt;&gt;"")))</f>
        <v/>
      </c>
      <c r="I48" s="41" t="str">
        <f aca="false">IF(OR(F48="",G48=0),"",H48/G48)</f>
        <v/>
      </c>
      <c r="J48" s="42" t="str">
        <f aca="false">IF(F48="","",IFERROR(SUMPRODUCT((공수2!$V$7:$V$86=공수2!$V$2)*(공수2!$V$7:$V$86&lt;&gt;"")*(반배정!$I$7:$I$86=설정!$B$6))/COUNTIFS(반배정!$I$7:$I$86,설정!$B$6,공수2!$Y$7:$Y$86,"&gt;=0"),""))</f>
        <v/>
      </c>
      <c r="K48" s="42" t="str">
        <f aca="false">IF(F48="","",IFERROR(SUMPRODUCT((공수2!$V$7:$V$86=공수2!$V$2)*(공수2!$V$7:$V$86&lt;&gt;"")*(반배정!$I$7:$I$86=설정!$B$7))/COUNTIFS(반배정!$I$7:$I$86,설정!$B$7,공수2!$Y$7:$Y$86,"&gt;=0"),""))</f>
        <v/>
      </c>
      <c r="L48" s="42" t="str">
        <f aca="false">IF(F48="","",IFERROR(SUMPRODUCT((공수2!$V$7:$V$86=공수2!$V$2)*(공수2!$V$7:$V$86&lt;&gt;"")*(반배정!$I$7:$I$86=설정!$B$8))/COUNTIFS(반배정!$I$7:$I$86,설정!$B$8,공수2!$Y$7:$Y$86,"&gt;=0"),""))</f>
        <v/>
      </c>
      <c r="M48" s="43" t="str">
        <f aca="false">IF(OR(J48="",L48=""),"",J48-L48)</f>
        <v/>
      </c>
      <c r="N48" s="44" t="str">
        <f aca="false">IF(I48="","",IF(AND(M48&lt;&gt;"",M48&lt;0),"역변별·문항검토",IF(I48&gt;=0.9,"매우 쉬움",IF(I48&lt;=0.15,"매우 어려움",IF(AND(M48&lt;&gt;"",M48&lt;0.2),"변별력 낮음","양호")))))</f>
        <v/>
      </c>
      <c r="O48" s="45" t="s">
        <v>137</v>
      </c>
      <c r="P48" s="45" t="s">
        <v>137</v>
      </c>
      <c r="Q48" s="45" t="s">
        <v>137</v>
      </c>
      <c r="R48" s="45" t="s">
        <v>137</v>
      </c>
      <c r="S48" s="45" t="s">
        <v>137</v>
      </c>
    </row>
    <row r="49" customFormat="false" ht="15" hidden="false" customHeight="false" outlineLevel="0" collapsed="false">
      <c r="A49" s="7" t="n">
        <v>20</v>
      </c>
      <c r="B49" s="38" t="s">
        <v>136</v>
      </c>
      <c r="C49" s="39" t="str">
        <f aca="false">공수2!W4</f>
        <v>함수와 그래프</v>
      </c>
      <c r="D49" s="10" t="str">
        <f aca="false">공수2!W5</f>
        <v>최상</v>
      </c>
      <c r="E49" s="10" t="n">
        <f aca="false">공수2!W3</f>
        <v>5</v>
      </c>
      <c r="F49" s="40" t="str">
        <f aca="false">IF(공수2!$W$2="","",공수2!$W$2)</f>
        <v/>
      </c>
      <c r="G49" s="10" t="n">
        <f aca="false">COUNT(공수2!$Y$7:$Y$86)</f>
        <v>0</v>
      </c>
      <c r="H49" s="10" t="str">
        <f aca="false">IF(F49="","",SUMPRODUCT((공수2!$W$7:$W$86=공수2!$W$2)*(공수2!$W$7:$W$86&lt;&gt;"")))</f>
        <v/>
      </c>
      <c r="I49" s="41" t="str">
        <f aca="false">IF(OR(F49="",G49=0),"",H49/G49)</f>
        <v/>
      </c>
      <c r="J49" s="42" t="str">
        <f aca="false">IF(F49="","",IFERROR(SUMPRODUCT((공수2!$W$7:$W$86=공수2!$W$2)*(공수2!$W$7:$W$86&lt;&gt;"")*(반배정!$I$7:$I$86=설정!$B$6))/COUNTIFS(반배정!$I$7:$I$86,설정!$B$6,공수2!$Y$7:$Y$86,"&gt;=0"),""))</f>
        <v/>
      </c>
      <c r="K49" s="42" t="str">
        <f aca="false">IF(F49="","",IFERROR(SUMPRODUCT((공수2!$W$7:$W$86=공수2!$W$2)*(공수2!$W$7:$W$86&lt;&gt;"")*(반배정!$I$7:$I$86=설정!$B$7))/COUNTIFS(반배정!$I$7:$I$86,설정!$B$7,공수2!$Y$7:$Y$86,"&gt;=0"),""))</f>
        <v/>
      </c>
      <c r="L49" s="42" t="str">
        <f aca="false">IF(F49="","",IFERROR(SUMPRODUCT((공수2!$W$7:$W$86=공수2!$W$2)*(공수2!$W$7:$W$86&lt;&gt;"")*(반배정!$I$7:$I$86=설정!$B$8))/COUNTIFS(반배정!$I$7:$I$86,설정!$B$8,공수2!$Y$7:$Y$86,"&gt;=0"),""))</f>
        <v/>
      </c>
      <c r="M49" s="43" t="str">
        <f aca="false">IF(OR(J49="",L49=""),"",J49-L49)</f>
        <v/>
      </c>
      <c r="N49" s="44" t="str">
        <f aca="false">IF(I49="","",IF(AND(M49&lt;&gt;"",M49&lt;0),"역변별·문항검토",IF(I49&gt;=0.9,"매우 쉬움",IF(I49&lt;=0.15,"매우 어려움",IF(AND(M49&lt;&gt;"",M49&lt;0.2),"변별력 낮음","양호")))))</f>
        <v/>
      </c>
      <c r="O49" s="45" t="s">
        <v>137</v>
      </c>
      <c r="P49" s="45" t="s">
        <v>137</v>
      </c>
      <c r="Q49" s="45" t="s">
        <v>137</v>
      </c>
      <c r="R49" s="45" t="s">
        <v>137</v>
      </c>
      <c r="S49" s="45" t="s">
        <v>137</v>
      </c>
    </row>
  </sheetData>
  <mergeCells count="4">
    <mergeCell ref="A1:R1"/>
    <mergeCell ref="A2:R2"/>
    <mergeCell ref="A4:E4"/>
    <mergeCell ref="A28:E28"/>
  </mergeCells>
  <conditionalFormatting sqref="N6:N25">
    <cfRule type="expression" priority="2" aboveAverage="0" equalAverage="0" bottom="0" percent="0" rank="0" text="" dxfId="4">
      <formula>N6="양호"</formula>
    </cfRule>
    <cfRule type="expression" priority="3" aboveAverage="0" equalAverage="0" bottom="0" percent="0" rank="0" text="" dxfId="5">
      <formula>AND(N6&lt;&gt;"",N6&lt;&gt;"양호")</formula>
    </cfRule>
  </conditionalFormatting>
  <conditionalFormatting sqref="O6:S19">
    <cfRule type="expression" priority="4" aboveAverage="0" equalAverage="0" bottom="0" percent="0" rank="0" text="" dxfId="6">
      <formula>COLUMN(O6)-14=$F6</formula>
    </cfRule>
  </conditionalFormatting>
  <conditionalFormatting sqref="N30:N49">
    <cfRule type="expression" priority="5" aboveAverage="0" equalAverage="0" bottom="0" percent="0" rank="0" text="" dxfId="4">
      <formula>N30="양호"</formula>
    </cfRule>
    <cfRule type="expression" priority="6" aboveAverage="0" equalAverage="0" bottom="0" percent="0" rank="0" text="" dxfId="5">
      <formula>AND(N30&lt;&gt;"",N30&lt;&gt;"양호")</formula>
    </cfRule>
  </conditionalFormatting>
  <conditionalFormatting sqref="O30:S43">
    <cfRule type="expression" priority="7" aboveAverage="0" equalAverage="0" bottom="0" percent="0" rank="0" text="" dxfId="6">
      <formula>COLUMN(O30)-14=$F30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2026-10-07T13:12:56Z</dcterms:created>
  <dc:creator>openpyxl</dc:creator>
  <dc:description/>
  <dc:language>en-US</dc:language>
  <cp:lastModifiedBy/>
  <dcterms:modified xsi:type="dcterms:W3CDTF">2026-10-07T13:12:56Z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